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13_ncr:1_{F2E2BA6C-F624-429F-88EE-7B2F47EDEDCF}" xr6:coauthVersionLast="47" xr6:coauthVersionMax="47" xr10:uidLastSave="{00000000-0000-0000-0000-000000000000}"/>
  <bookViews>
    <workbookView xWindow="-108" yWindow="-108" windowWidth="23256" windowHeight="12576" xr2:uid="{05A50484-9147-44F3-A279-7F37243D6503}"/>
  </bookViews>
  <sheets>
    <sheet name="diabetes_final" sheetId="1" r:id="rId1"/>
    <sheet name="formulas_functions" sheetId="3" r:id="rId2"/>
    <sheet name="referencing" sheetId="2" r:id="rId3"/>
    <sheet name="charts" sheetId="4" r:id="rId4"/>
  </sheets>
  <definedNames>
    <definedName name="_xlnm._FilterDatabase" localSheetId="1" hidden="1">formulas_functions!$A$1:$A$769</definedName>
  </definedNames>
  <calcPr calcId="181029"/>
</workbook>
</file>

<file path=xl/calcChain.xml><?xml version="1.0" encoding="utf-8"?>
<calcChain xmlns="http://schemas.openxmlformats.org/spreadsheetml/2006/main">
  <c r="D44" i="4" l="1"/>
  <c r="D43" i="4"/>
  <c r="D42" i="4"/>
  <c r="E12" i="4"/>
  <c r="E13" i="4"/>
  <c r="E14" i="4"/>
  <c r="E15" i="4"/>
  <c r="E11" i="4"/>
  <c r="G37" i="2"/>
  <c r="H37" i="2"/>
  <c r="I37" i="2"/>
  <c r="F37" i="2"/>
  <c r="G32" i="2"/>
  <c r="G33" i="2"/>
  <c r="G34" i="2"/>
  <c r="G31" i="2"/>
  <c r="H25" i="2"/>
  <c r="H26" i="2"/>
  <c r="H27" i="2"/>
  <c r="H24" i="2"/>
  <c r="G25" i="2"/>
  <c r="G26" i="2"/>
  <c r="G27" i="2"/>
  <c r="G24" i="2"/>
  <c r="F18" i="2"/>
  <c r="F19" i="2"/>
  <c r="F20" i="2"/>
  <c r="F17" i="2"/>
  <c r="C16" i="3"/>
  <c r="C15" i="3"/>
  <c r="G47" i="3"/>
  <c r="G45" i="3"/>
  <c r="G43" i="3"/>
  <c r="E34" i="3"/>
  <c r="E32" i="3"/>
  <c r="E27" i="3"/>
  <c r="E26" i="3"/>
  <c r="G24" i="3"/>
  <c r="H21" i="3" s="1"/>
  <c r="G23" i="3"/>
  <c r="G22" i="3"/>
  <c r="G21" i="3"/>
  <c r="C13" i="3"/>
  <c r="C8" i="3"/>
  <c r="C11" i="3"/>
  <c r="C10" i="3"/>
  <c r="C9" i="3"/>
  <c r="C6" i="3"/>
  <c r="C5" i="3"/>
</calcChain>
</file>

<file path=xl/sharedStrings.xml><?xml version="1.0" encoding="utf-8"?>
<sst xmlns="http://schemas.openxmlformats.org/spreadsheetml/2006/main" count="140" uniqueCount="123">
  <si>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</si>
  <si>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</si>
  <si>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</si>
  <si>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</si>
  <si>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</si>
  <si>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</si>
  <si>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</si>
  <si>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Outcome</t>
  </si>
  <si>
    <t>1. .csv, excel workbook</t>
  </si>
  <si>
    <t>csv</t>
  </si>
  <si>
    <t>a single sheet</t>
  </si>
  <si>
    <t>do not contain multiple sheets.</t>
  </si>
  <si>
    <t>excel workbook</t>
  </si>
  <si>
    <t>.xlsx,.xls.xlsm</t>
  </si>
  <si>
    <t>combination of multiple sheets.</t>
  </si>
  <si>
    <t>Functions and formulas</t>
  </si>
  <si>
    <t>sum, sumif, sumproduct,</t>
  </si>
  <si>
    <t>average, averageif, averageproduct</t>
  </si>
  <si>
    <t>count, countblank, countif, counta etc</t>
  </si>
  <si>
    <t>min, max etc</t>
  </si>
  <si>
    <t>1. find out the sum of pregnancies column</t>
  </si>
  <si>
    <t>2. find out the sum of pregnancies where value is less than 4</t>
  </si>
  <si>
    <t>3. find out average of pregnancies column, average if value is less than 5</t>
  </si>
  <si>
    <t>total sum</t>
  </si>
  <si>
    <t>average</t>
  </si>
  <si>
    <t>"sum()"</t>
  </si>
  <si>
    <t>"average()"</t>
  </si>
  <si>
    <t>sum</t>
  </si>
  <si>
    <t>condition -&gt; &lt;4</t>
  </si>
  <si>
    <t>I want to select only those rows where value is &lt;4 and sum</t>
  </si>
  <si>
    <t>sum with a single condition</t>
  </si>
  <si>
    <t>sumif</t>
  </si>
  <si>
    <t>lt 4</t>
  </si>
  <si>
    <t>lte 4</t>
  </si>
  <si>
    <t>gt 4</t>
  </si>
  <si>
    <t>eq 4</t>
  </si>
  <si>
    <t>average of pregnancies where value is less than 4</t>
  </si>
  <si>
    <t>sum product</t>
  </si>
  <si>
    <t>"product and then sum"</t>
  </si>
  <si>
    <t>quantity</t>
  </si>
  <si>
    <t>price per unit</t>
  </si>
  <si>
    <t>tell me the total amount spent?</t>
  </si>
  <si>
    <t>min</t>
  </si>
  <si>
    <t>max</t>
  </si>
  <si>
    <t>smallest value</t>
  </si>
  <si>
    <t>largest value</t>
  </si>
  <si>
    <t>find out the smallest value in pregnancies column?</t>
  </si>
  <si>
    <t>find out the max value in pregnancies column?</t>
  </si>
  <si>
    <t>count</t>
  </si>
  <si>
    <t>counta</t>
  </si>
  <si>
    <t>countblank</t>
  </si>
  <si>
    <t>countif</t>
  </si>
  <si>
    <t>counts non blank cells</t>
  </si>
  <si>
    <t>count only blank cells</t>
  </si>
  <si>
    <t>count with a condition</t>
  </si>
  <si>
    <t>count only numeric values</t>
  </si>
  <si>
    <t>column a</t>
  </si>
  <si>
    <t>"a"</t>
  </si>
  <si>
    <t>implement count.</t>
  </si>
  <si>
    <t>implement counta</t>
  </si>
  <si>
    <t>implement count blank</t>
  </si>
  <si>
    <t>find out the no of records where value in pregnancies is less than 4.</t>
  </si>
  <si>
    <t>averageif</t>
  </si>
  <si>
    <t>sumproduct</t>
  </si>
  <si>
    <t>cell referencing</t>
  </si>
  <si>
    <t>very important</t>
  </si>
  <si>
    <t>cell</t>
  </si>
  <si>
    <t>b1</t>
  </si>
  <si>
    <t>add 10 to every value</t>
  </si>
  <si>
    <t>can I fix this cell?</t>
  </si>
  <si>
    <t>use dollar sign</t>
  </si>
  <si>
    <t>$G$15</t>
  </si>
  <si>
    <t>HOW TO FIX A CELL?</t>
  </si>
  <si>
    <t>YES</t>
  </si>
  <si>
    <t>drag the formula from top to bottom</t>
  </si>
  <si>
    <t>fix column</t>
  </si>
  <si>
    <t>drag the formula from left to right</t>
  </si>
  <si>
    <t>fix row</t>
  </si>
  <si>
    <t>how to fix a cell</t>
  </si>
  <si>
    <t>by putting $ infront of row and column both</t>
  </si>
  <si>
    <t>charts and visualisations</t>
  </si>
  <si>
    <t>1. column</t>
  </si>
  <si>
    <t>2. bar</t>
  </si>
  <si>
    <t>3. pie chart</t>
  </si>
  <si>
    <t>4. line chart</t>
  </si>
  <si>
    <t>pie chart</t>
  </si>
  <si>
    <t>% contribution</t>
  </si>
  <si>
    <t>super market</t>
  </si>
  <si>
    <t>vegetables</t>
  </si>
  <si>
    <t>dairy</t>
  </si>
  <si>
    <t>stationary</t>
  </si>
  <si>
    <t>fruits</t>
  </si>
  <si>
    <t>groceries</t>
  </si>
  <si>
    <t>day 1 sales</t>
  </si>
  <si>
    <t>column charts</t>
  </si>
  <si>
    <t>bar charts</t>
  </si>
  <si>
    <t>horizontal</t>
  </si>
  <si>
    <t>vertical</t>
  </si>
  <si>
    <t>sid</t>
  </si>
  <si>
    <t>optional subject</t>
  </si>
  <si>
    <t>p</t>
  </si>
  <si>
    <t>m</t>
  </si>
  <si>
    <t>c</t>
  </si>
  <si>
    <t>physics</t>
  </si>
  <si>
    <t>chemistry</t>
  </si>
  <si>
    <t>maths</t>
  </si>
  <si>
    <t>frequency</t>
  </si>
  <si>
    <t>subject</t>
  </si>
  <si>
    <t>Line chart</t>
  </si>
  <si>
    <t>month name</t>
  </si>
  <si>
    <t>sales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</si>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</sst>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33" borderId="12" xfId="0" applyFill="1" applyBorder="1"/>
    <xf numFmtId="0" fontId="0" fillId="34" borderId="12" xfId="0" applyFill="1" applyBorder="1"/>
    <xf numFmtId="0" fontId="0" fillId="34" borderId="0" xfId="0" applyFill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A9-4E48-AF53-4296B8EC14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A9-4E48-AF53-4296B8EC14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A9-4E48-AF53-4296B8EC14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A9-4E48-AF53-4296B8EC14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A9-4E48-AF53-4296B8EC1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charts!$C$11:$C$15</c:f>
              <c:strCache>
                <c:ptCount val="5"/>
                <c:pt idx="0">
                  <c:v>vegetables</c:v>
                </c:pt>
                <c:pt idx="1">
                  <c:v>dairy</c:v>
                </c:pt>
                <c:pt idx="2">
                  <c:v>stationary</c:v>
                </c:pt>
                <c:pt idx="3">
                  <c:v>fruits</c:v>
                </c:pt>
                <c:pt idx="4">
                  <c:v>groceries</c:v>
                </c:pt>
              </c:strCache>
            </c:strRef>
          </c:cat>
          <c:val>
            <c:numRef>
              <c:f>charts!$E$11:$E$15</c:f>
              <c:numCache>
                <c:formatCode>0%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0.3</c:v>
                </c:pt>
                <c:pt idx="3">
                  <c:v>0.25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0-4DCD-9ED5-96394D643CE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00605794981360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charts!$D$41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charts!$C$42:$C$44</c:f>
              <c:strCache>
                <c:ptCount val="3"/>
                <c:pt idx="0">
                  <c:v>physics</c:v>
                </c:pt>
                <c:pt idx="1">
                  <c:v>chemistry</c:v>
                </c:pt>
                <c:pt idx="2">
                  <c:v>maths</c:v>
                </c:pt>
              </c:strCache>
            </c:strRef>
          </c:cat>
          <c:val>
            <c:numRef>
              <c:f>charts!$D$42:$D$44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2-4F83-A811-DC44ED9804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5942463"/>
        <c:axId val="885941503"/>
      </c:barChart>
      <c:catAx>
        <c:axId val="88594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941503"/>
        <c:crosses val="autoZero"/>
        <c:auto val="1"/>
        <c:lblAlgn val="ctr"/>
        <c:lblOffset val="100"/>
        <c:noMultiLvlLbl val="0"/>
      </c:catAx>
      <c:valAx>
        <c:axId val="88594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94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subject</a:t>
            </a:r>
            <a:r>
              <a:rPr lang="en-US" baseline="0"/>
              <a:t> vs no of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charts!$D$41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charts!$C$42:$C$44</c:f>
              <c:strCache>
                <c:ptCount val="3"/>
                <c:pt idx="0">
                  <c:v>physics</c:v>
                </c:pt>
                <c:pt idx="1">
                  <c:v>chemistry</c:v>
                </c:pt>
                <c:pt idx="2">
                  <c:v>maths</c:v>
                </c:pt>
              </c:strCache>
            </c:strRef>
          </c:cat>
          <c:val>
            <c:numRef>
              <c:f>charts!$D$42:$D$44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7-4730-B000-C6FA3367C6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9382095"/>
        <c:axId val="879383055"/>
      </c:barChart>
      <c:catAx>
        <c:axId val="879382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383055"/>
        <c:crosses val="autoZero"/>
        <c:auto val="1"/>
        <c:lblAlgn val="ctr"/>
        <c:lblOffset val="100"/>
        <c:noMultiLvlLbl val="0"/>
      </c:catAx>
      <c:valAx>
        <c:axId val="87938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</a:t>
                </a:r>
                <a:r>
                  <a:rPr lang="en-IN" baseline="0"/>
                  <a:t>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38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49509467540653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charts!$D$61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charts!$C$62:$C$73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charts!$D$62:$D$73</c:f>
              <c:numCache>
                <c:formatCode>General</c:formatCode>
                <c:ptCount val="12"/>
                <c:pt idx="0">
                  <c:v>50</c:v>
                </c:pt>
                <c:pt idx="1">
                  <c:v>25</c:v>
                </c:pt>
                <c:pt idx="2">
                  <c:v>70</c:v>
                </c:pt>
                <c:pt idx="3">
                  <c:v>20</c:v>
                </c:pt>
                <c:pt idx="4">
                  <c:v>60</c:v>
                </c:pt>
                <c:pt idx="5">
                  <c:v>70</c:v>
                </c:pt>
                <c:pt idx="6">
                  <c:v>75</c:v>
                </c:pt>
                <c:pt idx="7">
                  <c:v>45</c:v>
                </c:pt>
                <c:pt idx="8">
                  <c:v>30</c:v>
                </c:pt>
                <c:pt idx="9">
                  <c:v>100</c:v>
                </c:pt>
                <c:pt idx="10">
                  <c:v>150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E-4AFB-ADCA-01B010FD87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7649359"/>
        <c:axId val="878434399"/>
      </c:lineChart>
      <c:catAx>
        <c:axId val="63764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34399"/>
        <c:crosses val="autoZero"/>
        <c:auto val="1"/>
        <c:lblAlgn val="ctr"/>
        <c:lblOffset val="100"/>
        <c:noMultiLvlLbl val="0"/>
      </c:catAx>
      <c:valAx>
        <c:axId val="87843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4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593398</xdr:colOff>
      <xdr:row>15</xdr:row>
      <xdr:rowOff>43791</xdr:rowOff>
    </xdr:from>
    <xdr:to>
      <xdr:col>4</xdr:col>
      <xdr:colOff>175173</xdr:colOff>
      <xdr:row>25</xdr:row>
      <xdr:rowOff>3064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3191D-2FD6-353D-62F9-7C44EFE24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385379</xdr:colOff>
      <xdr:row>34</xdr:row>
      <xdr:rowOff>170791</xdr:rowOff>
    </xdr:from>
    <xdr:to>
      <xdr:col>11</xdr:col>
      <xdr:colOff>111672</xdr:colOff>
      <xdr:row>43</xdr:row>
      <xdr:rowOff>121305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AB5267-4D6F-1963-E53E-95E146613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61311</xdr:colOff>
      <xdr:row>44</xdr:row>
      <xdr:rowOff>78828</xdr:rowOff>
    </xdr:from>
    <xdr:to>
      <xdr:col>4</xdr:col>
      <xdr:colOff>365673</xdr:colOff>
      <xdr:row>53</xdr:row>
      <xdr:rowOff>38101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F09889-97FD-5359-39A2-142A6A378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1121103</xdr:colOff>
      <xdr:row>64</xdr:row>
      <xdr:rowOff>52552</xdr:rowOff>
    </xdr:from>
    <xdr:to>
      <xdr:col>7</xdr:col>
      <xdr:colOff>41604</xdr:colOff>
      <xdr:row>75</xdr:row>
      <xdr:rowOff>51238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4EBA95-10D1-0D7F-3B9D-0E8DAE782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1D37-64AF-48BB-9564-5252D74881DA}">
  <dimension ref="A1:H769"/>
  <sheetViews>
    <sheetView tabSelected="1" zoomScale="150" zoomScaleNormal="150" workbookViewId="0">
      <selection sqref="A1:A1048576"/>
    </sheetView>
  </sheetViews>
  <sheetFormatPr defaultRowHeight="14.4" x14ac:dyDescent="0.3"/>
  <cols>
    <col min="1" max="1" width="10.6640625" bestFit="1" customWidth="1"/>
    <col min="2" max="2" width="7.44140625" bestFit="1" customWidth="1"/>
    <col min="3" max="3" width="12.6640625" bestFit="1" customWidth="1"/>
    <col min="4" max="4" width="12" bestFit="1" customWidth="1"/>
    <col min="5" max="5" width="6.21875" bestFit="1" customWidth="1"/>
    <col min="6" max="6" width="5" bestFit="1" customWidth="1"/>
    <col min="7" max="7" width="22.44140625" bestFit="1" customWidth="1"/>
    <col min="8" max="8" width="8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1</v>
      </c>
    </row>
    <row r="3" spans="1:8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0</v>
      </c>
    </row>
    <row r="4" spans="1:8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1</v>
      </c>
    </row>
    <row r="5" spans="1:8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0</v>
      </c>
    </row>
    <row r="6" spans="1:8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1</v>
      </c>
    </row>
    <row r="7" spans="1:8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0</v>
      </c>
    </row>
    <row r="8" spans="1:8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1</v>
      </c>
    </row>
    <row r="9" spans="1:8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0</v>
      </c>
    </row>
    <row r="10" spans="1:8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1</v>
      </c>
    </row>
    <row r="11" spans="1:8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1</v>
      </c>
    </row>
    <row r="12" spans="1:8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0</v>
      </c>
    </row>
    <row r="13" spans="1:8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1</v>
      </c>
    </row>
    <row r="14" spans="1:8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0</v>
      </c>
    </row>
    <row r="15" spans="1:8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1</v>
      </c>
    </row>
    <row r="16" spans="1:8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1</v>
      </c>
    </row>
    <row r="17" spans="1:8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1</v>
      </c>
    </row>
    <row r="18" spans="1:8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1</v>
      </c>
    </row>
    <row r="19" spans="1:8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1</v>
      </c>
    </row>
    <row r="20" spans="1:8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0</v>
      </c>
    </row>
    <row r="21" spans="1:8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1</v>
      </c>
    </row>
    <row r="22" spans="1:8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0</v>
      </c>
    </row>
    <row r="23" spans="1:8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0</v>
      </c>
    </row>
    <row r="24" spans="1:8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1</v>
      </c>
    </row>
    <row r="25" spans="1:8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1</v>
      </c>
    </row>
    <row r="26" spans="1:8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1</v>
      </c>
    </row>
    <row r="27" spans="1:8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1</v>
      </c>
    </row>
    <row r="28" spans="1:8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1</v>
      </c>
    </row>
    <row r="29" spans="1:8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0</v>
      </c>
    </row>
    <row r="30" spans="1:8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0</v>
      </c>
    </row>
    <row r="31" spans="1:8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0</v>
      </c>
    </row>
    <row r="32" spans="1:8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0</v>
      </c>
    </row>
    <row r="33" spans="1:8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1</v>
      </c>
    </row>
    <row r="34" spans="1:8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0</v>
      </c>
    </row>
    <row r="35" spans="1:8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0</v>
      </c>
    </row>
    <row r="36" spans="1:8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0</v>
      </c>
    </row>
    <row r="37" spans="1:8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0</v>
      </c>
    </row>
    <row r="38" spans="1:8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0</v>
      </c>
    </row>
    <row r="39" spans="1:8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1</v>
      </c>
    </row>
    <row r="40" spans="1:8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1</v>
      </c>
    </row>
    <row r="41" spans="1:8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1</v>
      </c>
    </row>
    <row r="42" spans="1:8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0</v>
      </c>
    </row>
    <row r="43" spans="1:8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0</v>
      </c>
    </row>
    <row r="44" spans="1:8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0</v>
      </c>
    </row>
    <row r="45" spans="1:8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1</v>
      </c>
    </row>
    <row r="46" spans="1:8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0</v>
      </c>
    </row>
    <row r="47" spans="1:8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1</v>
      </c>
    </row>
    <row r="48" spans="1:8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0</v>
      </c>
    </row>
    <row r="49" spans="1:8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0</v>
      </c>
    </row>
    <row r="50" spans="1:8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1</v>
      </c>
    </row>
    <row r="51" spans="1:8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0</v>
      </c>
    </row>
    <row r="52" spans="1:8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0</v>
      </c>
    </row>
    <row r="53" spans="1:8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0</v>
      </c>
    </row>
    <row r="54" spans="1:8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0</v>
      </c>
    </row>
    <row r="55" spans="1:8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1</v>
      </c>
    </row>
    <row r="56" spans="1:8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0</v>
      </c>
    </row>
    <row r="57" spans="1:8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0</v>
      </c>
    </row>
    <row r="58" spans="1:8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1</v>
      </c>
    </row>
    <row r="59" spans="1:8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0</v>
      </c>
    </row>
    <row r="60" spans="1:8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0</v>
      </c>
    </row>
    <row r="61" spans="1:8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0</v>
      </c>
    </row>
    <row r="62" spans="1:8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0</v>
      </c>
    </row>
    <row r="63" spans="1:8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1</v>
      </c>
    </row>
    <row r="64" spans="1:8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0</v>
      </c>
    </row>
    <row r="65" spans="1:8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0</v>
      </c>
    </row>
    <row r="66" spans="1:8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1</v>
      </c>
    </row>
    <row r="67" spans="1:8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0</v>
      </c>
    </row>
    <row r="68" spans="1:8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1</v>
      </c>
    </row>
    <row r="69" spans="1:8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0</v>
      </c>
    </row>
    <row r="70" spans="1:8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0</v>
      </c>
    </row>
    <row r="71" spans="1:8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0</v>
      </c>
    </row>
    <row r="72" spans="1:8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1</v>
      </c>
    </row>
    <row r="73" spans="1:8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0</v>
      </c>
    </row>
    <row r="74" spans="1:8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1</v>
      </c>
    </row>
    <row r="75" spans="1:8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0</v>
      </c>
    </row>
    <row r="76" spans="1:8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0</v>
      </c>
    </row>
    <row r="77" spans="1:8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0</v>
      </c>
    </row>
    <row r="78" spans="1:8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0</v>
      </c>
    </row>
    <row r="79" spans="1:8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0</v>
      </c>
    </row>
    <row r="80" spans="1:8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1</v>
      </c>
    </row>
    <row r="81" spans="1:8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0</v>
      </c>
    </row>
    <row r="82" spans="1:8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0</v>
      </c>
    </row>
    <row r="83" spans="1:8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0</v>
      </c>
    </row>
    <row r="84" spans="1:8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0</v>
      </c>
    </row>
    <row r="85" spans="1:8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0</v>
      </c>
    </row>
    <row r="86" spans="1:8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1</v>
      </c>
    </row>
    <row r="87" spans="1:8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0</v>
      </c>
    </row>
    <row r="88" spans="1:8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0</v>
      </c>
    </row>
    <row r="89" spans="1:8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0</v>
      </c>
    </row>
    <row r="90" spans="1:8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1</v>
      </c>
    </row>
    <row r="91" spans="1:8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0</v>
      </c>
    </row>
    <row r="92" spans="1:8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0</v>
      </c>
    </row>
    <row r="93" spans="1:8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0</v>
      </c>
    </row>
    <row r="94" spans="1:8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0</v>
      </c>
    </row>
    <row r="95" spans="1:8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1</v>
      </c>
    </row>
    <row r="96" spans="1:8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0</v>
      </c>
    </row>
    <row r="97" spans="1:8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0</v>
      </c>
    </row>
    <row r="98" spans="1:8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0</v>
      </c>
    </row>
    <row r="99" spans="1:8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0</v>
      </c>
    </row>
    <row r="100" spans="1:8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0</v>
      </c>
    </row>
    <row r="101" spans="1:8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1</v>
      </c>
    </row>
    <row r="102" spans="1:8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1</v>
      </c>
    </row>
    <row r="103" spans="1:8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0</v>
      </c>
    </row>
    <row r="104" spans="1:8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0</v>
      </c>
    </row>
    <row r="105" spans="1:8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0</v>
      </c>
    </row>
    <row r="106" spans="1:8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0</v>
      </c>
    </row>
    <row r="107" spans="1:8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0</v>
      </c>
    </row>
    <row r="108" spans="1:8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0</v>
      </c>
    </row>
    <row r="109" spans="1:8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0</v>
      </c>
    </row>
    <row r="110" spans="1:8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0</v>
      </c>
    </row>
    <row r="111" spans="1:8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1</v>
      </c>
    </row>
    <row r="112" spans="1:8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1</v>
      </c>
    </row>
    <row r="113" spans="1:8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1</v>
      </c>
    </row>
    <row r="114" spans="1:8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0</v>
      </c>
    </row>
    <row r="115" spans="1:8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0</v>
      </c>
    </row>
    <row r="116" spans="1:8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1</v>
      </c>
    </row>
    <row r="117" spans="1:8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1</v>
      </c>
    </row>
    <row r="118" spans="1:8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1</v>
      </c>
    </row>
    <row r="119" spans="1:8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0</v>
      </c>
    </row>
    <row r="120" spans="1:8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0</v>
      </c>
    </row>
    <row r="121" spans="1:8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0</v>
      </c>
    </row>
    <row r="122" spans="1:8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1</v>
      </c>
    </row>
    <row r="123" spans="1:8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0</v>
      </c>
    </row>
    <row r="124" spans="1:8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0</v>
      </c>
    </row>
    <row r="125" spans="1:8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0</v>
      </c>
    </row>
    <row r="126" spans="1:8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1</v>
      </c>
    </row>
    <row r="127" spans="1:8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1</v>
      </c>
    </row>
    <row r="128" spans="1:8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0</v>
      </c>
    </row>
    <row r="129" spans="1:8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0</v>
      </c>
    </row>
    <row r="130" spans="1:8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1</v>
      </c>
    </row>
    <row r="131" spans="1:8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1</v>
      </c>
    </row>
    <row r="132" spans="1:8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1</v>
      </c>
    </row>
    <row r="133" spans="1:8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1</v>
      </c>
    </row>
    <row r="134" spans="1:8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1</v>
      </c>
    </row>
    <row r="135" spans="1:8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0</v>
      </c>
    </row>
    <row r="136" spans="1:8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0</v>
      </c>
    </row>
    <row r="137" spans="1:8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0</v>
      </c>
    </row>
    <row r="138" spans="1:8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0</v>
      </c>
    </row>
    <row r="139" spans="1:8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0</v>
      </c>
    </row>
    <row r="140" spans="1:8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0</v>
      </c>
    </row>
    <row r="141" spans="1:8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0</v>
      </c>
    </row>
    <row r="142" spans="1:8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0</v>
      </c>
    </row>
    <row r="143" spans="1:8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0</v>
      </c>
    </row>
    <row r="144" spans="1:8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0</v>
      </c>
    </row>
    <row r="145" spans="1:8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1</v>
      </c>
    </row>
    <row r="146" spans="1:8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0</v>
      </c>
    </row>
    <row r="147" spans="1:8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0</v>
      </c>
    </row>
    <row r="148" spans="1:8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0</v>
      </c>
    </row>
    <row r="149" spans="1:8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0</v>
      </c>
    </row>
    <row r="150" spans="1:8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0</v>
      </c>
    </row>
    <row r="151" spans="1:8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0</v>
      </c>
    </row>
    <row r="152" spans="1:8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0</v>
      </c>
    </row>
    <row r="153" spans="1:8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0</v>
      </c>
    </row>
    <row r="154" spans="1:8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1</v>
      </c>
    </row>
    <row r="155" spans="1:8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0</v>
      </c>
    </row>
    <row r="156" spans="1:8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1</v>
      </c>
    </row>
    <row r="157" spans="1:8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1</v>
      </c>
    </row>
    <row r="158" spans="1:8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0</v>
      </c>
    </row>
    <row r="159" spans="1:8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0</v>
      </c>
    </row>
    <row r="160" spans="1:8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0</v>
      </c>
    </row>
    <row r="161" spans="1:8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1</v>
      </c>
    </row>
    <row r="162" spans="1:8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0</v>
      </c>
    </row>
    <row r="163" spans="1:8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0</v>
      </c>
    </row>
    <row r="164" spans="1:8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0</v>
      </c>
    </row>
    <row r="165" spans="1:8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0</v>
      </c>
    </row>
    <row r="166" spans="1:8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1</v>
      </c>
    </row>
    <row r="167" spans="1:8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1</v>
      </c>
    </row>
    <row r="168" spans="1:8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0</v>
      </c>
    </row>
    <row r="169" spans="1:8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0</v>
      </c>
    </row>
    <row r="170" spans="1:8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0</v>
      </c>
    </row>
    <row r="171" spans="1:8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0</v>
      </c>
    </row>
    <row r="172" spans="1:8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1</v>
      </c>
    </row>
    <row r="173" spans="1:8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1</v>
      </c>
    </row>
    <row r="174" spans="1:8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0</v>
      </c>
    </row>
    <row r="175" spans="1:8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0</v>
      </c>
    </row>
    <row r="176" spans="1:8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0</v>
      </c>
    </row>
    <row r="177" spans="1:8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1</v>
      </c>
    </row>
    <row r="178" spans="1:8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0</v>
      </c>
    </row>
    <row r="179" spans="1:8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1</v>
      </c>
    </row>
    <row r="180" spans="1:8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0</v>
      </c>
    </row>
    <row r="181" spans="1:8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1</v>
      </c>
    </row>
    <row r="182" spans="1:8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0</v>
      </c>
    </row>
    <row r="183" spans="1:8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0</v>
      </c>
    </row>
    <row r="184" spans="1:8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0</v>
      </c>
    </row>
    <row r="185" spans="1:8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0</v>
      </c>
    </row>
    <row r="186" spans="1:8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0</v>
      </c>
    </row>
    <row r="187" spans="1:8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1</v>
      </c>
    </row>
    <row r="188" spans="1:8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1</v>
      </c>
    </row>
    <row r="189" spans="1:8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1</v>
      </c>
    </row>
    <row r="190" spans="1:8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1</v>
      </c>
    </row>
    <row r="191" spans="1:8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1</v>
      </c>
    </row>
    <row r="192" spans="1:8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0</v>
      </c>
    </row>
    <row r="193" spans="1:8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0</v>
      </c>
    </row>
    <row r="194" spans="1:8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1</v>
      </c>
    </row>
    <row r="195" spans="1:8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1</v>
      </c>
    </row>
    <row r="196" spans="1:8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0</v>
      </c>
    </row>
    <row r="197" spans="1:8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1</v>
      </c>
    </row>
    <row r="198" spans="1:8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0</v>
      </c>
    </row>
    <row r="199" spans="1:8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1</v>
      </c>
    </row>
    <row r="200" spans="1:8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1</v>
      </c>
    </row>
    <row r="201" spans="1:8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1</v>
      </c>
    </row>
    <row r="202" spans="1:8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0</v>
      </c>
    </row>
    <row r="203" spans="1:8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0</v>
      </c>
    </row>
    <row r="204" spans="1:8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0</v>
      </c>
    </row>
    <row r="205" spans="1:8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0</v>
      </c>
    </row>
    <row r="206" spans="1:8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0</v>
      </c>
    </row>
    <row r="207" spans="1:8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0</v>
      </c>
    </row>
    <row r="208" spans="1:8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1</v>
      </c>
    </row>
    <row r="209" spans="1:8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1</v>
      </c>
    </row>
    <row r="210" spans="1:8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0</v>
      </c>
    </row>
    <row r="211" spans="1:8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1</v>
      </c>
    </row>
    <row r="212" spans="1:8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0</v>
      </c>
    </row>
    <row r="213" spans="1:8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0</v>
      </c>
    </row>
    <row r="214" spans="1:8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0</v>
      </c>
    </row>
    <row r="215" spans="1:8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1</v>
      </c>
    </row>
    <row r="216" spans="1:8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1</v>
      </c>
    </row>
    <row r="217" spans="1:8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1</v>
      </c>
    </row>
    <row r="218" spans="1:8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1</v>
      </c>
    </row>
    <row r="219" spans="1:8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0</v>
      </c>
    </row>
    <row r="220" spans="1:8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1</v>
      </c>
    </row>
    <row r="221" spans="1:8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1</v>
      </c>
    </row>
    <row r="222" spans="1:8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1</v>
      </c>
    </row>
    <row r="223" spans="1:8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1</v>
      </c>
    </row>
    <row r="224" spans="1:8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0</v>
      </c>
    </row>
    <row r="225" spans="1:8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0</v>
      </c>
    </row>
    <row r="226" spans="1:8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0</v>
      </c>
    </row>
    <row r="227" spans="1:8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0</v>
      </c>
    </row>
    <row r="228" spans="1:8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0</v>
      </c>
    </row>
    <row r="229" spans="1:8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1</v>
      </c>
    </row>
    <row r="230" spans="1:8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0</v>
      </c>
    </row>
    <row r="231" spans="1:8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0</v>
      </c>
    </row>
    <row r="232" spans="1:8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1</v>
      </c>
    </row>
    <row r="233" spans="1:8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1</v>
      </c>
    </row>
    <row r="234" spans="1:8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0</v>
      </c>
    </row>
    <row r="235" spans="1:8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0</v>
      </c>
    </row>
    <row r="236" spans="1:8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0</v>
      </c>
    </row>
    <row r="237" spans="1:8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1</v>
      </c>
    </row>
    <row r="238" spans="1:8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1</v>
      </c>
    </row>
    <row r="239" spans="1:8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1</v>
      </c>
    </row>
    <row r="240" spans="1:8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1</v>
      </c>
    </row>
    <row r="241" spans="1:8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0</v>
      </c>
    </row>
    <row r="242" spans="1:8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0</v>
      </c>
    </row>
    <row r="243" spans="1:8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0</v>
      </c>
    </row>
    <row r="244" spans="1:8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1</v>
      </c>
    </row>
    <row r="245" spans="1:8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1</v>
      </c>
    </row>
    <row r="246" spans="1:8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0</v>
      </c>
    </row>
    <row r="247" spans="1:8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1</v>
      </c>
    </row>
    <row r="248" spans="1:8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0</v>
      </c>
    </row>
    <row r="249" spans="1:8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0</v>
      </c>
    </row>
    <row r="250" spans="1:8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0</v>
      </c>
    </row>
    <row r="251" spans="1:8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0</v>
      </c>
    </row>
    <row r="252" spans="1:8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0</v>
      </c>
    </row>
    <row r="253" spans="1:8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0</v>
      </c>
    </row>
    <row r="254" spans="1:8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0</v>
      </c>
    </row>
    <row r="255" spans="1:8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0</v>
      </c>
    </row>
    <row r="256" spans="1:8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1</v>
      </c>
    </row>
    <row r="257" spans="1:8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1</v>
      </c>
    </row>
    <row r="258" spans="1:8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0</v>
      </c>
    </row>
    <row r="259" spans="1:8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0</v>
      </c>
    </row>
    <row r="260" spans="1:8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0</v>
      </c>
    </row>
    <row r="261" spans="1:8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1</v>
      </c>
    </row>
    <row r="262" spans="1:8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0</v>
      </c>
    </row>
    <row r="263" spans="1:8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1</v>
      </c>
    </row>
    <row r="264" spans="1:8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0</v>
      </c>
    </row>
    <row r="265" spans="1:8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0</v>
      </c>
    </row>
    <row r="266" spans="1:8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1</v>
      </c>
    </row>
    <row r="267" spans="1:8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0</v>
      </c>
    </row>
    <row r="268" spans="1:8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1</v>
      </c>
    </row>
    <row r="269" spans="1:8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0</v>
      </c>
    </row>
    <row r="270" spans="1:8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0</v>
      </c>
    </row>
    <row r="271" spans="1:8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1</v>
      </c>
    </row>
    <row r="272" spans="1:8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1</v>
      </c>
    </row>
    <row r="273" spans="1:8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0</v>
      </c>
    </row>
    <row r="274" spans="1:8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0</v>
      </c>
    </row>
    <row r="275" spans="1:8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0</v>
      </c>
    </row>
    <row r="276" spans="1:8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0</v>
      </c>
    </row>
    <row r="277" spans="1:8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0</v>
      </c>
    </row>
    <row r="278" spans="1:8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1</v>
      </c>
    </row>
    <row r="279" spans="1:8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0</v>
      </c>
    </row>
    <row r="280" spans="1:8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0</v>
      </c>
    </row>
    <row r="281" spans="1:8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0</v>
      </c>
    </row>
    <row r="282" spans="1:8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1</v>
      </c>
    </row>
    <row r="283" spans="1:8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0</v>
      </c>
    </row>
    <row r="284" spans="1:8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0</v>
      </c>
    </row>
    <row r="285" spans="1:8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1</v>
      </c>
    </row>
    <row r="286" spans="1:8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1</v>
      </c>
    </row>
    <row r="287" spans="1:8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0</v>
      </c>
    </row>
    <row r="288" spans="1:8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0</v>
      </c>
    </row>
    <row r="289" spans="1:8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1</v>
      </c>
    </row>
    <row r="290" spans="1:8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0</v>
      </c>
    </row>
    <row r="291" spans="1:8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0</v>
      </c>
    </row>
    <row r="292" spans="1:8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0</v>
      </c>
    </row>
    <row r="293" spans="1:8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1</v>
      </c>
    </row>
    <row r="294" spans="1:8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1</v>
      </c>
    </row>
    <row r="295" spans="1:8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1</v>
      </c>
    </row>
    <row r="296" spans="1:8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0</v>
      </c>
    </row>
    <row r="297" spans="1:8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0</v>
      </c>
    </row>
    <row r="298" spans="1:8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1</v>
      </c>
    </row>
    <row r="299" spans="1:8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0</v>
      </c>
    </row>
    <row r="300" spans="1:8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1</v>
      </c>
    </row>
    <row r="301" spans="1:8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0</v>
      </c>
    </row>
    <row r="302" spans="1:8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1</v>
      </c>
    </row>
    <row r="303" spans="1:8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1</v>
      </c>
    </row>
    <row r="304" spans="1:8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0</v>
      </c>
    </row>
    <row r="305" spans="1:8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1</v>
      </c>
    </row>
    <row r="306" spans="1:8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0</v>
      </c>
    </row>
    <row r="307" spans="1:8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0</v>
      </c>
    </row>
    <row r="308" spans="1:8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1</v>
      </c>
    </row>
    <row r="309" spans="1:8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0</v>
      </c>
    </row>
    <row r="310" spans="1:8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1</v>
      </c>
    </row>
    <row r="311" spans="1:8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1</v>
      </c>
    </row>
    <row r="312" spans="1:8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0</v>
      </c>
    </row>
    <row r="313" spans="1:8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0</v>
      </c>
    </row>
    <row r="314" spans="1:8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1</v>
      </c>
    </row>
    <row r="315" spans="1:8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0</v>
      </c>
    </row>
    <row r="316" spans="1:8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1</v>
      </c>
    </row>
    <row r="317" spans="1:8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0</v>
      </c>
    </row>
    <row r="318" spans="1:8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0</v>
      </c>
    </row>
    <row r="319" spans="1:8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1</v>
      </c>
    </row>
    <row r="320" spans="1:8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0</v>
      </c>
    </row>
    <row r="321" spans="1:8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1</v>
      </c>
    </row>
    <row r="322" spans="1:8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0</v>
      </c>
    </row>
    <row r="323" spans="1:8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1</v>
      </c>
    </row>
    <row r="324" spans="1:8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1</v>
      </c>
    </row>
    <row r="325" spans="1:8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1</v>
      </c>
    </row>
    <row r="326" spans="1:8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0</v>
      </c>
    </row>
    <row r="327" spans="1:8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0</v>
      </c>
    </row>
    <row r="328" spans="1:8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1</v>
      </c>
    </row>
    <row r="329" spans="1:8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0</v>
      </c>
    </row>
    <row r="330" spans="1:8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1</v>
      </c>
    </row>
    <row r="331" spans="1:8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0</v>
      </c>
    </row>
    <row r="332" spans="1:8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0</v>
      </c>
    </row>
    <row r="333" spans="1:8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0</v>
      </c>
    </row>
    <row r="334" spans="1:8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1</v>
      </c>
    </row>
    <row r="335" spans="1:8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0</v>
      </c>
    </row>
    <row r="336" spans="1:8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0</v>
      </c>
    </row>
    <row r="337" spans="1:8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0</v>
      </c>
    </row>
    <row r="338" spans="1:8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0</v>
      </c>
    </row>
    <row r="339" spans="1:8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1</v>
      </c>
    </row>
    <row r="340" spans="1:8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1</v>
      </c>
    </row>
    <row r="341" spans="1:8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1</v>
      </c>
    </row>
    <row r="342" spans="1:8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0</v>
      </c>
    </row>
    <row r="343" spans="1:8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0</v>
      </c>
    </row>
    <row r="344" spans="1:8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0</v>
      </c>
    </row>
    <row r="345" spans="1:8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0</v>
      </c>
    </row>
    <row r="346" spans="1:8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0</v>
      </c>
    </row>
    <row r="347" spans="1:8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0</v>
      </c>
    </row>
    <row r="348" spans="1:8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0</v>
      </c>
    </row>
    <row r="349" spans="1:8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0</v>
      </c>
    </row>
    <row r="350" spans="1:8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0</v>
      </c>
    </row>
    <row r="351" spans="1:8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1</v>
      </c>
    </row>
    <row r="352" spans="1:8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0</v>
      </c>
    </row>
    <row r="353" spans="1:8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0</v>
      </c>
    </row>
    <row r="354" spans="1:8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0</v>
      </c>
    </row>
    <row r="355" spans="1:8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0</v>
      </c>
    </row>
    <row r="356" spans="1:8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0</v>
      </c>
    </row>
    <row r="357" spans="1:8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1</v>
      </c>
    </row>
    <row r="358" spans="1:8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1</v>
      </c>
    </row>
    <row r="359" spans="1:8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1</v>
      </c>
    </row>
    <row r="360" spans="1:8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0</v>
      </c>
    </row>
    <row r="361" spans="1:8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1</v>
      </c>
    </row>
    <row r="362" spans="1:8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1</v>
      </c>
    </row>
    <row r="363" spans="1:8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0</v>
      </c>
    </row>
    <row r="364" spans="1:8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0</v>
      </c>
    </row>
    <row r="365" spans="1:8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1</v>
      </c>
    </row>
    <row r="366" spans="1:8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0</v>
      </c>
    </row>
    <row r="367" spans="1:8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0</v>
      </c>
    </row>
    <row r="368" spans="1:8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1</v>
      </c>
    </row>
    <row r="369" spans="1:8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0</v>
      </c>
    </row>
    <row r="370" spans="1:8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0</v>
      </c>
    </row>
    <row r="371" spans="1:8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1</v>
      </c>
    </row>
    <row r="372" spans="1:8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1</v>
      </c>
    </row>
    <row r="373" spans="1:8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0</v>
      </c>
    </row>
    <row r="374" spans="1:8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0</v>
      </c>
    </row>
    <row r="375" spans="1:8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0</v>
      </c>
    </row>
    <row r="376" spans="1:8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0</v>
      </c>
    </row>
    <row r="377" spans="1:8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1</v>
      </c>
    </row>
    <row r="378" spans="1:8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0</v>
      </c>
    </row>
    <row r="379" spans="1:8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0</v>
      </c>
    </row>
    <row r="380" spans="1:8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1</v>
      </c>
    </row>
    <row r="381" spans="1:8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0</v>
      </c>
    </row>
    <row r="382" spans="1:8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0</v>
      </c>
    </row>
    <row r="383" spans="1:8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0</v>
      </c>
    </row>
    <row r="384" spans="1:8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0</v>
      </c>
    </row>
    <row r="385" spans="1:8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0</v>
      </c>
    </row>
    <row r="386" spans="1:8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0</v>
      </c>
    </row>
    <row r="387" spans="1:8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0</v>
      </c>
    </row>
    <row r="388" spans="1:8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1</v>
      </c>
    </row>
    <row r="389" spans="1:8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1</v>
      </c>
    </row>
    <row r="390" spans="1:8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1</v>
      </c>
    </row>
    <row r="391" spans="1:8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0</v>
      </c>
    </row>
    <row r="392" spans="1:8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0</v>
      </c>
    </row>
    <row r="393" spans="1:8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1</v>
      </c>
    </row>
    <row r="394" spans="1:8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0</v>
      </c>
    </row>
    <row r="395" spans="1:8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0</v>
      </c>
    </row>
    <row r="396" spans="1:8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1</v>
      </c>
    </row>
    <row r="397" spans="1:8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0</v>
      </c>
    </row>
    <row r="398" spans="1:8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0</v>
      </c>
    </row>
    <row r="399" spans="1:8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1</v>
      </c>
    </row>
    <row r="400" spans="1:8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0</v>
      </c>
    </row>
    <row r="401" spans="1:8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1</v>
      </c>
    </row>
    <row r="402" spans="1:8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1</v>
      </c>
    </row>
    <row r="403" spans="1:8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0</v>
      </c>
    </row>
    <row r="404" spans="1:8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1</v>
      </c>
    </row>
    <row r="405" spans="1:8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0</v>
      </c>
    </row>
    <row r="406" spans="1:8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1</v>
      </c>
    </row>
    <row r="407" spans="1:8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0</v>
      </c>
    </row>
    <row r="408" spans="1:8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1</v>
      </c>
    </row>
    <row r="409" spans="1:8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0</v>
      </c>
    </row>
    <row r="410" spans="1:8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1</v>
      </c>
    </row>
    <row r="411" spans="1:8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1</v>
      </c>
    </row>
    <row r="412" spans="1:8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0</v>
      </c>
    </row>
    <row r="413" spans="1:8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0</v>
      </c>
    </row>
    <row r="414" spans="1:8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0</v>
      </c>
    </row>
    <row r="415" spans="1:8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0</v>
      </c>
    </row>
    <row r="416" spans="1:8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1</v>
      </c>
    </row>
    <row r="417" spans="1:8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1</v>
      </c>
    </row>
    <row r="418" spans="1:8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0</v>
      </c>
    </row>
    <row r="419" spans="1:8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1</v>
      </c>
    </row>
    <row r="420" spans="1:8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0</v>
      </c>
    </row>
    <row r="421" spans="1:8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1</v>
      </c>
    </row>
    <row r="422" spans="1:8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0</v>
      </c>
    </row>
    <row r="423" spans="1:8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0</v>
      </c>
    </row>
    <row r="424" spans="1:8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0</v>
      </c>
    </row>
    <row r="425" spans="1:8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0</v>
      </c>
    </row>
    <row r="426" spans="1:8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1</v>
      </c>
    </row>
    <row r="427" spans="1:8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1</v>
      </c>
    </row>
    <row r="428" spans="1:8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0</v>
      </c>
    </row>
    <row r="429" spans="1:8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1</v>
      </c>
    </row>
    <row r="430" spans="1:8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0</v>
      </c>
    </row>
    <row r="431" spans="1:8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1</v>
      </c>
    </row>
    <row r="432" spans="1:8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0</v>
      </c>
    </row>
    <row r="433" spans="1:8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0</v>
      </c>
    </row>
    <row r="434" spans="1:8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0</v>
      </c>
    </row>
    <row r="435" spans="1:8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0</v>
      </c>
    </row>
    <row r="436" spans="1:8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0</v>
      </c>
    </row>
    <row r="437" spans="1:8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1</v>
      </c>
    </row>
    <row r="438" spans="1:8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0</v>
      </c>
    </row>
    <row r="439" spans="1:8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0</v>
      </c>
    </row>
    <row r="440" spans="1:8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0</v>
      </c>
    </row>
    <row r="441" spans="1:8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0</v>
      </c>
    </row>
    <row r="442" spans="1:8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1</v>
      </c>
    </row>
    <row r="443" spans="1:8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0</v>
      </c>
    </row>
    <row r="444" spans="1:8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0</v>
      </c>
    </row>
    <row r="445" spans="1:8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1</v>
      </c>
    </row>
    <row r="446" spans="1:8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1</v>
      </c>
    </row>
    <row r="447" spans="1:8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1</v>
      </c>
    </row>
    <row r="448" spans="1:8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0</v>
      </c>
    </row>
    <row r="449" spans="1:8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0</v>
      </c>
    </row>
    <row r="450" spans="1:8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1</v>
      </c>
    </row>
    <row r="451" spans="1:8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0</v>
      </c>
    </row>
    <row r="452" spans="1:8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0</v>
      </c>
    </row>
    <row r="453" spans="1:8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1</v>
      </c>
    </row>
    <row r="454" spans="1:8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0</v>
      </c>
    </row>
    <row r="455" spans="1:8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0</v>
      </c>
    </row>
    <row r="456" spans="1:8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0</v>
      </c>
    </row>
    <row r="457" spans="1:8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1</v>
      </c>
    </row>
    <row r="458" spans="1:8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0</v>
      </c>
    </row>
    <row r="459" spans="1:8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0</v>
      </c>
    </row>
    <row r="460" spans="1:8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1</v>
      </c>
    </row>
    <row r="461" spans="1:8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0</v>
      </c>
    </row>
    <row r="462" spans="1:8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0</v>
      </c>
    </row>
    <row r="463" spans="1:8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0</v>
      </c>
    </row>
    <row r="464" spans="1:8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0</v>
      </c>
    </row>
    <row r="465" spans="1:8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0</v>
      </c>
    </row>
    <row r="466" spans="1:8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0</v>
      </c>
    </row>
    <row r="467" spans="1:8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0</v>
      </c>
    </row>
    <row r="468" spans="1:8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0</v>
      </c>
    </row>
    <row r="469" spans="1:8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0</v>
      </c>
    </row>
    <row r="470" spans="1:8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1</v>
      </c>
    </row>
    <row r="471" spans="1:8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0</v>
      </c>
    </row>
    <row r="472" spans="1:8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0</v>
      </c>
    </row>
    <row r="473" spans="1:8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0</v>
      </c>
    </row>
    <row r="474" spans="1:8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0</v>
      </c>
    </row>
    <row r="475" spans="1:8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0</v>
      </c>
    </row>
    <row r="476" spans="1:8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0</v>
      </c>
    </row>
    <row r="477" spans="1:8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0</v>
      </c>
    </row>
    <row r="478" spans="1:8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1</v>
      </c>
    </row>
    <row r="479" spans="1:8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0</v>
      </c>
    </row>
    <row r="480" spans="1:8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0</v>
      </c>
    </row>
    <row r="481" spans="1:8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0</v>
      </c>
    </row>
    <row r="482" spans="1:8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1</v>
      </c>
    </row>
    <row r="483" spans="1:8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0</v>
      </c>
    </row>
    <row r="484" spans="1:8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0</v>
      </c>
    </row>
    <row r="485" spans="1:8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0</v>
      </c>
    </row>
    <row r="486" spans="1:8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1</v>
      </c>
    </row>
    <row r="487" spans="1:8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1</v>
      </c>
    </row>
    <row r="488" spans="1:8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0</v>
      </c>
    </row>
    <row r="489" spans="1:8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0</v>
      </c>
    </row>
    <row r="490" spans="1:8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0</v>
      </c>
    </row>
    <row r="491" spans="1:8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0</v>
      </c>
    </row>
    <row r="492" spans="1:8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0</v>
      </c>
    </row>
    <row r="493" spans="1:8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0</v>
      </c>
    </row>
    <row r="494" spans="1:8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0</v>
      </c>
    </row>
    <row r="495" spans="1:8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1</v>
      </c>
    </row>
    <row r="496" spans="1:8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0</v>
      </c>
    </row>
    <row r="497" spans="1:8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0</v>
      </c>
    </row>
    <row r="498" spans="1:8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0</v>
      </c>
    </row>
    <row r="499" spans="1:8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0</v>
      </c>
    </row>
    <row r="500" spans="1:8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1</v>
      </c>
    </row>
    <row r="501" spans="1:8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0</v>
      </c>
    </row>
    <row r="502" spans="1:8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0</v>
      </c>
    </row>
    <row r="503" spans="1:8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0</v>
      </c>
    </row>
    <row r="504" spans="1:8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1</v>
      </c>
    </row>
    <row r="505" spans="1:8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0</v>
      </c>
    </row>
    <row r="506" spans="1:8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0</v>
      </c>
    </row>
    <row r="507" spans="1:8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0</v>
      </c>
    </row>
    <row r="508" spans="1:8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1</v>
      </c>
    </row>
    <row r="509" spans="1:8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0</v>
      </c>
    </row>
    <row r="510" spans="1:8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0</v>
      </c>
    </row>
    <row r="511" spans="1:8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0</v>
      </c>
    </row>
    <row r="512" spans="1:8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1</v>
      </c>
    </row>
    <row r="513" spans="1:8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0</v>
      </c>
    </row>
    <row r="514" spans="1:8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0</v>
      </c>
    </row>
    <row r="515" spans="1:8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0</v>
      </c>
    </row>
    <row r="516" spans="1:8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0</v>
      </c>
    </row>
    <row r="517" spans="1:8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1</v>
      </c>
    </row>
    <row r="518" spans="1:8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1</v>
      </c>
    </row>
    <row r="519" spans="1:8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0</v>
      </c>
    </row>
    <row r="520" spans="1:8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0</v>
      </c>
    </row>
    <row r="521" spans="1:8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0</v>
      </c>
    </row>
    <row r="522" spans="1:8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0</v>
      </c>
    </row>
    <row r="523" spans="1:8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0</v>
      </c>
    </row>
    <row r="524" spans="1:8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0</v>
      </c>
    </row>
    <row r="525" spans="1:8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1</v>
      </c>
    </row>
    <row r="526" spans="1:8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0</v>
      </c>
    </row>
    <row r="527" spans="1:8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0</v>
      </c>
    </row>
    <row r="528" spans="1:8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0</v>
      </c>
    </row>
    <row r="529" spans="1:8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0</v>
      </c>
    </row>
    <row r="530" spans="1:8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0</v>
      </c>
    </row>
    <row r="531" spans="1:8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0</v>
      </c>
    </row>
    <row r="532" spans="1:8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0</v>
      </c>
    </row>
    <row r="533" spans="1:8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0</v>
      </c>
    </row>
    <row r="534" spans="1:8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0</v>
      </c>
    </row>
    <row r="535" spans="1:8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0</v>
      </c>
    </row>
    <row r="536" spans="1:8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0</v>
      </c>
    </row>
    <row r="537" spans="1:8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1</v>
      </c>
    </row>
    <row r="538" spans="1:8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0</v>
      </c>
    </row>
    <row r="539" spans="1:8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0</v>
      </c>
    </row>
    <row r="540" spans="1:8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0</v>
      </c>
    </row>
    <row r="541" spans="1:8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1</v>
      </c>
    </row>
    <row r="542" spans="1:8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1</v>
      </c>
    </row>
    <row r="543" spans="1:8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1</v>
      </c>
    </row>
    <row r="544" spans="1:8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1</v>
      </c>
    </row>
    <row r="545" spans="1:8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0</v>
      </c>
    </row>
    <row r="546" spans="1:8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0</v>
      </c>
    </row>
    <row r="547" spans="1:8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1</v>
      </c>
    </row>
    <row r="548" spans="1:8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1</v>
      </c>
    </row>
    <row r="549" spans="1:8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0</v>
      </c>
    </row>
    <row r="550" spans="1:8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0</v>
      </c>
    </row>
    <row r="551" spans="1:8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0</v>
      </c>
    </row>
    <row r="552" spans="1:8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0</v>
      </c>
    </row>
    <row r="553" spans="1:8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0</v>
      </c>
    </row>
    <row r="554" spans="1:8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0</v>
      </c>
    </row>
    <row r="555" spans="1:8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0</v>
      </c>
    </row>
    <row r="556" spans="1:8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0</v>
      </c>
    </row>
    <row r="557" spans="1:8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0</v>
      </c>
    </row>
    <row r="558" spans="1:8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0</v>
      </c>
    </row>
    <row r="559" spans="1:8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0</v>
      </c>
    </row>
    <row r="560" spans="1:8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0</v>
      </c>
    </row>
    <row r="561" spans="1:8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0</v>
      </c>
    </row>
    <row r="562" spans="1:8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1</v>
      </c>
    </row>
    <row r="563" spans="1:8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1</v>
      </c>
    </row>
    <row r="564" spans="1:8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0</v>
      </c>
    </row>
    <row r="565" spans="1:8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0</v>
      </c>
    </row>
    <row r="566" spans="1:8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0</v>
      </c>
    </row>
    <row r="567" spans="1:8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0</v>
      </c>
    </row>
    <row r="568" spans="1:8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0</v>
      </c>
    </row>
    <row r="569" spans="1:8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0</v>
      </c>
    </row>
    <row r="570" spans="1:8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0</v>
      </c>
    </row>
    <row r="571" spans="1:8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1</v>
      </c>
    </row>
    <row r="572" spans="1:8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0</v>
      </c>
    </row>
    <row r="573" spans="1:8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0</v>
      </c>
    </row>
    <row r="574" spans="1:8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0</v>
      </c>
    </row>
    <row r="575" spans="1:8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0</v>
      </c>
    </row>
    <row r="576" spans="1:8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0</v>
      </c>
    </row>
    <row r="577" spans="1:8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0</v>
      </c>
    </row>
    <row r="578" spans="1:8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0</v>
      </c>
    </row>
    <row r="579" spans="1:8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1</v>
      </c>
    </row>
    <row r="580" spans="1:8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0</v>
      </c>
    </row>
    <row r="581" spans="1:8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1</v>
      </c>
    </row>
    <row r="582" spans="1:8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1</v>
      </c>
    </row>
    <row r="583" spans="1:8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0</v>
      </c>
    </row>
    <row r="584" spans="1:8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0</v>
      </c>
    </row>
    <row r="585" spans="1:8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0</v>
      </c>
    </row>
    <row r="586" spans="1:8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1</v>
      </c>
    </row>
    <row r="587" spans="1:8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0</v>
      </c>
    </row>
    <row r="588" spans="1:8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1</v>
      </c>
    </row>
    <row r="589" spans="1:8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0</v>
      </c>
    </row>
    <row r="590" spans="1:8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1</v>
      </c>
    </row>
    <row r="591" spans="1:8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0</v>
      </c>
    </row>
    <row r="592" spans="1:8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1</v>
      </c>
    </row>
    <row r="593" spans="1:8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0</v>
      </c>
    </row>
    <row r="594" spans="1:8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1</v>
      </c>
    </row>
    <row r="595" spans="1:8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0</v>
      </c>
    </row>
    <row r="596" spans="1:8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0</v>
      </c>
    </row>
    <row r="597" spans="1:8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1</v>
      </c>
    </row>
    <row r="598" spans="1:8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0</v>
      </c>
    </row>
    <row r="599" spans="1:8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0</v>
      </c>
    </row>
    <row r="600" spans="1:8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1</v>
      </c>
    </row>
    <row r="601" spans="1:8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0</v>
      </c>
    </row>
    <row r="602" spans="1:8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0</v>
      </c>
    </row>
    <row r="603" spans="1:8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0</v>
      </c>
    </row>
    <row r="604" spans="1:8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0</v>
      </c>
    </row>
    <row r="605" spans="1:8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1</v>
      </c>
    </row>
    <row r="606" spans="1:8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1</v>
      </c>
    </row>
    <row r="607" spans="1:8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0</v>
      </c>
    </row>
    <row r="608" spans="1:8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1</v>
      </c>
    </row>
    <row r="609" spans="1:8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0</v>
      </c>
    </row>
    <row r="610" spans="1:8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0</v>
      </c>
    </row>
    <row r="611" spans="1:8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0</v>
      </c>
    </row>
    <row r="612" spans="1:8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0</v>
      </c>
    </row>
    <row r="613" spans="1:8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1</v>
      </c>
    </row>
    <row r="614" spans="1:8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1</v>
      </c>
    </row>
    <row r="615" spans="1:8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0</v>
      </c>
    </row>
    <row r="616" spans="1:8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1</v>
      </c>
    </row>
    <row r="617" spans="1:8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0</v>
      </c>
    </row>
    <row r="618" spans="1:8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0</v>
      </c>
    </row>
    <row r="619" spans="1:8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0</v>
      </c>
    </row>
    <row r="620" spans="1:8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1</v>
      </c>
    </row>
    <row r="621" spans="1:8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1</v>
      </c>
    </row>
    <row r="622" spans="1:8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0</v>
      </c>
    </row>
    <row r="623" spans="1:8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0</v>
      </c>
    </row>
    <row r="624" spans="1:8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0</v>
      </c>
    </row>
    <row r="625" spans="1:8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0</v>
      </c>
    </row>
    <row r="626" spans="1:8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0</v>
      </c>
    </row>
    <row r="627" spans="1:8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0</v>
      </c>
    </row>
    <row r="628" spans="1:8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0</v>
      </c>
    </row>
    <row r="629" spans="1:8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0</v>
      </c>
    </row>
    <row r="630" spans="1:8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0</v>
      </c>
    </row>
    <row r="631" spans="1:8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0</v>
      </c>
    </row>
    <row r="632" spans="1:8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1</v>
      </c>
    </row>
    <row r="633" spans="1:8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0</v>
      </c>
    </row>
    <row r="634" spans="1:8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0</v>
      </c>
    </row>
    <row r="635" spans="1:8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0</v>
      </c>
    </row>
    <row r="636" spans="1:8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0</v>
      </c>
    </row>
    <row r="637" spans="1:8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1</v>
      </c>
    </row>
    <row r="638" spans="1:8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0</v>
      </c>
    </row>
    <row r="639" spans="1:8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0</v>
      </c>
    </row>
    <row r="640" spans="1:8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1</v>
      </c>
    </row>
    <row r="641" spans="1:8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0</v>
      </c>
    </row>
    <row r="642" spans="1:8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0</v>
      </c>
    </row>
    <row r="643" spans="1:8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0</v>
      </c>
    </row>
    <row r="644" spans="1:8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1</v>
      </c>
    </row>
    <row r="645" spans="1:8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0</v>
      </c>
    </row>
    <row r="646" spans="1:8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0</v>
      </c>
    </row>
    <row r="647" spans="1:8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0</v>
      </c>
    </row>
    <row r="648" spans="1:8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1</v>
      </c>
    </row>
    <row r="649" spans="1:8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1</v>
      </c>
    </row>
    <row r="650" spans="1:8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1</v>
      </c>
    </row>
    <row r="651" spans="1:8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0</v>
      </c>
    </row>
    <row r="652" spans="1:8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0</v>
      </c>
    </row>
    <row r="653" spans="1:8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0</v>
      </c>
    </row>
    <row r="654" spans="1:8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0</v>
      </c>
    </row>
    <row r="655" spans="1:8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0</v>
      </c>
    </row>
    <row r="656" spans="1:8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0</v>
      </c>
    </row>
    <row r="657" spans="1:8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1</v>
      </c>
    </row>
    <row r="658" spans="1:8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0</v>
      </c>
    </row>
    <row r="659" spans="1:8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0</v>
      </c>
    </row>
    <row r="660" spans="1:8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0</v>
      </c>
    </row>
    <row r="661" spans="1:8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1</v>
      </c>
    </row>
    <row r="662" spans="1:8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0</v>
      </c>
    </row>
    <row r="663" spans="1:8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1</v>
      </c>
    </row>
    <row r="664" spans="1:8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1</v>
      </c>
    </row>
    <row r="665" spans="1:8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1</v>
      </c>
    </row>
    <row r="666" spans="1:8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1</v>
      </c>
    </row>
    <row r="667" spans="1:8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0</v>
      </c>
    </row>
    <row r="668" spans="1:8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1</v>
      </c>
    </row>
    <row r="669" spans="1:8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1</v>
      </c>
    </row>
    <row r="670" spans="1:8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0</v>
      </c>
    </row>
    <row r="671" spans="1:8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0</v>
      </c>
    </row>
    <row r="672" spans="1:8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0</v>
      </c>
    </row>
    <row r="673" spans="1:8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0</v>
      </c>
    </row>
    <row r="674" spans="1:8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0</v>
      </c>
    </row>
    <row r="675" spans="1:8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0</v>
      </c>
    </row>
    <row r="676" spans="1:8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0</v>
      </c>
    </row>
    <row r="677" spans="1:8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1</v>
      </c>
    </row>
    <row r="678" spans="1:8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1</v>
      </c>
    </row>
    <row r="679" spans="1:8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0</v>
      </c>
    </row>
    <row r="680" spans="1:8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1</v>
      </c>
    </row>
    <row r="681" spans="1:8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0</v>
      </c>
    </row>
    <row r="682" spans="1:8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0</v>
      </c>
    </row>
    <row r="683" spans="1:8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1</v>
      </c>
    </row>
    <row r="684" spans="1:8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0</v>
      </c>
    </row>
    <row r="685" spans="1:8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1</v>
      </c>
    </row>
    <row r="686" spans="1:8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0</v>
      </c>
    </row>
    <row r="687" spans="1:8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0</v>
      </c>
    </row>
    <row r="688" spans="1:8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0</v>
      </c>
    </row>
    <row r="689" spans="1:8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0</v>
      </c>
    </row>
    <row r="690" spans="1:8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0</v>
      </c>
    </row>
    <row r="691" spans="1:8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1</v>
      </c>
    </row>
    <row r="692" spans="1:8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0</v>
      </c>
    </row>
    <row r="693" spans="1:8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1</v>
      </c>
    </row>
    <row r="694" spans="1:8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0</v>
      </c>
    </row>
    <row r="695" spans="1:8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1</v>
      </c>
    </row>
    <row r="696" spans="1:8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0</v>
      </c>
    </row>
    <row r="697" spans="1:8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1</v>
      </c>
    </row>
    <row r="698" spans="1:8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1</v>
      </c>
    </row>
    <row r="699" spans="1:8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0</v>
      </c>
    </row>
    <row r="700" spans="1:8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0</v>
      </c>
    </row>
    <row r="701" spans="1:8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0</v>
      </c>
    </row>
    <row r="702" spans="1:8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0</v>
      </c>
    </row>
    <row r="703" spans="1:8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1</v>
      </c>
    </row>
    <row r="704" spans="1:8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1</v>
      </c>
    </row>
    <row r="705" spans="1:8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0</v>
      </c>
    </row>
    <row r="706" spans="1:8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0</v>
      </c>
    </row>
    <row r="707" spans="1:8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0</v>
      </c>
    </row>
    <row r="708" spans="1:8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1</v>
      </c>
    </row>
    <row r="709" spans="1:8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0</v>
      </c>
    </row>
    <row r="710" spans="1:8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1</v>
      </c>
    </row>
    <row r="711" spans="1:8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1</v>
      </c>
    </row>
    <row r="712" spans="1:8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0</v>
      </c>
    </row>
    <row r="713" spans="1:8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0</v>
      </c>
    </row>
    <row r="714" spans="1:8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1</v>
      </c>
    </row>
    <row r="715" spans="1:8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0</v>
      </c>
    </row>
    <row r="716" spans="1:8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0</v>
      </c>
    </row>
    <row r="717" spans="1:8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1</v>
      </c>
    </row>
    <row r="718" spans="1:8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1</v>
      </c>
    </row>
    <row r="719" spans="1:8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0</v>
      </c>
    </row>
    <row r="720" spans="1:8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0</v>
      </c>
    </row>
    <row r="721" spans="1:8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1</v>
      </c>
    </row>
    <row r="722" spans="1:8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0</v>
      </c>
    </row>
    <row r="723" spans="1:8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0</v>
      </c>
    </row>
    <row r="724" spans="1:8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1</v>
      </c>
    </row>
    <row r="725" spans="1:8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0</v>
      </c>
    </row>
    <row r="726" spans="1:8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0</v>
      </c>
    </row>
    <row r="727" spans="1:8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0</v>
      </c>
    </row>
    <row r="728" spans="1:8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0</v>
      </c>
    </row>
    <row r="729" spans="1:8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0</v>
      </c>
    </row>
    <row r="730" spans="1:8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0</v>
      </c>
    </row>
    <row r="731" spans="1:8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0</v>
      </c>
    </row>
    <row r="732" spans="1:8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1</v>
      </c>
    </row>
    <row r="733" spans="1:8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1</v>
      </c>
    </row>
    <row r="734" spans="1:8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1</v>
      </c>
    </row>
    <row r="735" spans="1:8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0</v>
      </c>
    </row>
    <row r="736" spans="1:8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0</v>
      </c>
    </row>
    <row r="737" spans="1:8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0</v>
      </c>
    </row>
    <row r="738" spans="1:8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0</v>
      </c>
    </row>
    <row r="739" spans="1:8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0</v>
      </c>
    </row>
    <row r="740" spans="1:8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0</v>
      </c>
    </row>
    <row r="741" spans="1:8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1</v>
      </c>
    </row>
    <row r="742" spans="1:8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1</v>
      </c>
    </row>
    <row r="743" spans="1:8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0</v>
      </c>
    </row>
    <row r="744" spans="1:8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0</v>
      </c>
    </row>
    <row r="745" spans="1:8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1</v>
      </c>
    </row>
    <row r="746" spans="1:8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0</v>
      </c>
    </row>
    <row r="747" spans="1:8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0</v>
      </c>
    </row>
    <row r="748" spans="1:8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1</v>
      </c>
    </row>
    <row r="749" spans="1:8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0</v>
      </c>
    </row>
    <row r="750" spans="1:8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1</v>
      </c>
    </row>
    <row r="751" spans="1:8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1</v>
      </c>
    </row>
    <row r="752" spans="1:8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1</v>
      </c>
    </row>
    <row r="753" spans="1:8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0</v>
      </c>
    </row>
    <row r="754" spans="1:8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0</v>
      </c>
    </row>
    <row r="755" spans="1:8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1</v>
      </c>
    </row>
    <row r="756" spans="1:8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1</v>
      </c>
    </row>
    <row r="757" spans="1:8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1</v>
      </c>
    </row>
    <row r="758" spans="1:8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0</v>
      </c>
    </row>
    <row r="759" spans="1:8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1</v>
      </c>
    </row>
    <row r="760" spans="1:8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0</v>
      </c>
    </row>
    <row r="761" spans="1:8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1</v>
      </c>
    </row>
    <row r="762" spans="1:8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0</v>
      </c>
    </row>
    <row r="763" spans="1:8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1</v>
      </c>
    </row>
    <row r="764" spans="1:8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0</v>
      </c>
    </row>
    <row r="765" spans="1:8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0</v>
      </c>
    </row>
    <row r="766" spans="1:8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0</v>
      </c>
    </row>
    <row r="767" spans="1:8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0</v>
      </c>
    </row>
    <row r="768" spans="1:8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1</v>
      </c>
    </row>
    <row r="769" spans="1:8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D9E5-D735-41E5-80C7-24863F6AB7B7}">
  <dimension ref="A1:H769"/>
  <sheetViews>
    <sheetView topLeftCell="A52" zoomScale="179" zoomScaleNormal="179" workbookViewId="0">
      <selection activeCell="G49" sqref="G49"/>
    </sheetView>
  </sheetViews>
  <sheetFormatPr defaultRowHeight="14.4" x14ac:dyDescent="0.3"/>
  <cols>
    <col min="1" max="1" width="10.6640625" bestFit="1" customWidth="1"/>
    <col min="5" max="5" width="10.88671875" customWidth="1"/>
  </cols>
  <sheetData>
    <row r="1" spans="1:8" x14ac:dyDescent="0.3">
      <c r="A1" t="s">
        <v>0</v>
      </c>
    </row>
    <row r="2" spans="1:8" x14ac:dyDescent="0.3">
      <c r="A2">
        <v>6</v>
      </c>
      <c r="C2" t="s">
        <v>20</v>
      </c>
    </row>
    <row r="3" spans="1:8" x14ac:dyDescent="0.3">
      <c r="A3">
        <v>1</v>
      </c>
      <c r="C3" t="s">
        <v>21</v>
      </c>
    </row>
    <row r="4" spans="1:8" x14ac:dyDescent="0.3">
      <c r="A4">
        <v>8</v>
      </c>
      <c r="C4" t="s">
        <v>22</v>
      </c>
    </row>
    <row r="5" spans="1:8" x14ac:dyDescent="0.3">
      <c r="A5">
        <v>1</v>
      </c>
      <c r="C5">
        <f>SUM(A2:A769)</f>
        <v>2953</v>
      </c>
      <c r="D5" t="s">
        <v>23</v>
      </c>
      <c r="E5" t="s">
        <v>25</v>
      </c>
    </row>
    <row r="6" spans="1:8" x14ac:dyDescent="0.3">
      <c r="A6">
        <v>0</v>
      </c>
      <c r="C6">
        <f>AVERAGE(A2:A769)</f>
        <v>3.8450520833333335</v>
      </c>
      <c r="D6" t="s">
        <v>24</v>
      </c>
      <c r="E6" t="s">
        <v>26</v>
      </c>
    </row>
    <row r="7" spans="1:8" x14ac:dyDescent="0.3">
      <c r="A7">
        <v>5</v>
      </c>
    </row>
    <row r="8" spans="1:8" x14ac:dyDescent="0.3">
      <c r="A8">
        <v>3</v>
      </c>
      <c r="C8">
        <f>SUMIF(A2:A769,"&lt;4")</f>
        <v>566</v>
      </c>
      <c r="D8" t="s">
        <v>32</v>
      </c>
      <c r="E8" t="s">
        <v>27</v>
      </c>
      <c r="F8" t="s">
        <v>28</v>
      </c>
    </row>
    <row r="9" spans="1:8" x14ac:dyDescent="0.3">
      <c r="A9">
        <v>10</v>
      </c>
      <c r="C9">
        <f>SUMIF(A2:A769,"&lt;=4")</f>
        <v>838</v>
      </c>
      <c r="D9" t="s">
        <v>33</v>
      </c>
      <c r="E9" t="s">
        <v>29</v>
      </c>
    </row>
    <row r="10" spans="1:8" x14ac:dyDescent="0.3">
      <c r="A10">
        <v>2</v>
      </c>
      <c r="C10">
        <f>SUMIF(A2:A769,"&gt;4")</f>
        <v>2115</v>
      </c>
      <c r="D10" t="s">
        <v>34</v>
      </c>
      <c r="E10" t="s">
        <v>30</v>
      </c>
      <c r="H10" t="s">
        <v>31</v>
      </c>
    </row>
    <row r="11" spans="1:8" x14ac:dyDescent="0.3">
      <c r="A11">
        <v>8</v>
      </c>
      <c r="C11">
        <f>SUMIF(A2:A769,"=4")</f>
        <v>272</v>
      </c>
      <c r="D11" t="s">
        <v>35</v>
      </c>
    </row>
    <row r="12" spans="1:8" x14ac:dyDescent="0.3">
      <c r="A12">
        <v>4</v>
      </c>
    </row>
    <row r="13" spans="1:8" x14ac:dyDescent="0.3">
      <c r="A13">
        <v>10</v>
      </c>
      <c r="C13">
        <f>AVERAGEIF(A2:A769,"&lt;4")</f>
        <v>1.3349056603773586</v>
      </c>
      <c r="E13" t="s">
        <v>36</v>
      </c>
    </row>
    <row r="14" spans="1:8" x14ac:dyDescent="0.3">
      <c r="A14">
        <v>10</v>
      </c>
      <c r="C14" t="s">
        <v>61</v>
      </c>
    </row>
    <row r="15" spans="1:8" x14ac:dyDescent="0.3">
      <c r="A15">
        <v>1</v>
      </c>
      <c r="C15">
        <f>COUNTIF(A2:A769,"&lt;4")</f>
        <v>424</v>
      </c>
    </row>
    <row r="16" spans="1:8" x14ac:dyDescent="0.3">
      <c r="A16">
        <v>5</v>
      </c>
      <c r="C16">
        <f>COUNTIF(A2:A769,"&gt;4")</f>
        <v>276</v>
      </c>
    </row>
    <row r="17" spans="1:8" x14ac:dyDescent="0.3">
      <c r="A17">
        <v>7</v>
      </c>
      <c r="E17" t="s">
        <v>37</v>
      </c>
    </row>
    <row r="18" spans="1:8" x14ac:dyDescent="0.3">
      <c r="A18">
        <v>0</v>
      </c>
      <c r="E18" t="s">
        <v>38</v>
      </c>
    </row>
    <row r="19" spans="1:8" x14ac:dyDescent="0.3">
      <c r="A19">
        <v>7</v>
      </c>
    </row>
    <row r="20" spans="1:8" x14ac:dyDescent="0.3">
      <c r="A20">
        <v>1</v>
      </c>
      <c r="E20" t="s">
        <v>39</v>
      </c>
      <c r="F20" t="s">
        <v>40</v>
      </c>
    </row>
    <row r="21" spans="1:8" x14ac:dyDescent="0.3">
      <c r="A21">
        <v>1</v>
      </c>
      <c r="E21">
        <v>5</v>
      </c>
      <c r="F21">
        <v>1000</v>
      </c>
      <c r="G21">
        <f>E21*F21</f>
        <v>5000</v>
      </c>
      <c r="H21">
        <f>SUM(G21:G24)</f>
        <v>17500</v>
      </c>
    </row>
    <row r="22" spans="1:8" x14ac:dyDescent="0.3">
      <c r="A22">
        <v>3</v>
      </c>
      <c r="E22">
        <v>3</v>
      </c>
      <c r="F22">
        <v>1500</v>
      </c>
      <c r="G22">
        <f>E22*F22</f>
        <v>4500</v>
      </c>
    </row>
    <row r="23" spans="1:8" x14ac:dyDescent="0.3">
      <c r="A23">
        <v>8</v>
      </c>
      <c r="E23">
        <v>2</v>
      </c>
      <c r="F23">
        <v>2000</v>
      </c>
      <c r="G23">
        <f>E23*F23</f>
        <v>4000</v>
      </c>
    </row>
    <row r="24" spans="1:8" x14ac:dyDescent="0.3">
      <c r="A24">
        <v>7</v>
      </c>
      <c r="E24">
        <v>1</v>
      </c>
      <c r="F24">
        <v>4000</v>
      </c>
      <c r="G24">
        <f>E24*F24</f>
        <v>4000</v>
      </c>
    </row>
    <row r="25" spans="1:8" x14ac:dyDescent="0.3">
      <c r="A25">
        <v>9</v>
      </c>
      <c r="E25" t="s">
        <v>41</v>
      </c>
    </row>
    <row r="26" spans="1:8" x14ac:dyDescent="0.3">
      <c r="A26">
        <v>11</v>
      </c>
      <c r="E26">
        <f>SUMPRODUCT(E21:E24,F21:F24)</f>
        <v>17500</v>
      </c>
    </row>
    <row r="27" spans="1:8" x14ac:dyDescent="0.3">
      <c r="A27">
        <v>10</v>
      </c>
      <c r="E27">
        <f>SUMPRODUCT(E21:E24,F21:F24)</f>
        <v>17500</v>
      </c>
    </row>
    <row r="28" spans="1:8" x14ac:dyDescent="0.3">
      <c r="A28">
        <v>7</v>
      </c>
    </row>
    <row r="29" spans="1:8" x14ac:dyDescent="0.3">
      <c r="A29">
        <v>1</v>
      </c>
      <c r="E29" t="s">
        <v>42</v>
      </c>
      <c r="F29" t="s">
        <v>44</v>
      </c>
    </row>
    <row r="30" spans="1:8" x14ac:dyDescent="0.3">
      <c r="A30">
        <v>13</v>
      </c>
      <c r="E30" t="s">
        <v>43</v>
      </c>
      <c r="F30" t="s">
        <v>45</v>
      </c>
    </row>
    <row r="31" spans="1:8" x14ac:dyDescent="0.3">
      <c r="A31">
        <v>5</v>
      </c>
      <c r="E31" t="s">
        <v>46</v>
      </c>
    </row>
    <row r="32" spans="1:8" x14ac:dyDescent="0.3">
      <c r="A32">
        <v>5</v>
      </c>
      <c r="E32">
        <f>MIN(A2:A769)</f>
        <v>0</v>
      </c>
    </row>
    <row r="33" spans="1:7" x14ac:dyDescent="0.3">
      <c r="A33">
        <v>3</v>
      </c>
      <c r="E33" t="s">
        <v>47</v>
      </c>
    </row>
    <row r="34" spans="1:7" x14ac:dyDescent="0.3">
      <c r="A34">
        <v>3</v>
      </c>
      <c r="E34">
        <f>MAX(A2:A769)</f>
        <v>17</v>
      </c>
    </row>
    <row r="35" spans="1:7" x14ac:dyDescent="0.3">
      <c r="A35">
        <v>6</v>
      </c>
    </row>
    <row r="36" spans="1:7" x14ac:dyDescent="0.3">
      <c r="A36">
        <v>10</v>
      </c>
      <c r="E36" t="s">
        <v>48</v>
      </c>
      <c r="F36" t="s">
        <v>55</v>
      </c>
    </row>
    <row r="37" spans="1:7" x14ac:dyDescent="0.3">
      <c r="A37">
        <v>4</v>
      </c>
      <c r="E37" t="s">
        <v>49</v>
      </c>
      <c r="F37" t="s">
        <v>52</v>
      </c>
    </row>
    <row r="38" spans="1:7" x14ac:dyDescent="0.3">
      <c r="A38">
        <v>11</v>
      </c>
      <c r="E38" t="s">
        <v>50</v>
      </c>
      <c r="F38" t="s">
        <v>53</v>
      </c>
    </row>
    <row r="39" spans="1:7" x14ac:dyDescent="0.3">
      <c r="A39">
        <v>9</v>
      </c>
      <c r="E39" t="s">
        <v>51</v>
      </c>
      <c r="F39" t="s">
        <v>54</v>
      </c>
    </row>
    <row r="40" spans="1:7" ht="15" thickBot="1" x14ac:dyDescent="0.35">
      <c r="A40">
        <v>2</v>
      </c>
    </row>
    <row r="41" spans="1:7" ht="15" thickBot="1" x14ac:dyDescent="0.35">
      <c r="A41">
        <v>4</v>
      </c>
      <c r="E41" s="4" t="s">
        <v>56</v>
      </c>
    </row>
    <row r="42" spans="1:7" x14ac:dyDescent="0.3">
      <c r="A42">
        <v>3</v>
      </c>
      <c r="E42" s="1">
        <v>1</v>
      </c>
      <c r="G42" t="s">
        <v>58</v>
      </c>
    </row>
    <row r="43" spans="1:7" x14ac:dyDescent="0.3">
      <c r="A43">
        <v>7</v>
      </c>
      <c r="E43" s="2">
        <v>1.2</v>
      </c>
      <c r="G43">
        <f>COUNT(E42:E47)</f>
        <v>4</v>
      </c>
    </row>
    <row r="44" spans="1:7" x14ac:dyDescent="0.3">
      <c r="A44">
        <v>7</v>
      </c>
      <c r="E44" s="5" t="s">
        <v>57</v>
      </c>
      <c r="G44" t="s">
        <v>59</v>
      </c>
    </row>
    <row r="45" spans="1:7" x14ac:dyDescent="0.3">
      <c r="A45">
        <v>9</v>
      </c>
      <c r="E45" s="6"/>
      <c r="G45">
        <f>COUNTA(E42:E47)</f>
        <v>5</v>
      </c>
    </row>
    <row r="46" spans="1:7" x14ac:dyDescent="0.3">
      <c r="A46">
        <v>7</v>
      </c>
      <c r="E46" s="2">
        <v>3</v>
      </c>
      <c r="G46" t="s">
        <v>60</v>
      </c>
    </row>
    <row r="47" spans="1:7" ht="15" thickBot="1" x14ac:dyDescent="0.35">
      <c r="A47">
        <v>0</v>
      </c>
      <c r="E47" s="3">
        <v>4</v>
      </c>
      <c r="G47">
        <f>COUNTBLANK(E42:E47)</f>
        <v>1</v>
      </c>
    </row>
    <row r="48" spans="1:7" x14ac:dyDescent="0.3">
      <c r="A48">
        <v>1</v>
      </c>
    </row>
    <row r="49" spans="1:5" x14ac:dyDescent="0.3">
      <c r="A49">
        <v>2</v>
      </c>
      <c r="E49" t="s">
        <v>27</v>
      </c>
    </row>
    <row r="50" spans="1:5" x14ac:dyDescent="0.3">
      <c r="A50">
        <v>7</v>
      </c>
      <c r="E50" t="s">
        <v>48</v>
      </c>
    </row>
    <row r="51" spans="1:5" x14ac:dyDescent="0.3">
      <c r="A51">
        <v>7</v>
      </c>
      <c r="E51" t="s">
        <v>24</v>
      </c>
    </row>
    <row r="52" spans="1:5" x14ac:dyDescent="0.3">
      <c r="A52">
        <v>1</v>
      </c>
      <c r="E52" t="s">
        <v>31</v>
      </c>
    </row>
    <row r="53" spans="1:5" x14ac:dyDescent="0.3">
      <c r="A53">
        <v>1</v>
      </c>
      <c r="E53" t="s">
        <v>51</v>
      </c>
    </row>
    <row r="54" spans="1:5" x14ac:dyDescent="0.3">
      <c r="A54">
        <v>5</v>
      </c>
      <c r="E54" t="s">
        <v>62</v>
      </c>
    </row>
    <row r="55" spans="1:5" x14ac:dyDescent="0.3">
      <c r="A55">
        <v>8</v>
      </c>
      <c r="E55" t="s">
        <v>63</v>
      </c>
    </row>
    <row r="56" spans="1:5" x14ac:dyDescent="0.3">
      <c r="A56">
        <v>7</v>
      </c>
      <c r="E56" t="s">
        <v>49</v>
      </c>
    </row>
    <row r="57" spans="1:5" x14ac:dyDescent="0.3">
      <c r="A57">
        <v>1</v>
      </c>
      <c r="E57" t="s">
        <v>50</v>
      </c>
    </row>
    <row r="58" spans="1:5" x14ac:dyDescent="0.3">
      <c r="A58">
        <v>7</v>
      </c>
      <c r="E58" t="s">
        <v>42</v>
      </c>
    </row>
    <row r="59" spans="1:5" x14ac:dyDescent="0.3">
      <c r="A59">
        <v>0</v>
      </c>
      <c r="E59" t="s">
        <v>43</v>
      </c>
    </row>
    <row r="60" spans="1:5" x14ac:dyDescent="0.3">
      <c r="A60">
        <v>0</v>
      </c>
    </row>
    <row r="61" spans="1:5" x14ac:dyDescent="0.3">
      <c r="A61">
        <v>0</v>
      </c>
    </row>
    <row r="62" spans="1:5" x14ac:dyDescent="0.3">
      <c r="A62">
        <v>2</v>
      </c>
    </row>
    <row r="63" spans="1:5" x14ac:dyDescent="0.3">
      <c r="A63">
        <v>8</v>
      </c>
    </row>
    <row r="64" spans="1:5" x14ac:dyDescent="0.3">
      <c r="A64">
        <v>5</v>
      </c>
    </row>
    <row r="65" spans="1:1" x14ac:dyDescent="0.3">
      <c r="A65">
        <v>2</v>
      </c>
    </row>
    <row r="66" spans="1:1" x14ac:dyDescent="0.3">
      <c r="A66">
        <v>7</v>
      </c>
    </row>
    <row r="67" spans="1:1" x14ac:dyDescent="0.3">
      <c r="A67">
        <v>5</v>
      </c>
    </row>
    <row r="68" spans="1:1" x14ac:dyDescent="0.3">
      <c r="A68">
        <v>0</v>
      </c>
    </row>
    <row r="69" spans="1:1" x14ac:dyDescent="0.3">
      <c r="A69">
        <v>2</v>
      </c>
    </row>
    <row r="70" spans="1:1" x14ac:dyDescent="0.3">
      <c r="A70">
        <v>1</v>
      </c>
    </row>
    <row r="71" spans="1:1" x14ac:dyDescent="0.3">
      <c r="A71">
        <v>4</v>
      </c>
    </row>
    <row r="72" spans="1:1" x14ac:dyDescent="0.3">
      <c r="A72">
        <v>2</v>
      </c>
    </row>
    <row r="73" spans="1:1" x14ac:dyDescent="0.3">
      <c r="A73">
        <v>5</v>
      </c>
    </row>
    <row r="74" spans="1:1" x14ac:dyDescent="0.3">
      <c r="A74">
        <v>13</v>
      </c>
    </row>
    <row r="75" spans="1:1" x14ac:dyDescent="0.3">
      <c r="A75">
        <v>4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7</v>
      </c>
    </row>
    <row r="79" spans="1:1" x14ac:dyDescent="0.3">
      <c r="A79">
        <v>5</v>
      </c>
    </row>
    <row r="80" spans="1:1" x14ac:dyDescent="0.3">
      <c r="A80">
        <v>0</v>
      </c>
    </row>
    <row r="81" spans="1:1" x14ac:dyDescent="0.3">
      <c r="A81">
        <v>2</v>
      </c>
    </row>
    <row r="82" spans="1:1" x14ac:dyDescent="0.3">
      <c r="A82">
        <v>3</v>
      </c>
    </row>
    <row r="83" spans="1:1" x14ac:dyDescent="0.3">
      <c r="A83">
        <v>2</v>
      </c>
    </row>
    <row r="84" spans="1:1" x14ac:dyDescent="0.3">
      <c r="A84">
        <v>7</v>
      </c>
    </row>
    <row r="85" spans="1:1" x14ac:dyDescent="0.3">
      <c r="A85">
        <v>0</v>
      </c>
    </row>
    <row r="86" spans="1:1" x14ac:dyDescent="0.3">
      <c r="A86">
        <v>5</v>
      </c>
    </row>
    <row r="87" spans="1:1" x14ac:dyDescent="0.3">
      <c r="A87">
        <v>2</v>
      </c>
    </row>
    <row r="88" spans="1:1" x14ac:dyDescent="0.3">
      <c r="A88">
        <v>13</v>
      </c>
    </row>
    <row r="89" spans="1:1" x14ac:dyDescent="0.3">
      <c r="A89">
        <v>2</v>
      </c>
    </row>
    <row r="90" spans="1:1" x14ac:dyDescent="0.3">
      <c r="A90">
        <v>15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4</v>
      </c>
    </row>
    <row r="94" spans="1:1" x14ac:dyDescent="0.3">
      <c r="A94">
        <v>7</v>
      </c>
    </row>
    <row r="95" spans="1:1" x14ac:dyDescent="0.3">
      <c r="A95">
        <v>4</v>
      </c>
    </row>
    <row r="96" spans="1:1" x14ac:dyDescent="0.3">
      <c r="A96">
        <v>2</v>
      </c>
    </row>
    <row r="97" spans="1:1" x14ac:dyDescent="0.3">
      <c r="A97">
        <v>6</v>
      </c>
    </row>
    <row r="98" spans="1:1" x14ac:dyDescent="0.3">
      <c r="A98">
        <v>2</v>
      </c>
    </row>
    <row r="99" spans="1:1" x14ac:dyDescent="0.3">
      <c r="A99">
        <v>1</v>
      </c>
    </row>
    <row r="100" spans="1:1" x14ac:dyDescent="0.3">
      <c r="A100">
        <v>6</v>
      </c>
    </row>
    <row r="101" spans="1:1" x14ac:dyDescent="0.3">
      <c r="A101">
        <v>1</v>
      </c>
    </row>
    <row r="102" spans="1:1" x14ac:dyDescent="0.3">
      <c r="A102">
        <v>1</v>
      </c>
    </row>
    <row r="103" spans="1:1" x14ac:dyDescent="0.3">
      <c r="A103">
        <v>1</v>
      </c>
    </row>
    <row r="104" spans="1:1" x14ac:dyDescent="0.3">
      <c r="A104">
        <v>0</v>
      </c>
    </row>
    <row r="105" spans="1:1" x14ac:dyDescent="0.3">
      <c r="A105">
        <v>1</v>
      </c>
    </row>
    <row r="106" spans="1:1" x14ac:dyDescent="0.3">
      <c r="A106">
        <v>2</v>
      </c>
    </row>
    <row r="107" spans="1:1" x14ac:dyDescent="0.3">
      <c r="A107">
        <v>1</v>
      </c>
    </row>
    <row r="108" spans="1:1" x14ac:dyDescent="0.3">
      <c r="A108">
        <v>1</v>
      </c>
    </row>
    <row r="109" spans="1:1" x14ac:dyDescent="0.3">
      <c r="A109">
        <v>4</v>
      </c>
    </row>
    <row r="110" spans="1:1" x14ac:dyDescent="0.3">
      <c r="A110">
        <v>3</v>
      </c>
    </row>
    <row r="111" spans="1:1" x14ac:dyDescent="0.3">
      <c r="A111">
        <v>0</v>
      </c>
    </row>
    <row r="112" spans="1:1" x14ac:dyDescent="0.3">
      <c r="A112">
        <v>3</v>
      </c>
    </row>
    <row r="113" spans="1:1" x14ac:dyDescent="0.3">
      <c r="A113">
        <v>8</v>
      </c>
    </row>
    <row r="114" spans="1:1" x14ac:dyDescent="0.3">
      <c r="A114">
        <v>1</v>
      </c>
    </row>
    <row r="115" spans="1:1" x14ac:dyDescent="0.3">
      <c r="A115">
        <v>4</v>
      </c>
    </row>
    <row r="116" spans="1:1" x14ac:dyDescent="0.3">
      <c r="A116">
        <v>7</v>
      </c>
    </row>
    <row r="117" spans="1:1" x14ac:dyDescent="0.3">
      <c r="A117">
        <v>4</v>
      </c>
    </row>
    <row r="118" spans="1:1" x14ac:dyDescent="0.3">
      <c r="A118">
        <v>5</v>
      </c>
    </row>
    <row r="119" spans="1:1" x14ac:dyDescent="0.3">
      <c r="A119">
        <v>5</v>
      </c>
    </row>
    <row r="120" spans="1:1" x14ac:dyDescent="0.3">
      <c r="A120">
        <v>4</v>
      </c>
    </row>
    <row r="121" spans="1:1" x14ac:dyDescent="0.3">
      <c r="A121">
        <v>4</v>
      </c>
    </row>
    <row r="122" spans="1:1" x14ac:dyDescent="0.3">
      <c r="A122">
        <v>0</v>
      </c>
    </row>
    <row r="123" spans="1:1" x14ac:dyDescent="0.3">
      <c r="A123">
        <v>6</v>
      </c>
    </row>
    <row r="124" spans="1:1" x14ac:dyDescent="0.3">
      <c r="A124">
        <v>2</v>
      </c>
    </row>
    <row r="125" spans="1:1" x14ac:dyDescent="0.3">
      <c r="A125">
        <v>5</v>
      </c>
    </row>
    <row r="126" spans="1:1" x14ac:dyDescent="0.3">
      <c r="A126">
        <v>0</v>
      </c>
    </row>
    <row r="127" spans="1:1" x14ac:dyDescent="0.3">
      <c r="A127">
        <v>1</v>
      </c>
    </row>
    <row r="128" spans="1:1" x14ac:dyDescent="0.3">
      <c r="A128">
        <v>3</v>
      </c>
    </row>
    <row r="129" spans="1:1" x14ac:dyDescent="0.3">
      <c r="A129">
        <v>1</v>
      </c>
    </row>
    <row r="130" spans="1:1" x14ac:dyDescent="0.3">
      <c r="A130">
        <v>1</v>
      </c>
    </row>
    <row r="131" spans="1:1" x14ac:dyDescent="0.3">
      <c r="A131">
        <v>0</v>
      </c>
    </row>
    <row r="132" spans="1:1" x14ac:dyDescent="0.3">
      <c r="A132">
        <v>4</v>
      </c>
    </row>
    <row r="133" spans="1:1" x14ac:dyDescent="0.3">
      <c r="A133">
        <v>9</v>
      </c>
    </row>
    <row r="134" spans="1:1" x14ac:dyDescent="0.3">
      <c r="A134">
        <v>3</v>
      </c>
    </row>
    <row r="135" spans="1:1" x14ac:dyDescent="0.3">
      <c r="A135">
        <v>8</v>
      </c>
    </row>
    <row r="136" spans="1:1" x14ac:dyDescent="0.3">
      <c r="A136">
        <v>2</v>
      </c>
    </row>
    <row r="137" spans="1:1" x14ac:dyDescent="0.3">
      <c r="A137">
        <v>2</v>
      </c>
    </row>
    <row r="138" spans="1:1" x14ac:dyDescent="0.3">
      <c r="A138">
        <v>0</v>
      </c>
    </row>
    <row r="139" spans="1:1" x14ac:dyDescent="0.3">
      <c r="A139">
        <v>0</v>
      </c>
    </row>
    <row r="140" spans="1:1" x14ac:dyDescent="0.3">
      <c r="A140">
        <v>0</v>
      </c>
    </row>
    <row r="141" spans="1:1" x14ac:dyDescent="0.3">
      <c r="A141">
        <v>5</v>
      </c>
    </row>
    <row r="142" spans="1:1" x14ac:dyDescent="0.3">
      <c r="A142">
        <v>3</v>
      </c>
    </row>
    <row r="143" spans="1:1" x14ac:dyDescent="0.3">
      <c r="A143">
        <v>5</v>
      </c>
    </row>
    <row r="144" spans="1:1" x14ac:dyDescent="0.3">
      <c r="A144">
        <v>2</v>
      </c>
    </row>
    <row r="145" spans="1:1" x14ac:dyDescent="0.3">
      <c r="A145">
        <v>10</v>
      </c>
    </row>
    <row r="146" spans="1:1" x14ac:dyDescent="0.3">
      <c r="A146">
        <v>4</v>
      </c>
    </row>
    <row r="147" spans="1:1" x14ac:dyDescent="0.3">
      <c r="A147">
        <v>0</v>
      </c>
    </row>
    <row r="148" spans="1:1" x14ac:dyDescent="0.3">
      <c r="A148">
        <v>9</v>
      </c>
    </row>
    <row r="149" spans="1:1" x14ac:dyDescent="0.3">
      <c r="A149">
        <v>2</v>
      </c>
    </row>
    <row r="150" spans="1:1" x14ac:dyDescent="0.3">
      <c r="A150">
        <v>5</v>
      </c>
    </row>
    <row r="151" spans="1:1" x14ac:dyDescent="0.3">
      <c r="A151">
        <v>2</v>
      </c>
    </row>
    <row r="152" spans="1:1" x14ac:dyDescent="0.3">
      <c r="A152">
        <v>1</v>
      </c>
    </row>
    <row r="153" spans="1:1" x14ac:dyDescent="0.3">
      <c r="A153">
        <v>4</v>
      </c>
    </row>
    <row r="154" spans="1:1" x14ac:dyDescent="0.3">
      <c r="A154">
        <v>9</v>
      </c>
    </row>
    <row r="155" spans="1:1" x14ac:dyDescent="0.3">
      <c r="A155">
        <v>1</v>
      </c>
    </row>
    <row r="156" spans="1:1" x14ac:dyDescent="0.3">
      <c r="A156">
        <v>8</v>
      </c>
    </row>
    <row r="157" spans="1:1" x14ac:dyDescent="0.3">
      <c r="A157">
        <v>7</v>
      </c>
    </row>
    <row r="158" spans="1:1" x14ac:dyDescent="0.3">
      <c r="A158">
        <v>2</v>
      </c>
    </row>
    <row r="159" spans="1:1" x14ac:dyDescent="0.3">
      <c r="A159">
        <v>1</v>
      </c>
    </row>
    <row r="160" spans="1:1" x14ac:dyDescent="0.3">
      <c r="A160">
        <v>2</v>
      </c>
    </row>
    <row r="161" spans="1:1" x14ac:dyDescent="0.3">
      <c r="A161">
        <v>17</v>
      </c>
    </row>
    <row r="162" spans="1:1" x14ac:dyDescent="0.3">
      <c r="A162">
        <v>4</v>
      </c>
    </row>
    <row r="163" spans="1:1" x14ac:dyDescent="0.3">
      <c r="A163">
        <v>7</v>
      </c>
    </row>
    <row r="164" spans="1:1" x14ac:dyDescent="0.3">
      <c r="A164">
        <v>0</v>
      </c>
    </row>
    <row r="165" spans="1:1" x14ac:dyDescent="0.3">
      <c r="A165">
        <v>2</v>
      </c>
    </row>
    <row r="166" spans="1:1" x14ac:dyDescent="0.3">
      <c r="A166">
        <v>0</v>
      </c>
    </row>
    <row r="167" spans="1:1" x14ac:dyDescent="0.3">
      <c r="A167">
        <v>6</v>
      </c>
    </row>
    <row r="168" spans="1:1" x14ac:dyDescent="0.3">
      <c r="A168">
        <v>3</v>
      </c>
    </row>
    <row r="169" spans="1:1" x14ac:dyDescent="0.3">
      <c r="A169">
        <v>4</v>
      </c>
    </row>
    <row r="170" spans="1:1" x14ac:dyDescent="0.3">
      <c r="A170">
        <v>4</v>
      </c>
    </row>
    <row r="171" spans="1:1" x14ac:dyDescent="0.3">
      <c r="A171">
        <v>3</v>
      </c>
    </row>
    <row r="172" spans="1:1" x14ac:dyDescent="0.3">
      <c r="A172">
        <v>6</v>
      </c>
    </row>
    <row r="173" spans="1:1" x14ac:dyDescent="0.3">
      <c r="A173">
        <v>6</v>
      </c>
    </row>
    <row r="174" spans="1:1" x14ac:dyDescent="0.3">
      <c r="A174">
        <v>2</v>
      </c>
    </row>
    <row r="175" spans="1:1" x14ac:dyDescent="0.3">
      <c r="A175">
        <v>1</v>
      </c>
    </row>
    <row r="176" spans="1:1" x14ac:dyDescent="0.3">
      <c r="A176">
        <v>2</v>
      </c>
    </row>
    <row r="177" spans="1:1" x14ac:dyDescent="0.3">
      <c r="A177">
        <v>8</v>
      </c>
    </row>
    <row r="178" spans="1:1" x14ac:dyDescent="0.3">
      <c r="A178">
        <v>6</v>
      </c>
    </row>
    <row r="179" spans="1:1" x14ac:dyDescent="0.3">
      <c r="A179">
        <v>0</v>
      </c>
    </row>
    <row r="180" spans="1:1" x14ac:dyDescent="0.3">
      <c r="A180">
        <v>5</v>
      </c>
    </row>
    <row r="181" spans="1:1" x14ac:dyDescent="0.3">
      <c r="A181">
        <v>5</v>
      </c>
    </row>
    <row r="182" spans="1:1" x14ac:dyDescent="0.3">
      <c r="A182">
        <v>6</v>
      </c>
    </row>
    <row r="183" spans="1:1" x14ac:dyDescent="0.3">
      <c r="A183">
        <v>0</v>
      </c>
    </row>
    <row r="184" spans="1:1" x14ac:dyDescent="0.3">
      <c r="A184">
        <v>1</v>
      </c>
    </row>
    <row r="185" spans="1:1" x14ac:dyDescent="0.3">
      <c r="A185">
        <v>5</v>
      </c>
    </row>
    <row r="186" spans="1:1" x14ac:dyDescent="0.3">
      <c r="A186">
        <v>4</v>
      </c>
    </row>
    <row r="187" spans="1:1" x14ac:dyDescent="0.3">
      <c r="A187">
        <v>7</v>
      </c>
    </row>
    <row r="188" spans="1:1" x14ac:dyDescent="0.3">
      <c r="A188">
        <v>8</v>
      </c>
    </row>
    <row r="189" spans="1:1" x14ac:dyDescent="0.3">
      <c r="A189">
        <v>1</v>
      </c>
    </row>
    <row r="190" spans="1:1" x14ac:dyDescent="0.3">
      <c r="A190">
        <v>8</v>
      </c>
    </row>
    <row r="191" spans="1:1" x14ac:dyDescent="0.3">
      <c r="A191">
        <v>5</v>
      </c>
    </row>
    <row r="192" spans="1:1" x14ac:dyDescent="0.3">
      <c r="A192">
        <v>3</v>
      </c>
    </row>
    <row r="193" spans="1:1" x14ac:dyDescent="0.3">
      <c r="A193">
        <v>9</v>
      </c>
    </row>
    <row r="194" spans="1:1" x14ac:dyDescent="0.3">
      <c r="A194">
        <v>7</v>
      </c>
    </row>
    <row r="195" spans="1:1" x14ac:dyDescent="0.3">
      <c r="A195">
        <v>11</v>
      </c>
    </row>
    <row r="196" spans="1:1" x14ac:dyDescent="0.3">
      <c r="A196">
        <v>8</v>
      </c>
    </row>
    <row r="197" spans="1:1" x14ac:dyDescent="0.3">
      <c r="A197">
        <v>5</v>
      </c>
    </row>
    <row r="198" spans="1:1" x14ac:dyDescent="0.3">
      <c r="A198">
        <v>1</v>
      </c>
    </row>
    <row r="199" spans="1:1" x14ac:dyDescent="0.3">
      <c r="A199">
        <v>3</v>
      </c>
    </row>
    <row r="200" spans="1:1" x14ac:dyDescent="0.3">
      <c r="A200">
        <v>4</v>
      </c>
    </row>
    <row r="201" spans="1:1" x14ac:dyDescent="0.3">
      <c r="A201">
        <v>4</v>
      </c>
    </row>
    <row r="202" spans="1:1" x14ac:dyDescent="0.3">
      <c r="A202">
        <v>0</v>
      </c>
    </row>
    <row r="203" spans="1:1" x14ac:dyDescent="0.3">
      <c r="A203">
        <v>1</v>
      </c>
    </row>
    <row r="204" spans="1:1" x14ac:dyDescent="0.3">
      <c r="A204">
        <v>0</v>
      </c>
    </row>
    <row r="205" spans="1:1" x14ac:dyDescent="0.3">
      <c r="A205">
        <v>2</v>
      </c>
    </row>
    <row r="206" spans="1:1" x14ac:dyDescent="0.3">
      <c r="A206">
        <v>6</v>
      </c>
    </row>
    <row r="207" spans="1:1" x14ac:dyDescent="0.3">
      <c r="A207">
        <v>5</v>
      </c>
    </row>
    <row r="208" spans="1:1" x14ac:dyDescent="0.3">
      <c r="A208">
        <v>8</v>
      </c>
    </row>
    <row r="209" spans="1:1" x14ac:dyDescent="0.3">
      <c r="A209">
        <v>5</v>
      </c>
    </row>
    <row r="210" spans="1:1" x14ac:dyDescent="0.3">
      <c r="A210">
        <v>1</v>
      </c>
    </row>
    <row r="211" spans="1:1" x14ac:dyDescent="0.3">
      <c r="A211">
        <v>7</v>
      </c>
    </row>
    <row r="212" spans="1:1" x14ac:dyDescent="0.3">
      <c r="A212">
        <v>2</v>
      </c>
    </row>
    <row r="213" spans="1:1" x14ac:dyDescent="0.3">
      <c r="A213">
        <v>0</v>
      </c>
    </row>
    <row r="214" spans="1:1" x14ac:dyDescent="0.3">
      <c r="A214">
        <v>7</v>
      </c>
    </row>
    <row r="215" spans="1:1" x14ac:dyDescent="0.3">
      <c r="A215">
        <v>0</v>
      </c>
    </row>
    <row r="216" spans="1:1" x14ac:dyDescent="0.3">
      <c r="A216">
        <v>9</v>
      </c>
    </row>
    <row r="217" spans="1:1" x14ac:dyDescent="0.3">
      <c r="A217">
        <v>12</v>
      </c>
    </row>
    <row r="218" spans="1:1" x14ac:dyDescent="0.3">
      <c r="A218">
        <v>5</v>
      </c>
    </row>
    <row r="219" spans="1:1" x14ac:dyDescent="0.3">
      <c r="A219">
        <v>6</v>
      </c>
    </row>
    <row r="220" spans="1:1" x14ac:dyDescent="0.3">
      <c r="A220">
        <v>5</v>
      </c>
    </row>
    <row r="221" spans="1:1" x14ac:dyDescent="0.3">
      <c r="A221">
        <v>5</v>
      </c>
    </row>
    <row r="222" spans="1:1" x14ac:dyDescent="0.3">
      <c r="A222">
        <v>0</v>
      </c>
    </row>
    <row r="223" spans="1:1" x14ac:dyDescent="0.3">
      <c r="A223">
        <v>2</v>
      </c>
    </row>
    <row r="224" spans="1:1" x14ac:dyDescent="0.3">
      <c r="A224">
        <v>7</v>
      </c>
    </row>
    <row r="225" spans="1:1" x14ac:dyDescent="0.3">
      <c r="A225">
        <v>7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0</v>
      </c>
    </row>
    <row r="229" spans="1:1" x14ac:dyDescent="0.3">
      <c r="A229">
        <v>3</v>
      </c>
    </row>
    <row r="230" spans="1:1" x14ac:dyDescent="0.3">
      <c r="A230">
        <v>4</v>
      </c>
    </row>
    <row r="231" spans="1:1" x14ac:dyDescent="0.3">
      <c r="A231">
        <v>0</v>
      </c>
    </row>
    <row r="232" spans="1:1" x14ac:dyDescent="0.3">
      <c r="A232">
        <v>4</v>
      </c>
    </row>
    <row r="233" spans="1:1" x14ac:dyDescent="0.3">
      <c r="A233">
        <v>6</v>
      </c>
    </row>
    <row r="234" spans="1:1" x14ac:dyDescent="0.3">
      <c r="A234">
        <v>1</v>
      </c>
    </row>
    <row r="235" spans="1:1" x14ac:dyDescent="0.3">
      <c r="A235">
        <v>4</v>
      </c>
    </row>
    <row r="236" spans="1:1" x14ac:dyDescent="0.3">
      <c r="A236">
        <v>3</v>
      </c>
    </row>
    <row r="237" spans="1:1" x14ac:dyDescent="0.3">
      <c r="A237">
        <v>4</v>
      </c>
    </row>
    <row r="238" spans="1:1" x14ac:dyDescent="0.3">
      <c r="A238">
        <v>7</v>
      </c>
    </row>
    <row r="239" spans="1:1" x14ac:dyDescent="0.3">
      <c r="A239">
        <v>0</v>
      </c>
    </row>
    <row r="240" spans="1:1" x14ac:dyDescent="0.3">
      <c r="A240">
        <v>9</v>
      </c>
    </row>
    <row r="241" spans="1:1" x14ac:dyDescent="0.3">
      <c r="A241">
        <v>0</v>
      </c>
    </row>
    <row r="242" spans="1:1" x14ac:dyDescent="0.3">
      <c r="A242">
        <v>1</v>
      </c>
    </row>
    <row r="243" spans="1:1" x14ac:dyDescent="0.3">
      <c r="A243">
        <v>4</v>
      </c>
    </row>
    <row r="244" spans="1:1" x14ac:dyDescent="0.3">
      <c r="A244">
        <v>3</v>
      </c>
    </row>
    <row r="245" spans="1:1" x14ac:dyDescent="0.3">
      <c r="A245">
        <v>6</v>
      </c>
    </row>
    <row r="246" spans="1:1" x14ac:dyDescent="0.3">
      <c r="A246">
        <v>2</v>
      </c>
    </row>
    <row r="247" spans="1:1" x14ac:dyDescent="0.3">
      <c r="A247">
        <v>9</v>
      </c>
    </row>
    <row r="248" spans="1:1" x14ac:dyDescent="0.3">
      <c r="A248">
        <v>10</v>
      </c>
    </row>
    <row r="249" spans="1:1" x14ac:dyDescent="0.3">
      <c r="A249">
        <v>0</v>
      </c>
    </row>
    <row r="250" spans="1:1" x14ac:dyDescent="0.3">
      <c r="A250">
        <v>9</v>
      </c>
    </row>
    <row r="251" spans="1:1" x14ac:dyDescent="0.3">
      <c r="A251">
        <v>1</v>
      </c>
    </row>
    <row r="252" spans="1:1" x14ac:dyDescent="0.3">
      <c r="A252">
        <v>9</v>
      </c>
    </row>
    <row r="253" spans="1:1" x14ac:dyDescent="0.3">
      <c r="A253">
        <v>2</v>
      </c>
    </row>
    <row r="254" spans="1:1" x14ac:dyDescent="0.3">
      <c r="A254">
        <v>2</v>
      </c>
    </row>
    <row r="255" spans="1:1" x14ac:dyDescent="0.3">
      <c r="A255">
        <v>0</v>
      </c>
    </row>
    <row r="256" spans="1:1" x14ac:dyDescent="0.3">
      <c r="A256">
        <v>12</v>
      </c>
    </row>
    <row r="257" spans="1:1" x14ac:dyDescent="0.3">
      <c r="A257">
        <v>1</v>
      </c>
    </row>
    <row r="258" spans="1:1" x14ac:dyDescent="0.3">
      <c r="A258">
        <v>3</v>
      </c>
    </row>
    <row r="259" spans="1:1" x14ac:dyDescent="0.3">
      <c r="A259">
        <v>2</v>
      </c>
    </row>
    <row r="260" spans="1:1" x14ac:dyDescent="0.3">
      <c r="A260">
        <v>1</v>
      </c>
    </row>
    <row r="261" spans="1:1" x14ac:dyDescent="0.3">
      <c r="A261">
        <v>11</v>
      </c>
    </row>
    <row r="262" spans="1:1" x14ac:dyDescent="0.3">
      <c r="A262">
        <v>3</v>
      </c>
    </row>
    <row r="263" spans="1:1" x14ac:dyDescent="0.3">
      <c r="A263">
        <v>3</v>
      </c>
    </row>
    <row r="264" spans="1:1" x14ac:dyDescent="0.3">
      <c r="A264">
        <v>4</v>
      </c>
    </row>
    <row r="265" spans="1:1" x14ac:dyDescent="0.3">
      <c r="A265">
        <v>3</v>
      </c>
    </row>
    <row r="266" spans="1:1" x14ac:dyDescent="0.3">
      <c r="A266">
        <v>4</v>
      </c>
    </row>
    <row r="267" spans="1:1" x14ac:dyDescent="0.3">
      <c r="A267">
        <v>5</v>
      </c>
    </row>
    <row r="268" spans="1:1" x14ac:dyDescent="0.3">
      <c r="A268">
        <v>0</v>
      </c>
    </row>
    <row r="269" spans="1:1" x14ac:dyDescent="0.3">
      <c r="A269">
        <v>2</v>
      </c>
    </row>
    <row r="270" spans="1:1" x14ac:dyDescent="0.3">
      <c r="A270">
        <v>0</v>
      </c>
    </row>
    <row r="271" spans="1:1" x14ac:dyDescent="0.3">
      <c r="A271">
        <v>2</v>
      </c>
    </row>
    <row r="272" spans="1:1" x14ac:dyDescent="0.3">
      <c r="A272">
        <v>10</v>
      </c>
    </row>
    <row r="273" spans="1:1" x14ac:dyDescent="0.3">
      <c r="A273">
        <v>2</v>
      </c>
    </row>
    <row r="274" spans="1:1" x14ac:dyDescent="0.3">
      <c r="A274">
        <v>3</v>
      </c>
    </row>
    <row r="275" spans="1:1" x14ac:dyDescent="0.3">
      <c r="A275">
        <v>1</v>
      </c>
    </row>
    <row r="276" spans="1:1" x14ac:dyDescent="0.3">
      <c r="A276">
        <v>13</v>
      </c>
    </row>
    <row r="277" spans="1:1" x14ac:dyDescent="0.3">
      <c r="A277">
        <v>2</v>
      </c>
    </row>
    <row r="278" spans="1:1" x14ac:dyDescent="0.3">
      <c r="A278">
        <v>7</v>
      </c>
    </row>
    <row r="279" spans="1:1" x14ac:dyDescent="0.3">
      <c r="A279">
        <v>0</v>
      </c>
    </row>
    <row r="280" spans="1:1" x14ac:dyDescent="0.3">
      <c r="A280">
        <v>5</v>
      </c>
    </row>
    <row r="281" spans="1:1" x14ac:dyDescent="0.3">
      <c r="A281">
        <v>2</v>
      </c>
    </row>
    <row r="282" spans="1:1" x14ac:dyDescent="0.3">
      <c r="A282">
        <v>0</v>
      </c>
    </row>
    <row r="283" spans="1:1" x14ac:dyDescent="0.3">
      <c r="A283">
        <v>10</v>
      </c>
    </row>
    <row r="284" spans="1:1" x14ac:dyDescent="0.3">
      <c r="A284">
        <v>7</v>
      </c>
    </row>
    <row r="285" spans="1:1" x14ac:dyDescent="0.3">
      <c r="A285">
        <v>7</v>
      </c>
    </row>
    <row r="286" spans="1:1" x14ac:dyDescent="0.3">
      <c r="A286">
        <v>2</v>
      </c>
    </row>
    <row r="287" spans="1:1" x14ac:dyDescent="0.3">
      <c r="A287">
        <v>7</v>
      </c>
    </row>
    <row r="288" spans="1:1" x14ac:dyDescent="0.3">
      <c r="A288">
        <v>5</v>
      </c>
    </row>
    <row r="289" spans="1:1" x14ac:dyDescent="0.3">
      <c r="A289">
        <v>1</v>
      </c>
    </row>
    <row r="290" spans="1:1" x14ac:dyDescent="0.3">
      <c r="A290">
        <v>4</v>
      </c>
    </row>
    <row r="291" spans="1:1" x14ac:dyDescent="0.3">
      <c r="A291">
        <v>5</v>
      </c>
    </row>
    <row r="292" spans="1:1" x14ac:dyDescent="0.3">
      <c r="A292">
        <v>0</v>
      </c>
    </row>
    <row r="293" spans="1:1" x14ac:dyDescent="0.3">
      <c r="A293">
        <v>0</v>
      </c>
    </row>
    <row r="294" spans="1:1" x14ac:dyDescent="0.3">
      <c r="A294">
        <v>2</v>
      </c>
    </row>
    <row r="295" spans="1:1" x14ac:dyDescent="0.3">
      <c r="A295">
        <v>1</v>
      </c>
    </row>
    <row r="296" spans="1:1" x14ac:dyDescent="0.3">
      <c r="A296">
        <v>0</v>
      </c>
    </row>
    <row r="297" spans="1:1" x14ac:dyDescent="0.3">
      <c r="A297">
        <v>6</v>
      </c>
    </row>
    <row r="298" spans="1:1" x14ac:dyDescent="0.3">
      <c r="A298">
        <v>2</v>
      </c>
    </row>
    <row r="299" spans="1:1" x14ac:dyDescent="0.3">
      <c r="A299">
        <v>0</v>
      </c>
    </row>
    <row r="300" spans="1:1" x14ac:dyDescent="0.3">
      <c r="A300">
        <v>14</v>
      </c>
    </row>
    <row r="301" spans="1:1" x14ac:dyDescent="0.3">
      <c r="A301">
        <v>8</v>
      </c>
    </row>
    <row r="302" spans="1:1" x14ac:dyDescent="0.3">
      <c r="A302">
        <v>0</v>
      </c>
    </row>
    <row r="303" spans="1:1" x14ac:dyDescent="0.3">
      <c r="A303">
        <v>2</v>
      </c>
    </row>
    <row r="304" spans="1:1" x14ac:dyDescent="0.3">
      <c r="A304">
        <v>5</v>
      </c>
    </row>
    <row r="305" spans="1:1" x14ac:dyDescent="0.3">
      <c r="A305">
        <v>5</v>
      </c>
    </row>
    <row r="306" spans="1:1" x14ac:dyDescent="0.3">
      <c r="A306">
        <v>3</v>
      </c>
    </row>
    <row r="307" spans="1:1" x14ac:dyDescent="0.3">
      <c r="A307">
        <v>2</v>
      </c>
    </row>
    <row r="308" spans="1:1" x14ac:dyDescent="0.3">
      <c r="A308">
        <v>10</v>
      </c>
    </row>
    <row r="309" spans="1:1" x14ac:dyDescent="0.3">
      <c r="A309">
        <v>0</v>
      </c>
    </row>
    <row r="310" spans="1:1" x14ac:dyDescent="0.3">
      <c r="A310">
        <v>0</v>
      </c>
    </row>
    <row r="311" spans="1:1" x14ac:dyDescent="0.3">
      <c r="A311">
        <v>2</v>
      </c>
    </row>
    <row r="312" spans="1:1" x14ac:dyDescent="0.3">
      <c r="A312">
        <v>6</v>
      </c>
    </row>
    <row r="313" spans="1:1" x14ac:dyDescent="0.3">
      <c r="A313">
        <v>0</v>
      </c>
    </row>
    <row r="314" spans="1:1" x14ac:dyDescent="0.3">
      <c r="A314">
        <v>2</v>
      </c>
    </row>
    <row r="315" spans="1:1" x14ac:dyDescent="0.3">
      <c r="A315">
        <v>3</v>
      </c>
    </row>
    <row r="316" spans="1:1" x14ac:dyDescent="0.3">
      <c r="A316">
        <v>7</v>
      </c>
    </row>
    <row r="317" spans="1:1" x14ac:dyDescent="0.3">
      <c r="A317">
        <v>2</v>
      </c>
    </row>
    <row r="318" spans="1:1" x14ac:dyDescent="0.3">
      <c r="A318">
        <v>3</v>
      </c>
    </row>
    <row r="319" spans="1:1" x14ac:dyDescent="0.3">
      <c r="A319">
        <v>3</v>
      </c>
    </row>
    <row r="320" spans="1:1" x14ac:dyDescent="0.3">
      <c r="A320">
        <v>3</v>
      </c>
    </row>
    <row r="321" spans="1:1" x14ac:dyDescent="0.3">
      <c r="A321">
        <v>6</v>
      </c>
    </row>
    <row r="322" spans="1:1" x14ac:dyDescent="0.3">
      <c r="A322">
        <v>4</v>
      </c>
    </row>
    <row r="323" spans="1:1" x14ac:dyDescent="0.3">
      <c r="A323">
        <v>3</v>
      </c>
    </row>
    <row r="324" spans="1:1" x14ac:dyDescent="0.3">
      <c r="A324">
        <v>0</v>
      </c>
    </row>
    <row r="325" spans="1:1" x14ac:dyDescent="0.3">
      <c r="A325">
        <v>13</v>
      </c>
    </row>
    <row r="326" spans="1:1" x14ac:dyDescent="0.3">
      <c r="A326">
        <v>2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10</v>
      </c>
    </row>
    <row r="330" spans="1:1" x14ac:dyDescent="0.3">
      <c r="A330">
        <v>2</v>
      </c>
    </row>
    <row r="331" spans="1:1" x14ac:dyDescent="0.3">
      <c r="A331">
        <v>6</v>
      </c>
    </row>
    <row r="332" spans="1:1" x14ac:dyDescent="0.3">
      <c r="A332">
        <v>8</v>
      </c>
    </row>
    <row r="333" spans="1:1" x14ac:dyDescent="0.3">
      <c r="A333">
        <v>2</v>
      </c>
    </row>
    <row r="334" spans="1:1" x14ac:dyDescent="0.3">
      <c r="A334">
        <v>1</v>
      </c>
    </row>
    <row r="335" spans="1:1" x14ac:dyDescent="0.3">
      <c r="A335">
        <v>12</v>
      </c>
    </row>
    <row r="336" spans="1:1" x14ac:dyDescent="0.3">
      <c r="A336">
        <v>1</v>
      </c>
    </row>
    <row r="337" spans="1:1" x14ac:dyDescent="0.3">
      <c r="A337">
        <v>0</v>
      </c>
    </row>
    <row r="338" spans="1:1" x14ac:dyDescent="0.3">
      <c r="A338">
        <v>0</v>
      </c>
    </row>
    <row r="339" spans="1:1" x14ac:dyDescent="0.3">
      <c r="A339">
        <v>5</v>
      </c>
    </row>
    <row r="340" spans="1:1" x14ac:dyDescent="0.3">
      <c r="A340">
        <v>9</v>
      </c>
    </row>
    <row r="341" spans="1:1" x14ac:dyDescent="0.3">
      <c r="A341">
        <v>7</v>
      </c>
    </row>
    <row r="342" spans="1:1" x14ac:dyDescent="0.3">
      <c r="A342">
        <v>1</v>
      </c>
    </row>
    <row r="343" spans="1:1" x14ac:dyDescent="0.3">
      <c r="A343">
        <v>1</v>
      </c>
    </row>
    <row r="344" spans="1:1" x14ac:dyDescent="0.3">
      <c r="A344">
        <v>1</v>
      </c>
    </row>
    <row r="345" spans="1:1" x14ac:dyDescent="0.3">
      <c r="A345">
        <v>5</v>
      </c>
    </row>
    <row r="346" spans="1:1" x14ac:dyDescent="0.3">
      <c r="A346">
        <v>8</v>
      </c>
    </row>
    <row r="347" spans="1:1" x14ac:dyDescent="0.3">
      <c r="A347">
        <v>8</v>
      </c>
    </row>
    <row r="348" spans="1:1" x14ac:dyDescent="0.3">
      <c r="A348">
        <v>1</v>
      </c>
    </row>
    <row r="349" spans="1:1" x14ac:dyDescent="0.3">
      <c r="A349">
        <v>3</v>
      </c>
    </row>
    <row r="350" spans="1:1" x14ac:dyDescent="0.3">
      <c r="A350">
        <v>3</v>
      </c>
    </row>
    <row r="351" spans="1:1" x14ac:dyDescent="0.3">
      <c r="A351">
        <v>5</v>
      </c>
    </row>
    <row r="352" spans="1:1" x14ac:dyDescent="0.3">
      <c r="A352">
        <v>4</v>
      </c>
    </row>
    <row r="353" spans="1:1" x14ac:dyDescent="0.3">
      <c r="A353">
        <v>4</v>
      </c>
    </row>
    <row r="354" spans="1:1" x14ac:dyDescent="0.3">
      <c r="A354">
        <v>3</v>
      </c>
    </row>
    <row r="355" spans="1:1" x14ac:dyDescent="0.3">
      <c r="A355">
        <v>1</v>
      </c>
    </row>
    <row r="356" spans="1:1" x14ac:dyDescent="0.3">
      <c r="A356">
        <v>3</v>
      </c>
    </row>
    <row r="357" spans="1:1" x14ac:dyDescent="0.3">
      <c r="A357">
        <v>9</v>
      </c>
    </row>
    <row r="358" spans="1:1" x14ac:dyDescent="0.3">
      <c r="A358">
        <v>1</v>
      </c>
    </row>
    <row r="359" spans="1:1" x14ac:dyDescent="0.3">
      <c r="A359">
        <v>13</v>
      </c>
    </row>
    <row r="360" spans="1:1" x14ac:dyDescent="0.3">
      <c r="A360">
        <v>12</v>
      </c>
    </row>
    <row r="361" spans="1:1" x14ac:dyDescent="0.3">
      <c r="A361">
        <v>1</v>
      </c>
    </row>
    <row r="362" spans="1:1" x14ac:dyDescent="0.3">
      <c r="A362">
        <v>5</v>
      </c>
    </row>
    <row r="363" spans="1:1" x14ac:dyDescent="0.3">
      <c r="A363">
        <v>5</v>
      </c>
    </row>
    <row r="364" spans="1:1" x14ac:dyDescent="0.3">
      <c r="A364">
        <v>5</v>
      </c>
    </row>
    <row r="365" spans="1:1" x14ac:dyDescent="0.3">
      <c r="A365">
        <v>4</v>
      </c>
    </row>
    <row r="366" spans="1:1" x14ac:dyDescent="0.3">
      <c r="A366">
        <v>4</v>
      </c>
    </row>
    <row r="367" spans="1:1" x14ac:dyDescent="0.3">
      <c r="A367">
        <v>5</v>
      </c>
    </row>
    <row r="368" spans="1:1" x14ac:dyDescent="0.3">
      <c r="A368">
        <v>6</v>
      </c>
    </row>
    <row r="369" spans="1:1" x14ac:dyDescent="0.3">
      <c r="A369">
        <v>0</v>
      </c>
    </row>
    <row r="370" spans="1:1" x14ac:dyDescent="0.3">
      <c r="A370">
        <v>3</v>
      </c>
    </row>
    <row r="371" spans="1:1" x14ac:dyDescent="0.3">
      <c r="A371">
        <v>1</v>
      </c>
    </row>
    <row r="372" spans="1:1" x14ac:dyDescent="0.3">
      <c r="A372">
        <v>3</v>
      </c>
    </row>
    <row r="373" spans="1:1" x14ac:dyDescent="0.3">
      <c r="A373">
        <v>0</v>
      </c>
    </row>
    <row r="374" spans="1:1" x14ac:dyDescent="0.3">
      <c r="A374">
        <v>0</v>
      </c>
    </row>
    <row r="375" spans="1:1" x14ac:dyDescent="0.3">
      <c r="A375">
        <v>2</v>
      </c>
    </row>
    <row r="376" spans="1:1" x14ac:dyDescent="0.3">
      <c r="A376">
        <v>2</v>
      </c>
    </row>
    <row r="377" spans="1:1" x14ac:dyDescent="0.3">
      <c r="A377">
        <v>12</v>
      </c>
    </row>
    <row r="378" spans="1:1" x14ac:dyDescent="0.3">
      <c r="A378">
        <v>0</v>
      </c>
    </row>
    <row r="379" spans="1:1" x14ac:dyDescent="0.3">
      <c r="A379">
        <v>1</v>
      </c>
    </row>
    <row r="380" spans="1:1" x14ac:dyDescent="0.3">
      <c r="A380">
        <v>4</v>
      </c>
    </row>
    <row r="381" spans="1:1" x14ac:dyDescent="0.3">
      <c r="A381">
        <v>0</v>
      </c>
    </row>
    <row r="382" spans="1:1" x14ac:dyDescent="0.3">
      <c r="A382">
        <v>1</v>
      </c>
    </row>
    <row r="383" spans="1:1" x14ac:dyDescent="0.3">
      <c r="A383">
        <v>0</v>
      </c>
    </row>
    <row r="384" spans="1:1" x14ac:dyDescent="0.3">
      <c r="A384">
        <v>1</v>
      </c>
    </row>
    <row r="385" spans="1:1" x14ac:dyDescent="0.3">
      <c r="A385">
        <v>1</v>
      </c>
    </row>
    <row r="386" spans="1:1" x14ac:dyDescent="0.3">
      <c r="A386">
        <v>1</v>
      </c>
    </row>
    <row r="387" spans="1:1" x14ac:dyDescent="0.3">
      <c r="A387">
        <v>1</v>
      </c>
    </row>
    <row r="388" spans="1:1" x14ac:dyDescent="0.3">
      <c r="A388">
        <v>5</v>
      </c>
    </row>
    <row r="389" spans="1:1" x14ac:dyDescent="0.3">
      <c r="A389">
        <v>8</v>
      </c>
    </row>
    <row r="390" spans="1:1" x14ac:dyDescent="0.3">
      <c r="A390">
        <v>5</v>
      </c>
    </row>
    <row r="391" spans="1:1" x14ac:dyDescent="0.3">
      <c r="A391">
        <v>3</v>
      </c>
    </row>
    <row r="392" spans="1:1" x14ac:dyDescent="0.3">
      <c r="A392">
        <v>1</v>
      </c>
    </row>
    <row r="393" spans="1:1" x14ac:dyDescent="0.3">
      <c r="A393">
        <v>5</v>
      </c>
    </row>
    <row r="394" spans="1:1" x14ac:dyDescent="0.3">
      <c r="A394">
        <v>1</v>
      </c>
    </row>
    <row r="395" spans="1:1" x14ac:dyDescent="0.3">
      <c r="A395">
        <v>4</v>
      </c>
    </row>
    <row r="396" spans="1:1" x14ac:dyDescent="0.3">
      <c r="A396">
        <v>4</v>
      </c>
    </row>
    <row r="397" spans="1:1" x14ac:dyDescent="0.3">
      <c r="A397">
        <v>2</v>
      </c>
    </row>
    <row r="398" spans="1:1" x14ac:dyDescent="0.3">
      <c r="A398">
        <v>3</v>
      </c>
    </row>
    <row r="399" spans="1:1" x14ac:dyDescent="0.3">
      <c r="A399">
        <v>0</v>
      </c>
    </row>
    <row r="400" spans="1:1" x14ac:dyDescent="0.3">
      <c r="A400">
        <v>3</v>
      </c>
    </row>
    <row r="401" spans="1:1" x14ac:dyDescent="0.3">
      <c r="A401">
        <v>3</v>
      </c>
    </row>
    <row r="402" spans="1:1" x14ac:dyDescent="0.3">
      <c r="A402">
        <v>4</v>
      </c>
    </row>
    <row r="403" spans="1:1" x14ac:dyDescent="0.3">
      <c r="A403">
        <v>6</v>
      </c>
    </row>
    <row r="404" spans="1:1" x14ac:dyDescent="0.3">
      <c r="A404">
        <v>5</v>
      </c>
    </row>
    <row r="405" spans="1:1" x14ac:dyDescent="0.3">
      <c r="A405">
        <v>9</v>
      </c>
    </row>
    <row r="406" spans="1:1" x14ac:dyDescent="0.3">
      <c r="A406">
        <v>5</v>
      </c>
    </row>
    <row r="407" spans="1:1" x14ac:dyDescent="0.3">
      <c r="A407">
        <v>2</v>
      </c>
    </row>
    <row r="408" spans="1:1" x14ac:dyDescent="0.3">
      <c r="A408">
        <v>4</v>
      </c>
    </row>
    <row r="409" spans="1:1" x14ac:dyDescent="0.3">
      <c r="A409">
        <v>0</v>
      </c>
    </row>
    <row r="410" spans="1:1" x14ac:dyDescent="0.3">
      <c r="A410">
        <v>8</v>
      </c>
    </row>
    <row r="411" spans="1:1" x14ac:dyDescent="0.3">
      <c r="A411">
        <v>1</v>
      </c>
    </row>
    <row r="412" spans="1:1" x14ac:dyDescent="0.3">
      <c r="A412">
        <v>6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0</v>
      </c>
    </row>
    <row r="417" spans="1:1" x14ac:dyDescent="0.3">
      <c r="A417">
        <v>3</v>
      </c>
    </row>
    <row r="418" spans="1:1" x14ac:dyDescent="0.3">
      <c r="A418">
        <v>1</v>
      </c>
    </row>
    <row r="419" spans="1:1" x14ac:dyDescent="0.3">
      <c r="A419">
        <v>4</v>
      </c>
    </row>
    <row r="420" spans="1:1" x14ac:dyDescent="0.3">
      <c r="A420">
        <v>1</v>
      </c>
    </row>
    <row r="421" spans="1:1" x14ac:dyDescent="0.3">
      <c r="A421">
        <v>3</v>
      </c>
    </row>
    <row r="422" spans="1:1" x14ac:dyDescent="0.3">
      <c r="A422">
        <v>1</v>
      </c>
    </row>
    <row r="423" spans="1:1" x14ac:dyDescent="0.3">
      <c r="A423">
        <v>2</v>
      </c>
    </row>
    <row r="424" spans="1:1" x14ac:dyDescent="0.3">
      <c r="A424">
        <v>0</v>
      </c>
    </row>
    <row r="425" spans="1:1" x14ac:dyDescent="0.3">
      <c r="A425">
        <v>2</v>
      </c>
    </row>
    <row r="426" spans="1:1" x14ac:dyDescent="0.3">
      <c r="A426">
        <v>8</v>
      </c>
    </row>
    <row r="427" spans="1:1" x14ac:dyDescent="0.3">
      <c r="A427">
        <v>4</v>
      </c>
    </row>
    <row r="428" spans="1:1" x14ac:dyDescent="0.3">
      <c r="A428">
        <v>0</v>
      </c>
    </row>
    <row r="429" spans="1:1" x14ac:dyDescent="0.3">
      <c r="A429">
        <v>1</v>
      </c>
    </row>
    <row r="430" spans="1:1" x14ac:dyDescent="0.3">
      <c r="A430">
        <v>0</v>
      </c>
    </row>
    <row r="431" spans="1:1" x14ac:dyDescent="0.3">
      <c r="A431">
        <v>1</v>
      </c>
    </row>
    <row r="432" spans="1:1" x14ac:dyDescent="0.3">
      <c r="A432">
        <v>2</v>
      </c>
    </row>
    <row r="433" spans="1:1" x14ac:dyDescent="0.3">
      <c r="A433">
        <v>3</v>
      </c>
    </row>
    <row r="434" spans="1:1" x14ac:dyDescent="0.3">
      <c r="A434">
        <v>1</v>
      </c>
    </row>
    <row r="435" spans="1:1" x14ac:dyDescent="0.3">
      <c r="A435">
        <v>2</v>
      </c>
    </row>
    <row r="436" spans="1:1" x14ac:dyDescent="0.3">
      <c r="A436">
        <v>1</v>
      </c>
    </row>
    <row r="437" spans="1:1" x14ac:dyDescent="0.3">
      <c r="A437">
        <v>0</v>
      </c>
    </row>
    <row r="438" spans="1:1" x14ac:dyDescent="0.3">
      <c r="A438">
        <v>12</v>
      </c>
    </row>
    <row r="439" spans="1:1" x14ac:dyDescent="0.3">
      <c r="A439">
        <v>5</v>
      </c>
    </row>
    <row r="440" spans="1:1" x14ac:dyDescent="0.3">
      <c r="A440">
        <v>1</v>
      </c>
    </row>
    <row r="441" spans="1:1" x14ac:dyDescent="0.3">
      <c r="A441">
        <v>6</v>
      </c>
    </row>
    <row r="442" spans="1:1" x14ac:dyDescent="0.3">
      <c r="A442">
        <v>0</v>
      </c>
    </row>
    <row r="443" spans="1:1" x14ac:dyDescent="0.3">
      <c r="A443">
        <v>2</v>
      </c>
    </row>
    <row r="444" spans="1:1" x14ac:dyDescent="0.3">
      <c r="A444">
        <v>4</v>
      </c>
    </row>
    <row r="445" spans="1:1" x14ac:dyDescent="0.3">
      <c r="A445">
        <v>8</v>
      </c>
    </row>
    <row r="446" spans="1:1" x14ac:dyDescent="0.3">
      <c r="A446">
        <v>4</v>
      </c>
    </row>
    <row r="447" spans="1:1" x14ac:dyDescent="0.3">
      <c r="A447">
        <v>0</v>
      </c>
    </row>
    <row r="448" spans="1:1" x14ac:dyDescent="0.3">
      <c r="A448">
        <v>1</v>
      </c>
    </row>
    <row r="449" spans="1:1" x14ac:dyDescent="0.3">
      <c r="A449">
        <v>0</v>
      </c>
    </row>
    <row r="450" spans="1:1" x14ac:dyDescent="0.3">
      <c r="A450">
        <v>0</v>
      </c>
    </row>
    <row r="451" spans="1:1" x14ac:dyDescent="0.3">
      <c r="A451">
        <v>0</v>
      </c>
    </row>
    <row r="452" spans="1:1" x14ac:dyDescent="0.3">
      <c r="A452">
        <v>1</v>
      </c>
    </row>
    <row r="453" spans="1:1" x14ac:dyDescent="0.3">
      <c r="A453">
        <v>2</v>
      </c>
    </row>
    <row r="454" spans="1:1" x14ac:dyDescent="0.3">
      <c r="A454">
        <v>0</v>
      </c>
    </row>
    <row r="455" spans="1:1" x14ac:dyDescent="0.3">
      <c r="A455">
        <v>2</v>
      </c>
    </row>
    <row r="456" spans="1:1" x14ac:dyDescent="0.3">
      <c r="A456">
        <v>2</v>
      </c>
    </row>
    <row r="457" spans="1:1" x14ac:dyDescent="0.3">
      <c r="A457">
        <v>14</v>
      </c>
    </row>
    <row r="458" spans="1:1" x14ac:dyDescent="0.3">
      <c r="A458">
        <v>1</v>
      </c>
    </row>
    <row r="459" spans="1:1" x14ac:dyDescent="0.3">
      <c r="A459">
        <v>5</v>
      </c>
    </row>
    <row r="460" spans="1:1" x14ac:dyDescent="0.3">
      <c r="A460">
        <v>10</v>
      </c>
    </row>
    <row r="461" spans="1:1" x14ac:dyDescent="0.3">
      <c r="A461">
        <v>9</v>
      </c>
    </row>
    <row r="462" spans="1:1" x14ac:dyDescent="0.3">
      <c r="A462">
        <v>9</v>
      </c>
    </row>
    <row r="463" spans="1:1" x14ac:dyDescent="0.3">
      <c r="A463">
        <v>1</v>
      </c>
    </row>
    <row r="464" spans="1:1" x14ac:dyDescent="0.3">
      <c r="A464">
        <v>8</v>
      </c>
    </row>
    <row r="465" spans="1:1" x14ac:dyDescent="0.3">
      <c r="A465">
        <v>5</v>
      </c>
    </row>
    <row r="466" spans="1:1" x14ac:dyDescent="0.3">
      <c r="A466">
        <v>10</v>
      </c>
    </row>
    <row r="467" spans="1:1" x14ac:dyDescent="0.3">
      <c r="A467">
        <v>0</v>
      </c>
    </row>
    <row r="468" spans="1:1" x14ac:dyDescent="0.3">
      <c r="A468">
        <v>0</v>
      </c>
    </row>
    <row r="469" spans="1:1" x14ac:dyDescent="0.3">
      <c r="A469">
        <v>0</v>
      </c>
    </row>
    <row r="470" spans="1:1" x14ac:dyDescent="0.3">
      <c r="A470">
        <v>8</v>
      </c>
    </row>
    <row r="471" spans="1:1" x14ac:dyDescent="0.3">
      <c r="A471">
        <v>6</v>
      </c>
    </row>
    <row r="472" spans="1:1" x14ac:dyDescent="0.3">
      <c r="A472">
        <v>1</v>
      </c>
    </row>
    <row r="473" spans="1:1" x14ac:dyDescent="0.3">
      <c r="A473">
        <v>0</v>
      </c>
    </row>
    <row r="474" spans="1:1" x14ac:dyDescent="0.3">
      <c r="A474">
        <v>0</v>
      </c>
    </row>
    <row r="475" spans="1:1" x14ac:dyDescent="0.3">
      <c r="A475">
        <v>7</v>
      </c>
    </row>
    <row r="476" spans="1:1" x14ac:dyDescent="0.3">
      <c r="A476">
        <v>4</v>
      </c>
    </row>
    <row r="477" spans="1:1" x14ac:dyDescent="0.3">
      <c r="A477">
        <v>0</v>
      </c>
    </row>
    <row r="478" spans="1:1" x14ac:dyDescent="0.3">
      <c r="A478">
        <v>2</v>
      </c>
    </row>
    <row r="479" spans="1:1" x14ac:dyDescent="0.3">
      <c r="A479">
        <v>7</v>
      </c>
    </row>
    <row r="480" spans="1:1" x14ac:dyDescent="0.3">
      <c r="A480">
        <v>8</v>
      </c>
    </row>
    <row r="481" spans="1:1" x14ac:dyDescent="0.3">
      <c r="A481">
        <v>4</v>
      </c>
    </row>
    <row r="482" spans="1:1" x14ac:dyDescent="0.3">
      <c r="A482">
        <v>3</v>
      </c>
    </row>
    <row r="483" spans="1:1" x14ac:dyDescent="0.3">
      <c r="A483">
        <v>0</v>
      </c>
    </row>
    <row r="484" spans="1:1" x14ac:dyDescent="0.3">
      <c r="A484">
        <v>4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>
        <v>0</v>
      </c>
    </row>
    <row r="488" spans="1:1" x14ac:dyDescent="0.3">
      <c r="A488">
        <v>1</v>
      </c>
    </row>
    <row r="489" spans="1:1" x14ac:dyDescent="0.3">
      <c r="A489">
        <v>0</v>
      </c>
    </row>
    <row r="490" spans="1:1" x14ac:dyDescent="0.3">
      <c r="A490">
        <v>4</v>
      </c>
    </row>
    <row r="491" spans="1:1" x14ac:dyDescent="0.3">
      <c r="A491">
        <v>8</v>
      </c>
    </row>
    <row r="492" spans="1:1" x14ac:dyDescent="0.3">
      <c r="A492">
        <v>2</v>
      </c>
    </row>
    <row r="493" spans="1:1" x14ac:dyDescent="0.3">
      <c r="A493">
        <v>2</v>
      </c>
    </row>
    <row r="494" spans="1:1" x14ac:dyDescent="0.3">
      <c r="A494">
        <v>4</v>
      </c>
    </row>
    <row r="495" spans="1:1" x14ac:dyDescent="0.3">
      <c r="A495">
        <v>4</v>
      </c>
    </row>
    <row r="496" spans="1:1" x14ac:dyDescent="0.3">
      <c r="A496">
        <v>3</v>
      </c>
    </row>
    <row r="497" spans="1:1" x14ac:dyDescent="0.3">
      <c r="A497">
        <v>6</v>
      </c>
    </row>
    <row r="498" spans="1:1" x14ac:dyDescent="0.3">
      <c r="A498">
        <v>5</v>
      </c>
    </row>
    <row r="499" spans="1:1" x14ac:dyDescent="0.3">
      <c r="A499">
        <v>2</v>
      </c>
    </row>
    <row r="500" spans="1:1" x14ac:dyDescent="0.3">
      <c r="A500">
        <v>7</v>
      </c>
    </row>
    <row r="501" spans="1:1" x14ac:dyDescent="0.3">
      <c r="A501">
        <v>6</v>
      </c>
    </row>
    <row r="502" spans="1:1" x14ac:dyDescent="0.3">
      <c r="A502">
        <v>2</v>
      </c>
    </row>
    <row r="503" spans="1:1" x14ac:dyDescent="0.3">
      <c r="A503">
        <v>3</v>
      </c>
    </row>
    <row r="504" spans="1:1" x14ac:dyDescent="0.3">
      <c r="A504">
        <v>6</v>
      </c>
    </row>
    <row r="505" spans="1:1" x14ac:dyDescent="0.3">
      <c r="A505">
        <v>7</v>
      </c>
    </row>
    <row r="506" spans="1:1" x14ac:dyDescent="0.3">
      <c r="A506">
        <v>3</v>
      </c>
    </row>
    <row r="507" spans="1:1" x14ac:dyDescent="0.3">
      <c r="A507">
        <v>10</v>
      </c>
    </row>
    <row r="508" spans="1:1" x14ac:dyDescent="0.3">
      <c r="A508">
        <v>0</v>
      </c>
    </row>
    <row r="509" spans="1:1" x14ac:dyDescent="0.3">
      <c r="A509">
        <v>1</v>
      </c>
    </row>
    <row r="510" spans="1:1" x14ac:dyDescent="0.3">
      <c r="A510">
        <v>2</v>
      </c>
    </row>
    <row r="511" spans="1:1" x14ac:dyDescent="0.3">
      <c r="A511">
        <v>8</v>
      </c>
    </row>
    <row r="512" spans="1:1" x14ac:dyDescent="0.3">
      <c r="A512">
        <v>12</v>
      </c>
    </row>
    <row r="513" spans="1:1" x14ac:dyDescent="0.3">
      <c r="A513">
        <v>0</v>
      </c>
    </row>
    <row r="514" spans="1:1" x14ac:dyDescent="0.3">
      <c r="A514">
        <v>9</v>
      </c>
    </row>
    <row r="515" spans="1:1" x14ac:dyDescent="0.3">
      <c r="A515">
        <v>2</v>
      </c>
    </row>
    <row r="516" spans="1:1" x14ac:dyDescent="0.3">
      <c r="A516">
        <v>3</v>
      </c>
    </row>
    <row r="517" spans="1:1" x14ac:dyDescent="0.3">
      <c r="A517">
        <v>3</v>
      </c>
    </row>
    <row r="518" spans="1:1" x14ac:dyDescent="0.3">
      <c r="A518">
        <v>9</v>
      </c>
    </row>
    <row r="519" spans="1:1" x14ac:dyDescent="0.3">
      <c r="A519">
        <v>7</v>
      </c>
    </row>
    <row r="520" spans="1:1" x14ac:dyDescent="0.3">
      <c r="A520">
        <v>13</v>
      </c>
    </row>
    <row r="521" spans="1:1" x14ac:dyDescent="0.3">
      <c r="A521">
        <v>6</v>
      </c>
    </row>
    <row r="522" spans="1:1" x14ac:dyDescent="0.3">
      <c r="A522">
        <v>2</v>
      </c>
    </row>
    <row r="523" spans="1:1" x14ac:dyDescent="0.3">
      <c r="A523">
        <v>3</v>
      </c>
    </row>
    <row r="524" spans="1:1" x14ac:dyDescent="0.3">
      <c r="A524">
        <v>6</v>
      </c>
    </row>
    <row r="525" spans="1:1" x14ac:dyDescent="0.3">
      <c r="A525">
        <v>9</v>
      </c>
    </row>
    <row r="526" spans="1:1" x14ac:dyDescent="0.3">
      <c r="A526">
        <v>3</v>
      </c>
    </row>
    <row r="527" spans="1:1" x14ac:dyDescent="0.3">
      <c r="A527">
        <v>3</v>
      </c>
    </row>
    <row r="528" spans="1:1" x14ac:dyDescent="0.3">
      <c r="A528">
        <v>1</v>
      </c>
    </row>
    <row r="529" spans="1:1" x14ac:dyDescent="0.3">
      <c r="A529">
        <v>3</v>
      </c>
    </row>
    <row r="530" spans="1:1" x14ac:dyDescent="0.3">
      <c r="A530">
        <v>0</v>
      </c>
    </row>
    <row r="531" spans="1:1" x14ac:dyDescent="0.3">
      <c r="A531">
        <v>0</v>
      </c>
    </row>
    <row r="532" spans="1:1" x14ac:dyDescent="0.3">
      <c r="A532">
        <v>2</v>
      </c>
    </row>
    <row r="533" spans="1:1" x14ac:dyDescent="0.3">
      <c r="A533">
        <v>0</v>
      </c>
    </row>
    <row r="534" spans="1:1" x14ac:dyDescent="0.3">
      <c r="A534">
        <v>1</v>
      </c>
    </row>
    <row r="535" spans="1:1" x14ac:dyDescent="0.3">
      <c r="A535">
        <v>6</v>
      </c>
    </row>
    <row r="536" spans="1:1" x14ac:dyDescent="0.3">
      <c r="A536">
        <v>1</v>
      </c>
    </row>
    <row r="537" spans="1:1" x14ac:dyDescent="0.3">
      <c r="A537">
        <v>4</v>
      </c>
    </row>
    <row r="538" spans="1:1" x14ac:dyDescent="0.3">
      <c r="A538">
        <v>0</v>
      </c>
    </row>
    <row r="539" spans="1:1" x14ac:dyDescent="0.3">
      <c r="A539">
        <v>0</v>
      </c>
    </row>
    <row r="540" spans="1:1" x14ac:dyDescent="0.3">
      <c r="A540">
        <v>0</v>
      </c>
    </row>
    <row r="541" spans="1:1" x14ac:dyDescent="0.3">
      <c r="A541">
        <v>3</v>
      </c>
    </row>
    <row r="542" spans="1:1" x14ac:dyDescent="0.3">
      <c r="A542">
        <v>8</v>
      </c>
    </row>
    <row r="543" spans="1:1" x14ac:dyDescent="0.3">
      <c r="A543">
        <v>3</v>
      </c>
    </row>
    <row r="544" spans="1:1" x14ac:dyDescent="0.3">
      <c r="A544">
        <v>10</v>
      </c>
    </row>
    <row r="545" spans="1:1" x14ac:dyDescent="0.3">
      <c r="A545">
        <v>4</v>
      </c>
    </row>
    <row r="546" spans="1:1" x14ac:dyDescent="0.3">
      <c r="A546">
        <v>1</v>
      </c>
    </row>
    <row r="547" spans="1:1" x14ac:dyDescent="0.3">
      <c r="A547">
        <v>8</v>
      </c>
    </row>
    <row r="548" spans="1:1" x14ac:dyDescent="0.3">
      <c r="A548">
        <v>5</v>
      </c>
    </row>
    <row r="549" spans="1:1" x14ac:dyDescent="0.3">
      <c r="A549">
        <v>4</v>
      </c>
    </row>
    <row r="550" spans="1:1" x14ac:dyDescent="0.3">
      <c r="A550">
        <v>1</v>
      </c>
    </row>
    <row r="551" spans="1:1" x14ac:dyDescent="0.3">
      <c r="A551">
        <v>4</v>
      </c>
    </row>
    <row r="552" spans="1:1" x14ac:dyDescent="0.3">
      <c r="A552">
        <v>1</v>
      </c>
    </row>
    <row r="553" spans="1:1" x14ac:dyDescent="0.3">
      <c r="A553">
        <v>3</v>
      </c>
    </row>
    <row r="554" spans="1:1" x14ac:dyDescent="0.3">
      <c r="A554">
        <v>6</v>
      </c>
    </row>
    <row r="555" spans="1:1" x14ac:dyDescent="0.3">
      <c r="A555">
        <v>1</v>
      </c>
    </row>
    <row r="556" spans="1:1" x14ac:dyDescent="0.3">
      <c r="A556">
        <v>1</v>
      </c>
    </row>
    <row r="557" spans="1:1" x14ac:dyDescent="0.3">
      <c r="A557">
        <v>7</v>
      </c>
    </row>
    <row r="558" spans="1:1" x14ac:dyDescent="0.3">
      <c r="A558">
        <v>1</v>
      </c>
    </row>
    <row r="559" spans="1:1" x14ac:dyDescent="0.3">
      <c r="A559">
        <v>8</v>
      </c>
    </row>
    <row r="560" spans="1:1" x14ac:dyDescent="0.3">
      <c r="A560">
        <v>11</v>
      </c>
    </row>
    <row r="561" spans="1:1" x14ac:dyDescent="0.3">
      <c r="A561">
        <v>11</v>
      </c>
    </row>
    <row r="562" spans="1:1" x14ac:dyDescent="0.3">
      <c r="A562">
        <v>6</v>
      </c>
    </row>
    <row r="563" spans="1:1" x14ac:dyDescent="0.3">
      <c r="A563">
        <v>0</v>
      </c>
    </row>
    <row r="564" spans="1:1" x14ac:dyDescent="0.3">
      <c r="A564">
        <v>1</v>
      </c>
    </row>
    <row r="565" spans="1:1" x14ac:dyDescent="0.3">
      <c r="A565">
        <v>6</v>
      </c>
    </row>
    <row r="566" spans="1:1" x14ac:dyDescent="0.3">
      <c r="A566">
        <v>0</v>
      </c>
    </row>
    <row r="567" spans="1:1" x14ac:dyDescent="0.3">
      <c r="A567">
        <v>2</v>
      </c>
    </row>
    <row r="568" spans="1:1" x14ac:dyDescent="0.3">
      <c r="A568">
        <v>1</v>
      </c>
    </row>
    <row r="569" spans="1:1" x14ac:dyDescent="0.3">
      <c r="A569">
        <v>6</v>
      </c>
    </row>
    <row r="570" spans="1:1" x14ac:dyDescent="0.3">
      <c r="A570">
        <v>4</v>
      </c>
    </row>
    <row r="571" spans="1:1" x14ac:dyDescent="0.3">
      <c r="A571">
        <v>0</v>
      </c>
    </row>
    <row r="572" spans="1:1" x14ac:dyDescent="0.3">
      <c r="A572">
        <v>3</v>
      </c>
    </row>
    <row r="573" spans="1:1" x14ac:dyDescent="0.3">
      <c r="A573">
        <v>2</v>
      </c>
    </row>
    <row r="574" spans="1:1" x14ac:dyDescent="0.3">
      <c r="A574">
        <v>3</v>
      </c>
    </row>
    <row r="575" spans="1:1" x14ac:dyDescent="0.3">
      <c r="A575">
        <v>2</v>
      </c>
    </row>
    <row r="576" spans="1:1" x14ac:dyDescent="0.3">
      <c r="A576">
        <v>1</v>
      </c>
    </row>
    <row r="577" spans="1:1" x14ac:dyDescent="0.3">
      <c r="A577">
        <v>1</v>
      </c>
    </row>
    <row r="578" spans="1:1" x14ac:dyDescent="0.3">
      <c r="A578">
        <v>6</v>
      </c>
    </row>
    <row r="579" spans="1:1" x14ac:dyDescent="0.3">
      <c r="A579">
        <v>2</v>
      </c>
    </row>
    <row r="580" spans="1:1" x14ac:dyDescent="0.3">
      <c r="A580">
        <v>10</v>
      </c>
    </row>
    <row r="581" spans="1:1" x14ac:dyDescent="0.3">
      <c r="A581">
        <v>2</v>
      </c>
    </row>
    <row r="582" spans="1:1" x14ac:dyDescent="0.3">
      <c r="A582">
        <v>0</v>
      </c>
    </row>
    <row r="583" spans="1:1" x14ac:dyDescent="0.3">
      <c r="A583">
        <v>6</v>
      </c>
    </row>
    <row r="584" spans="1:1" x14ac:dyDescent="0.3">
      <c r="A584">
        <v>12</v>
      </c>
    </row>
    <row r="585" spans="1:1" x14ac:dyDescent="0.3">
      <c r="A585">
        <v>8</v>
      </c>
    </row>
    <row r="586" spans="1:1" x14ac:dyDescent="0.3">
      <c r="A586">
        <v>8</v>
      </c>
    </row>
    <row r="587" spans="1:1" x14ac:dyDescent="0.3">
      <c r="A587">
        <v>1</v>
      </c>
    </row>
    <row r="588" spans="1:1" x14ac:dyDescent="0.3">
      <c r="A588">
        <v>8</v>
      </c>
    </row>
    <row r="589" spans="1:1" x14ac:dyDescent="0.3">
      <c r="A589">
        <v>6</v>
      </c>
    </row>
    <row r="590" spans="1:1" x14ac:dyDescent="0.3">
      <c r="A590">
        <v>3</v>
      </c>
    </row>
    <row r="591" spans="1:1" x14ac:dyDescent="0.3">
      <c r="A591">
        <v>0</v>
      </c>
    </row>
    <row r="592" spans="1:1" x14ac:dyDescent="0.3">
      <c r="A592">
        <v>11</v>
      </c>
    </row>
    <row r="593" spans="1:1" x14ac:dyDescent="0.3">
      <c r="A593">
        <v>2</v>
      </c>
    </row>
    <row r="594" spans="1:1" x14ac:dyDescent="0.3">
      <c r="A594">
        <v>3</v>
      </c>
    </row>
    <row r="595" spans="1:1" x14ac:dyDescent="0.3">
      <c r="A595">
        <v>2</v>
      </c>
    </row>
    <row r="596" spans="1:1" x14ac:dyDescent="0.3">
      <c r="A596">
        <v>6</v>
      </c>
    </row>
    <row r="597" spans="1:1" x14ac:dyDescent="0.3">
      <c r="A597">
        <v>0</v>
      </c>
    </row>
    <row r="598" spans="1:1" x14ac:dyDescent="0.3">
      <c r="A598">
        <v>0</v>
      </c>
    </row>
    <row r="599" spans="1:1" x14ac:dyDescent="0.3">
      <c r="A599">
        <v>1</v>
      </c>
    </row>
    <row r="600" spans="1:1" x14ac:dyDescent="0.3">
      <c r="A600">
        <v>1</v>
      </c>
    </row>
    <row r="601" spans="1:1" x14ac:dyDescent="0.3">
      <c r="A601">
        <v>1</v>
      </c>
    </row>
    <row r="602" spans="1:1" x14ac:dyDescent="0.3">
      <c r="A602">
        <v>1</v>
      </c>
    </row>
    <row r="603" spans="1:1" x14ac:dyDescent="0.3">
      <c r="A603">
        <v>6</v>
      </c>
    </row>
    <row r="604" spans="1:1" x14ac:dyDescent="0.3">
      <c r="A604">
        <v>1</v>
      </c>
    </row>
    <row r="605" spans="1:1" x14ac:dyDescent="0.3">
      <c r="A605">
        <v>7</v>
      </c>
    </row>
    <row r="606" spans="1:1" x14ac:dyDescent="0.3">
      <c r="A606">
        <v>4</v>
      </c>
    </row>
    <row r="607" spans="1:1" x14ac:dyDescent="0.3">
      <c r="A607">
        <v>1</v>
      </c>
    </row>
    <row r="608" spans="1:1" x14ac:dyDescent="0.3">
      <c r="A608">
        <v>1</v>
      </c>
    </row>
    <row r="609" spans="1:1" x14ac:dyDescent="0.3">
      <c r="A609">
        <v>1</v>
      </c>
    </row>
    <row r="610" spans="1:1" x14ac:dyDescent="0.3">
      <c r="A610">
        <v>0</v>
      </c>
    </row>
    <row r="611" spans="1:1" x14ac:dyDescent="0.3">
      <c r="A611">
        <v>1</v>
      </c>
    </row>
    <row r="612" spans="1:1" x14ac:dyDescent="0.3">
      <c r="A612">
        <v>3</v>
      </c>
    </row>
    <row r="613" spans="1:1" x14ac:dyDescent="0.3">
      <c r="A613">
        <v>3</v>
      </c>
    </row>
    <row r="614" spans="1:1" x14ac:dyDescent="0.3">
      <c r="A614">
        <v>7</v>
      </c>
    </row>
    <row r="615" spans="1:1" x14ac:dyDescent="0.3">
      <c r="A615">
        <v>6</v>
      </c>
    </row>
    <row r="616" spans="1:1" x14ac:dyDescent="0.3">
      <c r="A616">
        <v>11</v>
      </c>
    </row>
    <row r="617" spans="1:1" x14ac:dyDescent="0.3">
      <c r="A617">
        <v>3</v>
      </c>
    </row>
    <row r="618" spans="1:1" x14ac:dyDescent="0.3">
      <c r="A618">
        <v>6</v>
      </c>
    </row>
    <row r="619" spans="1:1" x14ac:dyDescent="0.3">
      <c r="A619">
        <v>2</v>
      </c>
    </row>
    <row r="620" spans="1:1" x14ac:dyDescent="0.3">
      <c r="A620">
        <v>9</v>
      </c>
    </row>
    <row r="621" spans="1:1" x14ac:dyDescent="0.3">
      <c r="A621">
        <v>0</v>
      </c>
    </row>
    <row r="622" spans="1:1" x14ac:dyDescent="0.3">
      <c r="A622">
        <v>2</v>
      </c>
    </row>
    <row r="623" spans="1:1" x14ac:dyDescent="0.3">
      <c r="A623">
        <v>2</v>
      </c>
    </row>
    <row r="624" spans="1:1" x14ac:dyDescent="0.3">
      <c r="A624">
        <v>6</v>
      </c>
    </row>
    <row r="625" spans="1:1" x14ac:dyDescent="0.3">
      <c r="A625">
        <v>0</v>
      </c>
    </row>
    <row r="626" spans="1:1" x14ac:dyDescent="0.3">
      <c r="A626">
        <v>2</v>
      </c>
    </row>
    <row r="627" spans="1:1" x14ac:dyDescent="0.3">
      <c r="A627">
        <v>4</v>
      </c>
    </row>
    <row r="628" spans="1:1" x14ac:dyDescent="0.3">
      <c r="A628">
        <v>0</v>
      </c>
    </row>
    <row r="629" spans="1:1" x14ac:dyDescent="0.3">
      <c r="A629">
        <v>0</v>
      </c>
    </row>
    <row r="630" spans="1:1" x14ac:dyDescent="0.3">
      <c r="A630">
        <v>5</v>
      </c>
    </row>
    <row r="631" spans="1:1" x14ac:dyDescent="0.3">
      <c r="A631">
        <v>4</v>
      </c>
    </row>
    <row r="632" spans="1:1" x14ac:dyDescent="0.3">
      <c r="A632">
        <v>7</v>
      </c>
    </row>
    <row r="633" spans="1:1" x14ac:dyDescent="0.3">
      <c r="A633">
        <v>0</v>
      </c>
    </row>
    <row r="634" spans="1:1" x14ac:dyDescent="0.3">
      <c r="A634">
        <v>2</v>
      </c>
    </row>
    <row r="635" spans="1:1" x14ac:dyDescent="0.3">
      <c r="A635">
        <v>1</v>
      </c>
    </row>
    <row r="636" spans="1:1" x14ac:dyDescent="0.3">
      <c r="A636">
        <v>10</v>
      </c>
    </row>
    <row r="637" spans="1:1" x14ac:dyDescent="0.3">
      <c r="A637">
        <v>13</v>
      </c>
    </row>
    <row r="638" spans="1:1" x14ac:dyDescent="0.3">
      <c r="A638">
        <v>5</v>
      </c>
    </row>
    <row r="639" spans="1:1" x14ac:dyDescent="0.3">
      <c r="A639">
        <v>2</v>
      </c>
    </row>
    <row r="640" spans="1:1" x14ac:dyDescent="0.3">
      <c r="A640">
        <v>7</v>
      </c>
    </row>
    <row r="641" spans="1:1" x14ac:dyDescent="0.3">
      <c r="A641">
        <v>1</v>
      </c>
    </row>
    <row r="642" spans="1:1" x14ac:dyDescent="0.3">
      <c r="A642">
        <v>0</v>
      </c>
    </row>
    <row r="643" spans="1:1" x14ac:dyDescent="0.3">
      <c r="A643">
        <v>4</v>
      </c>
    </row>
    <row r="644" spans="1:1" x14ac:dyDescent="0.3">
      <c r="A644">
        <v>6</v>
      </c>
    </row>
    <row r="645" spans="1:1" x14ac:dyDescent="0.3">
      <c r="A645">
        <v>4</v>
      </c>
    </row>
    <row r="646" spans="1:1" x14ac:dyDescent="0.3">
      <c r="A646">
        <v>3</v>
      </c>
    </row>
    <row r="647" spans="1:1" x14ac:dyDescent="0.3">
      <c r="A647">
        <v>2</v>
      </c>
    </row>
    <row r="648" spans="1:1" x14ac:dyDescent="0.3">
      <c r="A648">
        <v>1</v>
      </c>
    </row>
    <row r="649" spans="1:1" x14ac:dyDescent="0.3">
      <c r="A649">
        <v>0</v>
      </c>
    </row>
    <row r="650" spans="1:1" x14ac:dyDescent="0.3">
      <c r="A650">
        <v>11</v>
      </c>
    </row>
    <row r="651" spans="1:1" x14ac:dyDescent="0.3">
      <c r="A651">
        <v>0</v>
      </c>
    </row>
    <row r="652" spans="1:1" x14ac:dyDescent="0.3">
      <c r="A652">
        <v>1</v>
      </c>
    </row>
    <row r="653" spans="1:1" x14ac:dyDescent="0.3">
      <c r="A653">
        <v>1</v>
      </c>
    </row>
    <row r="654" spans="1:1" x14ac:dyDescent="0.3">
      <c r="A654">
        <v>5</v>
      </c>
    </row>
    <row r="655" spans="1:1" x14ac:dyDescent="0.3">
      <c r="A655">
        <v>2</v>
      </c>
    </row>
    <row r="656" spans="1:1" x14ac:dyDescent="0.3">
      <c r="A656">
        <v>1</v>
      </c>
    </row>
    <row r="657" spans="1:1" x14ac:dyDescent="0.3">
      <c r="A657">
        <v>2</v>
      </c>
    </row>
    <row r="658" spans="1:1" x14ac:dyDescent="0.3">
      <c r="A658">
        <v>2</v>
      </c>
    </row>
    <row r="659" spans="1:1" x14ac:dyDescent="0.3">
      <c r="A659">
        <v>1</v>
      </c>
    </row>
    <row r="660" spans="1:1" x14ac:dyDescent="0.3">
      <c r="A660">
        <v>11</v>
      </c>
    </row>
    <row r="661" spans="1:1" x14ac:dyDescent="0.3">
      <c r="A661">
        <v>3</v>
      </c>
    </row>
    <row r="662" spans="1:1" x14ac:dyDescent="0.3">
      <c r="A662">
        <v>10</v>
      </c>
    </row>
    <row r="663" spans="1:1" x14ac:dyDescent="0.3">
      <c r="A663">
        <v>1</v>
      </c>
    </row>
    <row r="664" spans="1:1" x14ac:dyDescent="0.3">
      <c r="A664">
        <v>8</v>
      </c>
    </row>
    <row r="665" spans="1:1" x14ac:dyDescent="0.3">
      <c r="A665">
        <v>9</v>
      </c>
    </row>
    <row r="666" spans="1:1" x14ac:dyDescent="0.3">
      <c r="A666">
        <v>6</v>
      </c>
    </row>
    <row r="667" spans="1:1" x14ac:dyDescent="0.3">
      <c r="A667">
        <v>1</v>
      </c>
    </row>
    <row r="668" spans="1:1" x14ac:dyDescent="0.3">
      <c r="A668">
        <v>4</v>
      </c>
    </row>
    <row r="669" spans="1:1" x14ac:dyDescent="0.3">
      <c r="A669">
        <v>10</v>
      </c>
    </row>
    <row r="670" spans="1:1" x14ac:dyDescent="0.3">
      <c r="A670">
        <v>6</v>
      </c>
    </row>
    <row r="671" spans="1:1" x14ac:dyDescent="0.3">
      <c r="A671">
        <v>9</v>
      </c>
    </row>
    <row r="672" spans="1:1" x14ac:dyDescent="0.3">
      <c r="A672">
        <v>6</v>
      </c>
    </row>
    <row r="673" spans="1:1" x14ac:dyDescent="0.3">
      <c r="A673">
        <v>1</v>
      </c>
    </row>
    <row r="674" spans="1:1" x14ac:dyDescent="0.3">
      <c r="A674">
        <v>10</v>
      </c>
    </row>
    <row r="675" spans="1:1" x14ac:dyDescent="0.3">
      <c r="A675">
        <v>3</v>
      </c>
    </row>
    <row r="676" spans="1:1" x14ac:dyDescent="0.3">
      <c r="A676">
        <v>8</v>
      </c>
    </row>
    <row r="677" spans="1:1" x14ac:dyDescent="0.3">
      <c r="A677">
        <v>6</v>
      </c>
    </row>
    <row r="678" spans="1:1" x14ac:dyDescent="0.3">
      <c r="A678">
        <v>9</v>
      </c>
    </row>
    <row r="679" spans="1:1" x14ac:dyDescent="0.3">
      <c r="A679">
        <v>0</v>
      </c>
    </row>
    <row r="680" spans="1:1" x14ac:dyDescent="0.3">
      <c r="A680">
        <v>3</v>
      </c>
    </row>
    <row r="681" spans="1:1" x14ac:dyDescent="0.3">
      <c r="A681">
        <v>2</v>
      </c>
    </row>
    <row r="682" spans="1:1" x14ac:dyDescent="0.3">
      <c r="A682">
        <v>2</v>
      </c>
    </row>
    <row r="683" spans="1:1" x14ac:dyDescent="0.3">
      <c r="A683">
        <v>0</v>
      </c>
    </row>
    <row r="684" spans="1:1" x14ac:dyDescent="0.3">
      <c r="A684">
        <v>0</v>
      </c>
    </row>
    <row r="685" spans="1:1" x14ac:dyDescent="0.3">
      <c r="A685">
        <v>4</v>
      </c>
    </row>
    <row r="686" spans="1:1" x14ac:dyDescent="0.3">
      <c r="A686">
        <v>5</v>
      </c>
    </row>
    <row r="687" spans="1:1" x14ac:dyDescent="0.3">
      <c r="A687">
        <v>2</v>
      </c>
    </row>
    <row r="688" spans="1:1" x14ac:dyDescent="0.3">
      <c r="A688">
        <v>3</v>
      </c>
    </row>
    <row r="689" spans="1:1" x14ac:dyDescent="0.3">
      <c r="A689">
        <v>1</v>
      </c>
    </row>
    <row r="690" spans="1:1" x14ac:dyDescent="0.3">
      <c r="A690">
        <v>1</v>
      </c>
    </row>
    <row r="691" spans="1:1" x14ac:dyDescent="0.3">
      <c r="A691">
        <v>1</v>
      </c>
    </row>
    <row r="692" spans="1:1" x14ac:dyDescent="0.3">
      <c r="A692">
        <v>8</v>
      </c>
    </row>
    <row r="693" spans="1:1" x14ac:dyDescent="0.3">
      <c r="A693">
        <v>13</v>
      </c>
    </row>
    <row r="694" spans="1:1" x14ac:dyDescent="0.3">
      <c r="A694">
        <v>2</v>
      </c>
    </row>
    <row r="695" spans="1:1" x14ac:dyDescent="0.3">
      <c r="A695">
        <v>7</v>
      </c>
    </row>
    <row r="696" spans="1:1" x14ac:dyDescent="0.3">
      <c r="A696">
        <v>2</v>
      </c>
    </row>
    <row r="697" spans="1:1" x14ac:dyDescent="0.3">
      <c r="A697">
        <v>7</v>
      </c>
    </row>
    <row r="698" spans="1:1" x14ac:dyDescent="0.3">
      <c r="A698">
        <v>3</v>
      </c>
    </row>
    <row r="699" spans="1:1" x14ac:dyDescent="0.3">
      <c r="A699">
        <v>0</v>
      </c>
    </row>
    <row r="700" spans="1:1" x14ac:dyDescent="0.3">
      <c r="A700">
        <v>4</v>
      </c>
    </row>
    <row r="701" spans="1:1" x14ac:dyDescent="0.3">
      <c r="A701">
        <v>4</v>
      </c>
    </row>
    <row r="702" spans="1:1" x14ac:dyDescent="0.3">
      <c r="A702">
        <v>2</v>
      </c>
    </row>
    <row r="703" spans="1:1" x14ac:dyDescent="0.3">
      <c r="A703">
        <v>6</v>
      </c>
    </row>
    <row r="704" spans="1:1" x14ac:dyDescent="0.3">
      <c r="A704">
        <v>1</v>
      </c>
    </row>
    <row r="705" spans="1:1" x14ac:dyDescent="0.3">
      <c r="A705">
        <v>2</v>
      </c>
    </row>
    <row r="706" spans="1:1" x14ac:dyDescent="0.3">
      <c r="A706">
        <v>4</v>
      </c>
    </row>
    <row r="707" spans="1:1" x14ac:dyDescent="0.3">
      <c r="A707">
        <v>6</v>
      </c>
    </row>
    <row r="708" spans="1:1" x14ac:dyDescent="0.3">
      <c r="A708">
        <v>10</v>
      </c>
    </row>
    <row r="709" spans="1:1" x14ac:dyDescent="0.3">
      <c r="A709">
        <v>2</v>
      </c>
    </row>
    <row r="710" spans="1:1" x14ac:dyDescent="0.3">
      <c r="A710">
        <v>9</v>
      </c>
    </row>
    <row r="711" spans="1:1" x14ac:dyDescent="0.3">
      <c r="A711">
        <v>2</v>
      </c>
    </row>
    <row r="712" spans="1:1" x14ac:dyDescent="0.3">
      <c r="A712">
        <v>3</v>
      </c>
    </row>
    <row r="713" spans="1:1" x14ac:dyDescent="0.3">
      <c r="A713">
        <v>5</v>
      </c>
    </row>
    <row r="714" spans="1:1" x14ac:dyDescent="0.3">
      <c r="A714">
        <v>10</v>
      </c>
    </row>
    <row r="715" spans="1:1" x14ac:dyDescent="0.3">
      <c r="A715">
        <v>0</v>
      </c>
    </row>
    <row r="716" spans="1:1" x14ac:dyDescent="0.3">
      <c r="A716">
        <v>3</v>
      </c>
    </row>
    <row r="717" spans="1:1" x14ac:dyDescent="0.3">
      <c r="A717">
        <v>7</v>
      </c>
    </row>
    <row r="718" spans="1:1" x14ac:dyDescent="0.3">
      <c r="A718">
        <v>3</v>
      </c>
    </row>
    <row r="719" spans="1:1" x14ac:dyDescent="0.3">
      <c r="A719">
        <v>10</v>
      </c>
    </row>
    <row r="720" spans="1:1" x14ac:dyDescent="0.3">
      <c r="A720">
        <v>1</v>
      </c>
    </row>
    <row r="721" spans="1:1" x14ac:dyDescent="0.3">
      <c r="A721">
        <v>5</v>
      </c>
    </row>
    <row r="722" spans="1:1" x14ac:dyDescent="0.3">
      <c r="A722">
        <v>4</v>
      </c>
    </row>
    <row r="723" spans="1:1" x14ac:dyDescent="0.3">
      <c r="A723">
        <v>1</v>
      </c>
    </row>
    <row r="724" spans="1:1" x14ac:dyDescent="0.3">
      <c r="A724">
        <v>1</v>
      </c>
    </row>
    <row r="725" spans="1:1" x14ac:dyDescent="0.3">
      <c r="A725">
        <v>5</v>
      </c>
    </row>
    <row r="726" spans="1:1" x14ac:dyDescent="0.3">
      <c r="A726">
        <v>1</v>
      </c>
    </row>
    <row r="727" spans="1:1" x14ac:dyDescent="0.3">
      <c r="A727">
        <v>4</v>
      </c>
    </row>
    <row r="728" spans="1:1" x14ac:dyDescent="0.3">
      <c r="A728">
        <v>1</v>
      </c>
    </row>
    <row r="729" spans="1:1" x14ac:dyDescent="0.3">
      <c r="A729">
        <v>0</v>
      </c>
    </row>
    <row r="730" spans="1:1" x14ac:dyDescent="0.3">
      <c r="A730">
        <v>2</v>
      </c>
    </row>
    <row r="731" spans="1:1" x14ac:dyDescent="0.3">
      <c r="A731">
        <v>2</v>
      </c>
    </row>
    <row r="732" spans="1:1" x14ac:dyDescent="0.3">
      <c r="A732">
        <v>3</v>
      </c>
    </row>
    <row r="733" spans="1:1" x14ac:dyDescent="0.3">
      <c r="A733">
        <v>8</v>
      </c>
    </row>
    <row r="734" spans="1:1" x14ac:dyDescent="0.3">
      <c r="A734">
        <v>2</v>
      </c>
    </row>
    <row r="735" spans="1:1" x14ac:dyDescent="0.3">
      <c r="A735">
        <v>2</v>
      </c>
    </row>
    <row r="736" spans="1:1" x14ac:dyDescent="0.3">
      <c r="A736">
        <v>2</v>
      </c>
    </row>
    <row r="737" spans="1:1" x14ac:dyDescent="0.3">
      <c r="A737">
        <v>4</v>
      </c>
    </row>
    <row r="738" spans="1:1" x14ac:dyDescent="0.3">
      <c r="A738">
        <v>0</v>
      </c>
    </row>
    <row r="739" spans="1:1" x14ac:dyDescent="0.3">
      <c r="A739">
        <v>8</v>
      </c>
    </row>
    <row r="740" spans="1:1" x14ac:dyDescent="0.3">
      <c r="A740">
        <v>2</v>
      </c>
    </row>
    <row r="741" spans="1:1" x14ac:dyDescent="0.3">
      <c r="A741">
        <v>1</v>
      </c>
    </row>
    <row r="742" spans="1:1" x14ac:dyDescent="0.3">
      <c r="A742">
        <v>11</v>
      </c>
    </row>
    <row r="743" spans="1:1" x14ac:dyDescent="0.3">
      <c r="A743">
        <v>3</v>
      </c>
    </row>
    <row r="744" spans="1:1" x14ac:dyDescent="0.3">
      <c r="A744">
        <v>1</v>
      </c>
    </row>
    <row r="745" spans="1:1" x14ac:dyDescent="0.3">
      <c r="A745">
        <v>9</v>
      </c>
    </row>
    <row r="746" spans="1:1" x14ac:dyDescent="0.3">
      <c r="A746">
        <v>13</v>
      </c>
    </row>
    <row r="747" spans="1:1" x14ac:dyDescent="0.3">
      <c r="A747">
        <v>12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3</v>
      </c>
    </row>
    <row r="751" spans="1:1" x14ac:dyDescent="0.3">
      <c r="A751">
        <v>6</v>
      </c>
    </row>
    <row r="752" spans="1:1" x14ac:dyDescent="0.3">
      <c r="A752">
        <v>4</v>
      </c>
    </row>
    <row r="753" spans="1:1" x14ac:dyDescent="0.3">
      <c r="A753">
        <v>1</v>
      </c>
    </row>
    <row r="754" spans="1:1" x14ac:dyDescent="0.3">
      <c r="A754">
        <v>3</v>
      </c>
    </row>
    <row r="755" spans="1:1" x14ac:dyDescent="0.3">
      <c r="A755">
        <v>0</v>
      </c>
    </row>
    <row r="756" spans="1:1" x14ac:dyDescent="0.3">
      <c r="A756">
        <v>8</v>
      </c>
    </row>
    <row r="757" spans="1:1" x14ac:dyDescent="0.3">
      <c r="A757">
        <v>1</v>
      </c>
    </row>
    <row r="758" spans="1:1" x14ac:dyDescent="0.3">
      <c r="A758">
        <v>7</v>
      </c>
    </row>
    <row r="759" spans="1:1" x14ac:dyDescent="0.3">
      <c r="A759">
        <v>0</v>
      </c>
    </row>
    <row r="760" spans="1:1" x14ac:dyDescent="0.3">
      <c r="A760">
        <v>1</v>
      </c>
    </row>
    <row r="761" spans="1:1" x14ac:dyDescent="0.3">
      <c r="A761">
        <v>6</v>
      </c>
    </row>
    <row r="762" spans="1:1" x14ac:dyDescent="0.3">
      <c r="A762">
        <v>2</v>
      </c>
    </row>
    <row r="763" spans="1:1" x14ac:dyDescent="0.3">
      <c r="A763">
        <v>9</v>
      </c>
    </row>
    <row r="764" spans="1:1" x14ac:dyDescent="0.3">
      <c r="A764">
        <v>9</v>
      </c>
    </row>
    <row r="765" spans="1:1" x14ac:dyDescent="0.3">
      <c r="A765">
        <v>10</v>
      </c>
    </row>
    <row r="766" spans="1:1" x14ac:dyDescent="0.3">
      <c r="A766">
        <v>2</v>
      </c>
    </row>
    <row r="767" spans="1:1" x14ac:dyDescent="0.3">
      <c r="A767">
        <v>5</v>
      </c>
    </row>
    <row r="768" spans="1:1" x14ac:dyDescent="0.3">
      <c r="A768">
        <v>1</v>
      </c>
    </row>
    <row r="769" spans="1:1" x14ac:dyDescent="0.3">
      <c r="A7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D646-F749-4D63-8A3C-A13C80E8D004}">
  <dimension ref="B1:I41"/>
  <sheetViews>
    <sheetView topLeftCell="A16" zoomScale="160" zoomScaleNormal="160" workbookViewId="0">
      <selection activeCell="D28" sqref="D28"/>
    </sheetView>
  </sheetViews>
  <sheetFormatPr defaultRowHeight="14.4" x14ac:dyDescent="0.3"/>
  <sheetData>
    <row r="1" spans="2:7" x14ac:dyDescent="0.3">
      <c r="B1" s="7" t="s">
        <v>67</v>
      </c>
    </row>
    <row r="3" spans="2:7" x14ac:dyDescent="0.3">
      <c r="C3" t="s">
        <v>8</v>
      </c>
    </row>
    <row r="4" spans="2:7" x14ac:dyDescent="0.3">
      <c r="C4" t="s">
        <v>9</v>
      </c>
      <c r="D4" t="s">
        <v>10</v>
      </c>
      <c r="F4" t="s">
        <v>11</v>
      </c>
    </row>
    <row r="5" spans="2:7" x14ac:dyDescent="0.3">
      <c r="C5" t="s">
        <v>12</v>
      </c>
      <c r="E5" t="s">
        <v>14</v>
      </c>
    </row>
    <row r="6" spans="2:7" x14ac:dyDescent="0.3">
      <c r="C6" t="s">
        <v>13</v>
      </c>
    </row>
    <row r="8" spans="2:7" x14ac:dyDescent="0.3">
      <c r="C8" t="s">
        <v>15</v>
      </c>
    </row>
    <row r="9" spans="2:7" x14ac:dyDescent="0.3">
      <c r="C9" t="s">
        <v>16</v>
      </c>
    </row>
    <row r="10" spans="2:7" x14ac:dyDescent="0.3">
      <c r="C10" t="s">
        <v>17</v>
      </c>
    </row>
    <row r="11" spans="2:7" x14ac:dyDescent="0.3">
      <c r="C11" t="s">
        <v>18</v>
      </c>
    </row>
    <row r="12" spans="2:7" x14ac:dyDescent="0.3">
      <c r="C12" t="s">
        <v>19</v>
      </c>
    </row>
    <row r="14" spans="2:7" x14ac:dyDescent="0.3">
      <c r="C14" t="s">
        <v>64</v>
      </c>
      <c r="E14" t="s">
        <v>65</v>
      </c>
    </row>
    <row r="15" spans="2:7" x14ac:dyDescent="0.3">
      <c r="G15" s="7">
        <v>10</v>
      </c>
    </row>
    <row r="16" spans="2:7" x14ac:dyDescent="0.3">
      <c r="C16" t="s">
        <v>66</v>
      </c>
    </row>
    <row r="17" spans="5:8" x14ac:dyDescent="0.3">
      <c r="E17">
        <v>1</v>
      </c>
      <c r="F17">
        <f>E17+$G$15</f>
        <v>11</v>
      </c>
      <c r="H17" t="s">
        <v>69</v>
      </c>
    </row>
    <row r="18" spans="5:8" x14ac:dyDescent="0.3">
      <c r="E18">
        <v>2</v>
      </c>
      <c r="F18">
        <f t="shared" ref="F18:F20" si="0">E18+$G$15</f>
        <v>12</v>
      </c>
      <c r="H18" t="s">
        <v>70</v>
      </c>
    </row>
    <row r="19" spans="5:8" x14ac:dyDescent="0.3">
      <c r="E19">
        <v>3</v>
      </c>
      <c r="F19">
        <f t="shared" si="0"/>
        <v>13</v>
      </c>
      <c r="H19" t="s">
        <v>71</v>
      </c>
    </row>
    <row r="20" spans="5:8" x14ac:dyDescent="0.3">
      <c r="E20">
        <v>4</v>
      </c>
      <c r="F20">
        <f t="shared" si="0"/>
        <v>14</v>
      </c>
    </row>
    <row r="22" spans="5:8" x14ac:dyDescent="0.3">
      <c r="E22" t="s">
        <v>68</v>
      </c>
      <c r="H22">
        <v>20</v>
      </c>
    </row>
    <row r="24" spans="5:8" x14ac:dyDescent="0.3">
      <c r="F24">
        <v>2</v>
      </c>
      <c r="G24">
        <f>F24*$H$22</f>
        <v>40</v>
      </c>
      <c r="H24">
        <f>F24*$H$22</f>
        <v>40</v>
      </c>
    </row>
    <row r="25" spans="5:8" x14ac:dyDescent="0.3">
      <c r="F25">
        <v>3</v>
      </c>
      <c r="G25">
        <f t="shared" ref="G25:G27" si="1">F25*$H$22</f>
        <v>60</v>
      </c>
      <c r="H25">
        <f t="shared" ref="H25:H27" si="2">F25*$H$22</f>
        <v>60</v>
      </c>
    </row>
    <row r="26" spans="5:8" x14ac:dyDescent="0.3">
      <c r="F26">
        <v>4</v>
      </c>
      <c r="G26">
        <f t="shared" si="1"/>
        <v>80</v>
      </c>
      <c r="H26">
        <f t="shared" si="2"/>
        <v>80</v>
      </c>
    </row>
    <row r="27" spans="5:8" x14ac:dyDescent="0.3">
      <c r="F27">
        <v>5</v>
      </c>
      <c r="G27">
        <f t="shared" si="1"/>
        <v>100</v>
      </c>
      <c r="H27">
        <f t="shared" si="2"/>
        <v>100</v>
      </c>
    </row>
    <row r="29" spans="5:8" x14ac:dyDescent="0.3">
      <c r="F29" t="s">
        <v>72</v>
      </c>
      <c r="H29" t="s">
        <v>73</v>
      </c>
    </row>
    <row r="30" spans="5:8" x14ac:dyDescent="0.3">
      <c r="G30">
        <v>1</v>
      </c>
    </row>
    <row r="31" spans="5:8" x14ac:dyDescent="0.3">
      <c r="F31">
        <v>2</v>
      </c>
      <c r="G31">
        <f>$F31-$G$30</f>
        <v>1</v>
      </c>
    </row>
    <row r="32" spans="5:8" x14ac:dyDescent="0.3">
      <c r="F32">
        <v>3</v>
      </c>
      <c r="G32">
        <f t="shared" ref="G32:G34" si="3">$F32-$G$30</f>
        <v>2</v>
      </c>
    </row>
    <row r="33" spans="5:9" x14ac:dyDescent="0.3">
      <c r="F33">
        <v>4</v>
      </c>
      <c r="G33">
        <f t="shared" si="3"/>
        <v>3</v>
      </c>
    </row>
    <row r="34" spans="5:9" x14ac:dyDescent="0.3">
      <c r="F34">
        <v>5</v>
      </c>
      <c r="G34">
        <f t="shared" si="3"/>
        <v>4</v>
      </c>
    </row>
    <row r="36" spans="5:9" x14ac:dyDescent="0.3">
      <c r="F36">
        <v>2</v>
      </c>
      <c r="G36">
        <v>3</v>
      </c>
      <c r="H36">
        <v>4</v>
      </c>
      <c r="I36">
        <v>5</v>
      </c>
    </row>
    <row r="37" spans="5:9" x14ac:dyDescent="0.3">
      <c r="E37">
        <v>10</v>
      </c>
      <c r="F37">
        <f>$E$37+F$36</f>
        <v>12</v>
      </c>
      <c r="G37">
        <f t="shared" ref="G37:I37" si="4">$E$37+G$36</f>
        <v>13</v>
      </c>
      <c r="H37">
        <f t="shared" si="4"/>
        <v>14</v>
      </c>
      <c r="I37">
        <f t="shared" si="4"/>
        <v>15</v>
      </c>
    </row>
    <row r="39" spans="5:9" x14ac:dyDescent="0.3">
      <c r="E39" t="s">
        <v>74</v>
      </c>
      <c r="I39" t="s">
        <v>75</v>
      </c>
    </row>
    <row r="40" spans="5:9" x14ac:dyDescent="0.3">
      <c r="E40" t="s">
        <v>76</v>
      </c>
      <c r="I40" t="s">
        <v>77</v>
      </c>
    </row>
    <row r="41" spans="5:9" x14ac:dyDescent="0.3">
      <c r="E41" t="s">
        <v>78</v>
      </c>
      <c r="I4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7809-4012-4ADF-AF4E-36516DC78A74}">
  <dimension ref="C2:E73"/>
  <sheetViews>
    <sheetView zoomScale="174" zoomScaleNormal="174" workbookViewId="0">
      <selection activeCell="H74" sqref="H74"/>
    </sheetView>
  </sheetViews>
  <sheetFormatPr defaultRowHeight="14.4" x14ac:dyDescent="0.3"/>
  <cols>
    <col min="3" max="3" width="23.5546875" customWidth="1"/>
  </cols>
  <sheetData>
    <row r="2" spans="3:5" x14ac:dyDescent="0.3">
      <c r="C2" t="s">
        <v>80</v>
      </c>
    </row>
    <row r="3" spans="3:5" x14ac:dyDescent="0.3">
      <c r="C3" t="s">
        <v>81</v>
      </c>
    </row>
    <row r="4" spans="3:5" x14ac:dyDescent="0.3">
      <c r="C4" t="s">
        <v>82</v>
      </c>
    </row>
    <row r="5" spans="3:5" x14ac:dyDescent="0.3">
      <c r="C5" t="s">
        <v>83</v>
      </c>
    </row>
    <row r="6" spans="3:5" x14ac:dyDescent="0.3">
      <c r="C6" t="s">
        <v>84</v>
      </c>
    </row>
    <row r="8" spans="3:5" x14ac:dyDescent="0.3">
      <c r="C8" t="s">
        <v>85</v>
      </c>
      <c r="D8" t="s">
        <v>86</v>
      </c>
    </row>
    <row r="9" spans="3:5" x14ac:dyDescent="0.3">
      <c r="D9" t="s">
        <v>93</v>
      </c>
      <c r="E9">
        <v>1000</v>
      </c>
    </row>
    <row r="10" spans="3:5" x14ac:dyDescent="0.3">
      <c r="C10" t="s">
        <v>87</v>
      </c>
    </row>
    <row r="11" spans="3:5" x14ac:dyDescent="0.3">
      <c r="C11" t="s">
        <v>88</v>
      </c>
      <c r="D11">
        <v>200</v>
      </c>
      <c r="E11" s="8">
        <f>$D11/$E$9</f>
        <v>0.2</v>
      </c>
    </row>
    <row r="12" spans="3:5" x14ac:dyDescent="0.3">
      <c r="C12" t="s">
        <v>89</v>
      </c>
      <c r="D12">
        <v>100</v>
      </c>
      <c r="E12" s="8">
        <f t="shared" ref="E12:E15" si="0">$D12/$E$9</f>
        <v>0.1</v>
      </c>
    </row>
    <row r="13" spans="3:5" x14ac:dyDescent="0.3">
      <c r="C13" t="s">
        <v>90</v>
      </c>
      <c r="D13">
        <v>300</v>
      </c>
      <c r="E13" s="8">
        <f t="shared" si="0"/>
        <v>0.3</v>
      </c>
    </row>
    <row r="14" spans="3:5" x14ac:dyDescent="0.3">
      <c r="C14" t="s">
        <v>91</v>
      </c>
      <c r="D14">
        <v>250</v>
      </c>
      <c r="E14" s="8">
        <f t="shared" si="0"/>
        <v>0.25</v>
      </c>
    </row>
    <row r="15" spans="3:5" x14ac:dyDescent="0.3">
      <c r="C15" t="s">
        <v>92</v>
      </c>
      <c r="D15">
        <v>150</v>
      </c>
      <c r="E15" s="8">
        <f t="shared" si="0"/>
        <v>0.15</v>
      </c>
    </row>
    <row r="27" spans="3:4" x14ac:dyDescent="0.3">
      <c r="C27" t="s">
        <v>94</v>
      </c>
      <c r="D27" t="s">
        <v>97</v>
      </c>
    </row>
    <row r="28" spans="3:4" x14ac:dyDescent="0.3">
      <c r="C28" t="s">
        <v>95</v>
      </c>
      <c r="D28" t="s">
        <v>96</v>
      </c>
    </row>
    <row r="30" spans="3:4" x14ac:dyDescent="0.3">
      <c r="C30" t="s">
        <v>98</v>
      </c>
      <c r="D30" t="s">
        <v>99</v>
      </c>
    </row>
    <row r="31" spans="3:4" x14ac:dyDescent="0.3">
      <c r="C31">
        <v>1</v>
      </c>
      <c r="D31" t="s">
        <v>100</v>
      </c>
    </row>
    <row r="32" spans="3:4" x14ac:dyDescent="0.3">
      <c r="C32">
        <v>2</v>
      </c>
      <c r="D32" t="s">
        <v>101</v>
      </c>
    </row>
    <row r="33" spans="3:4" x14ac:dyDescent="0.3">
      <c r="C33">
        <v>3</v>
      </c>
      <c r="D33" t="s">
        <v>100</v>
      </c>
    </row>
    <row r="34" spans="3:4" x14ac:dyDescent="0.3">
      <c r="C34">
        <v>4</v>
      </c>
      <c r="D34" t="s">
        <v>102</v>
      </c>
    </row>
    <row r="35" spans="3:4" x14ac:dyDescent="0.3">
      <c r="C35">
        <v>5</v>
      </c>
      <c r="D35" t="s">
        <v>102</v>
      </c>
    </row>
    <row r="36" spans="3:4" x14ac:dyDescent="0.3">
      <c r="C36">
        <v>6</v>
      </c>
      <c r="D36" t="s">
        <v>100</v>
      </c>
    </row>
    <row r="37" spans="3:4" x14ac:dyDescent="0.3">
      <c r="C37">
        <v>7</v>
      </c>
      <c r="D37" t="s">
        <v>100</v>
      </c>
    </row>
    <row r="38" spans="3:4" x14ac:dyDescent="0.3">
      <c r="C38">
        <v>8</v>
      </c>
      <c r="D38" t="s">
        <v>101</v>
      </c>
    </row>
    <row r="39" spans="3:4" x14ac:dyDescent="0.3">
      <c r="C39">
        <v>9</v>
      </c>
      <c r="D39" t="s">
        <v>101</v>
      </c>
    </row>
    <row r="40" spans="3:4" x14ac:dyDescent="0.3">
      <c r="C40">
        <v>10</v>
      </c>
      <c r="D40" t="s">
        <v>101</v>
      </c>
    </row>
    <row r="41" spans="3:4" x14ac:dyDescent="0.3">
      <c r="C41" t="s">
        <v>107</v>
      </c>
      <c r="D41" t="s">
        <v>106</v>
      </c>
    </row>
    <row r="42" spans="3:4" x14ac:dyDescent="0.3">
      <c r="C42" t="s">
        <v>103</v>
      </c>
      <c r="D42">
        <f>COUNTIF(D31:D40,"=p")</f>
        <v>4</v>
      </c>
    </row>
    <row r="43" spans="3:4" x14ac:dyDescent="0.3">
      <c r="C43" t="s">
        <v>104</v>
      </c>
      <c r="D43">
        <f>COUNTIF(D31:D40,"=c")</f>
        <v>2</v>
      </c>
    </row>
    <row r="44" spans="3:4" x14ac:dyDescent="0.3">
      <c r="C44" t="s">
        <v>105</v>
      </c>
      <c r="D44">
        <f>COUNTIF(D31:D40,"=m")</f>
        <v>4</v>
      </c>
    </row>
    <row r="59" spans="3:4" x14ac:dyDescent="0.3">
      <c r="C59" t="s">
        <v>108</v>
      </c>
    </row>
    <row r="61" spans="3:4" x14ac:dyDescent="0.3">
      <c r="C61" t="s">
        <v>109</v>
      </c>
      <c r="D61" t="s">
        <v>110</v>
      </c>
    </row>
    <row r="62" spans="3:4" x14ac:dyDescent="0.3">
      <c r="C62" t="s">
        <v>111</v>
      </c>
      <c r="D62">
        <v>50</v>
      </c>
    </row>
    <row r="63" spans="3:4" x14ac:dyDescent="0.3">
      <c r="C63" t="s">
        <v>112</v>
      </c>
      <c r="D63">
        <v>25</v>
      </c>
    </row>
    <row r="64" spans="3:4" x14ac:dyDescent="0.3">
      <c r="C64" t="s">
        <v>113</v>
      </c>
      <c r="D64">
        <v>70</v>
      </c>
    </row>
    <row r="65" spans="3:4" x14ac:dyDescent="0.3">
      <c r="C65" t="s">
        <v>114</v>
      </c>
      <c r="D65">
        <v>20</v>
      </c>
    </row>
    <row r="66" spans="3:4" x14ac:dyDescent="0.3">
      <c r="C66" t="s">
        <v>115</v>
      </c>
      <c r="D66">
        <v>60</v>
      </c>
    </row>
    <row r="67" spans="3:4" x14ac:dyDescent="0.3">
      <c r="C67" t="s">
        <v>116</v>
      </c>
      <c r="D67">
        <v>70</v>
      </c>
    </row>
    <row r="68" spans="3:4" x14ac:dyDescent="0.3">
      <c r="C68" t="s">
        <v>117</v>
      </c>
      <c r="D68">
        <v>75</v>
      </c>
    </row>
    <row r="69" spans="3:4" x14ac:dyDescent="0.3">
      <c r="C69" t="s">
        <v>118</v>
      </c>
      <c r="D69">
        <v>45</v>
      </c>
    </row>
    <row r="70" spans="3:4" x14ac:dyDescent="0.3">
      <c r="C70" t="s">
        <v>119</v>
      </c>
      <c r="D70">
        <v>30</v>
      </c>
    </row>
    <row r="71" spans="3:4" x14ac:dyDescent="0.3">
      <c r="C71" t="s">
        <v>120</v>
      </c>
      <c r="D71">
        <v>100</v>
      </c>
    </row>
    <row r="72" spans="3:4" x14ac:dyDescent="0.3">
      <c r="C72" t="s">
        <v>121</v>
      </c>
      <c r="D72">
        <v>150</v>
      </c>
    </row>
    <row r="73" spans="3:4" x14ac:dyDescent="0.3">
      <c r="C73" t="s">
        <v>122</v>
      </c>
      <c r="D73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diabetes_final</vt:lpstr>
      <vt:lpstr>formulas_functions</vt:lpstr>
      <vt:lpstr>referencing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Bhatt</cp:lastModifiedBy>
  <dcterms:created xsi:type="dcterms:W3CDTF">2025-11-29T14:05:58Z</dcterms:created>
  <dcterms:modified xsi:type="dcterms:W3CDTF">2025-11-30T08:27:30Z</dcterms:modified>
</cp:coreProperties>
</file>