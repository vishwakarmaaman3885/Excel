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pw\"/>
    </mc:Choice>
  </mc:AlternateContent>
  <xr:revisionPtr revIDLastSave="0" documentId="8_{BB9B1106-C6D1-489D-8A28-26943DDEDFA7}" xr6:coauthVersionLast="36" xr6:coauthVersionMax="36" xr10:uidLastSave="{00000000-0000-0000-0000-000000000000}"/>
  <bookViews>
    <workbookView xWindow="0" yWindow="0" windowWidth="20490" windowHeight="6885" activeTab="3" xr2:uid="{04D19392-F5B4-4C32-B220-EAC9546C4D2D}"/>
  </bookViews>
  <sheets>
    <sheet name="Text function" sheetId="1" r:id="rId1"/>
    <sheet name="if,and,or" sheetId="2" r:id="rId2"/>
    <sheet name="Index match" sheetId="3" r:id="rId3"/>
    <sheet name="Date,year,m,d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4" l="1"/>
  <c r="J4" i="4"/>
  <c r="J5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I1001" i="4"/>
  <c r="I1002" i="4"/>
  <c r="I1003" i="4"/>
  <c r="I1004" i="4"/>
  <c r="I1005" i="4"/>
  <c r="I1006" i="4"/>
  <c r="I1007" i="4"/>
  <c r="I1008" i="4"/>
  <c r="I1009" i="4"/>
  <c r="I1010" i="4"/>
  <c r="I1011" i="4"/>
  <c r="I1012" i="4"/>
  <c r="I1013" i="4"/>
  <c r="I1014" i="4"/>
  <c r="I1015" i="4"/>
  <c r="I1016" i="4"/>
  <c r="I1017" i="4"/>
  <c r="I1018" i="4"/>
  <c r="I1019" i="4"/>
  <c r="I1020" i="4"/>
  <c r="I1021" i="4"/>
  <c r="I1022" i="4"/>
  <c r="I1023" i="4"/>
  <c r="I1024" i="4"/>
  <c r="I1025" i="4"/>
  <c r="I1026" i="4"/>
  <c r="I1027" i="4"/>
  <c r="I1028" i="4"/>
  <c r="I1029" i="4"/>
  <c r="I1030" i="4"/>
  <c r="I1031" i="4"/>
  <c r="I1032" i="4"/>
  <c r="I1033" i="4"/>
  <c r="I1034" i="4"/>
  <c r="I1035" i="4"/>
  <c r="I1036" i="4"/>
  <c r="I1037" i="4"/>
  <c r="I1038" i="4"/>
  <c r="I1039" i="4"/>
  <c r="I1040" i="4"/>
  <c r="I1041" i="4"/>
  <c r="I1042" i="4"/>
  <c r="I1043" i="4"/>
  <c r="I1044" i="4"/>
  <c r="I1045" i="4"/>
  <c r="I1046" i="4"/>
  <c r="I1047" i="4"/>
  <c r="I1048" i="4"/>
  <c r="I1049" i="4"/>
  <c r="I1050" i="4"/>
  <c r="I1051" i="4"/>
  <c r="I1052" i="4"/>
  <c r="I1053" i="4"/>
  <c r="I1054" i="4"/>
  <c r="I1055" i="4"/>
  <c r="I1056" i="4"/>
  <c r="I1057" i="4"/>
  <c r="I1058" i="4"/>
  <c r="I1059" i="4"/>
  <c r="I1060" i="4"/>
  <c r="I1061" i="4"/>
  <c r="I1062" i="4"/>
  <c r="I1063" i="4"/>
  <c r="I1064" i="4"/>
  <c r="I1065" i="4"/>
  <c r="I1066" i="4"/>
  <c r="I1067" i="4"/>
  <c r="I1068" i="4"/>
  <c r="I1069" i="4"/>
  <c r="I1070" i="4"/>
  <c r="I1071" i="4"/>
  <c r="I1072" i="4"/>
  <c r="I1073" i="4"/>
  <c r="I1074" i="4"/>
  <c r="I1075" i="4"/>
  <c r="I1076" i="4"/>
  <c r="I1077" i="4"/>
  <c r="I1078" i="4"/>
  <c r="I1079" i="4"/>
  <c r="I1080" i="4"/>
  <c r="I1081" i="4"/>
  <c r="I1082" i="4"/>
  <c r="I1083" i="4"/>
  <c r="I1084" i="4"/>
  <c r="I1085" i="4"/>
  <c r="I1086" i="4"/>
  <c r="I1087" i="4"/>
  <c r="I1088" i="4"/>
  <c r="I1089" i="4"/>
  <c r="I1090" i="4"/>
  <c r="I1091" i="4"/>
  <c r="I1092" i="4"/>
  <c r="I1093" i="4"/>
  <c r="I1094" i="4"/>
  <c r="I1095" i="4"/>
  <c r="I1096" i="4"/>
  <c r="I1097" i="4"/>
  <c r="I1098" i="4"/>
  <c r="I1099" i="4"/>
  <c r="I1100" i="4"/>
  <c r="I1101" i="4"/>
  <c r="I1102" i="4"/>
  <c r="I1103" i="4"/>
  <c r="I1104" i="4"/>
  <c r="I1105" i="4"/>
  <c r="I1106" i="4"/>
  <c r="I1107" i="4"/>
  <c r="I1108" i="4"/>
  <c r="I1109" i="4"/>
  <c r="I1110" i="4"/>
  <c r="I1111" i="4"/>
  <c r="I1112" i="4"/>
  <c r="I1113" i="4"/>
  <c r="I1114" i="4"/>
  <c r="I1115" i="4"/>
  <c r="I1116" i="4"/>
  <c r="I1117" i="4"/>
  <c r="I1118" i="4"/>
  <c r="I1119" i="4"/>
  <c r="I1120" i="4"/>
  <c r="I1121" i="4"/>
  <c r="I1122" i="4"/>
  <c r="I1123" i="4"/>
  <c r="I1124" i="4"/>
  <c r="I1125" i="4"/>
  <c r="I1126" i="4"/>
  <c r="I1127" i="4"/>
  <c r="I1128" i="4"/>
  <c r="I1129" i="4"/>
  <c r="I1130" i="4"/>
  <c r="I1131" i="4"/>
  <c r="I1132" i="4"/>
  <c r="I1133" i="4"/>
  <c r="I1134" i="4"/>
  <c r="I1135" i="4"/>
  <c r="I1136" i="4"/>
  <c r="I1137" i="4"/>
  <c r="I1138" i="4"/>
  <c r="I1139" i="4"/>
  <c r="I1140" i="4"/>
  <c r="I1141" i="4"/>
  <c r="I1142" i="4"/>
  <c r="I1143" i="4"/>
  <c r="I1144" i="4"/>
  <c r="I1145" i="4"/>
  <c r="I1146" i="4"/>
  <c r="I1147" i="4"/>
  <c r="I1148" i="4"/>
  <c r="I1149" i="4"/>
  <c r="I1150" i="4"/>
  <c r="I1151" i="4"/>
  <c r="I1152" i="4"/>
  <c r="I1153" i="4"/>
  <c r="I1154" i="4"/>
  <c r="I1155" i="4"/>
  <c r="I1156" i="4"/>
  <c r="I1157" i="4"/>
  <c r="I1158" i="4"/>
  <c r="I1159" i="4"/>
  <c r="I1160" i="4"/>
  <c r="I1161" i="4"/>
  <c r="I1162" i="4"/>
  <c r="I1163" i="4"/>
  <c r="I1164" i="4"/>
  <c r="I1165" i="4"/>
  <c r="I1166" i="4"/>
  <c r="I1167" i="4"/>
  <c r="I1168" i="4"/>
  <c r="I1169" i="4"/>
  <c r="I1170" i="4"/>
  <c r="I1171" i="4"/>
  <c r="I1172" i="4"/>
  <c r="I1173" i="4"/>
  <c r="I1174" i="4"/>
  <c r="I1175" i="4"/>
  <c r="I1176" i="4"/>
  <c r="I1177" i="4"/>
  <c r="I1178" i="4"/>
  <c r="I1179" i="4"/>
  <c r="I1180" i="4"/>
  <c r="I1181" i="4"/>
  <c r="I1182" i="4"/>
  <c r="I1183" i="4"/>
  <c r="I1184" i="4"/>
  <c r="I1185" i="4"/>
  <c r="I1186" i="4"/>
  <c r="I1187" i="4"/>
  <c r="I1188" i="4"/>
  <c r="I1189" i="4"/>
  <c r="I1190" i="4"/>
  <c r="I1191" i="4"/>
  <c r="I1192" i="4"/>
  <c r="I1193" i="4"/>
  <c r="I1194" i="4"/>
  <c r="I1195" i="4"/>
  <c r="I1196" i="4"/>
  <c r="I1197" i="4"/>
  <c r="I1198" i="4"/>
  <c r="I1199" i="4"/>
  <c r="I1200" i="4"/>
  <c r="I1201" i="4"/>
  <c r="I1202" i="4"/>
  <c r="I1203" i="4"/>
  <c r="I1204" i="4"/>
  <c r="I1205" i="4"/>
  <c r="I1206" i="4"/>
  <c r="I1207" i="4"/>
  <c r="I1208" i="4"/>
  <c r="I1209" i="4"/>
  <c r="I1210" i="4"/>
  <c r="I1211" i="4"/>
  <c r="I1212" i="4"/>
  <c r="I1213" i="4"/>
  <c r="I1214" i="4"/>
  <c r="I1215" i="4"/>
  <c r="I1216" i="4"/>
  <c r="I1217" i="4"/>
  <c r="I1218" i="4"/>
  <c r="I1219" i="4"/>
  <c r="I1220" i="4"/>
  <c r="I1221" i="4"/>
  <c r="I1222" i="4"/>
  <c r="I1223" i="4"/>
  <c r="I1224" i="4"/>
  <c r="I1225" i="4"/>
  <c r="I1226" i="4"/>
  <c r="I1227" i="4"/>
  <c r="I1228" i="4"/>
  <c r="I1229" i="4"/>
  <c r="I1230" i="4"/>
  <c r="I1231" i="4"/>
  <c r="I1232" i="4"/>
  <c r="I1233" i="4"/>
  <c r="I1234" i="4"/>
  <c r="I1235" i="4"/>
  <c r="I1236" i="4"/>
  <c r="I1237" i="4"/>
  <c r="I1238" i="4"/>
  <c r="I1239" i="4"/>
  <c r="I1240" i="4"/>
  <c r="I1241" i="4"/>
  <c r="I1242" i="4"/>
  <c r="I1243" i="4"/>
  <c r="I1244" i="4"/>
  <c r="I1245" i="4"/>
  <c r="I1246" i="4"/>
  <c r="I1247" i="4"/>
  <c r="I1248" i="4"/>
  <c r="I1249" i="4"/>
  <c r="I1250" i="4"/>
  <c r="I1251" i="4"/>
  <c r="I1252" i="4"/>
  <c r="I1253" i="4"/>
  <c r="I1254" i="4"/>
  <c r="I1255" i="4"/>
  <c r="I1256" i="4"/>
  <c r="I1257" i="4"/>
  <c r="I1258" i="4"/>
  <c r="I1259" i="4"/>
  <c r="I1260" i="4"/>
  <c r="I1261" i="4"/>
  <c r="I1262" i="4"/>
  <c r="I1263" i="4"/>
  <c r="I1264" i="4"/>
  <c r="I1265" i="4"/>
  <c r="I1266" i="4"/>
  <c r="I1267" i="4"/>
  <c r="I1268" i="4"/>
  <c r="I1269" i="4"/>
  <c r="I1270" i="4"/>
  <c r="I1271" i="4"/>
  <c r="I1272" i="4"/>
  <c r="I1273" i="4"/>
  <c r="I1274" i="4"/>
  <c r="I1275" i="4"/>
  <c r="I1276" i="4"/>
  <c r="I1277" i="4"/>
  <c r="I1278" i="4"/>
  <c r="I1279" i="4"/>
  <c r="I1280" i="4"/>
  <c r="I1281" i="4"/>
  <c r="I1282" i="4"/>
  <c r="I1283" i="4"/>
  <c r="I1284" i="4"/>
  <c r="I1285" i="4"/>
  <c r="I1286" i="4"/>
  <c r="I1287" i="4"/>
  <c r="I1288" i="4"/>
  <c r="I1289" i="4"/>
  <c r="I1290" i="4"/>
  <c r="I1291" i="4"/>
  <c r="I1292" i="4"/>
  <c r="I1293" i="4"/>
  <c r="I1294" i="4"/>
  <c r="I1295" i="4"/>
  <c r="I1296" i="4"/>
  <c r="I1297" i="4"/>
  <c r="I1298" i="4"/>
  <c r="I1299" i="4"/>
  <c r="I1300" i="4"/>
  <c r="I1301" i="4"/>
  <c r="I1302" i="4"/>
  <c r="I1303" i="4"/>
  <c r="I1304" i="4"/>
  <c r="I1305" i="4"/>
  <c r="I1306" i="4"/>
  <c r="I1307" i="4"/>
  <c r="I1308" i="4"/>
  <c r="I1309" i="4"/>
  <c r="I1310" i="4"/>
  <c r="I1311" i="4"/>
  <c r="I1312" i="4"/>
  <c r="I1313" i="4"/>
  <c r="I1314" i="4"/>
  <c r="I1315" i="4"/>
  <c r="I1316" i="4"/>
  <c r="I1317" i="4"/>
  <c r="I1318" i="4"/>
  <c r="I1319" i="4"/>
  <c r="I1320" i="4"/>
  <c r="I1321" i="4"/>
  <c r="I1322" i="4"/>
  <c r="I1323" i="4"/>
  <c r="I1324" i="4"/>
  <c r="I1325" i="4"/>
  <c r="I1326" i="4"/>
  <c r="I1327" i="4"/>
  <c r="I1328" i="4"/>
  <c r="I1329" i="4"/>
  <c r="I1330" i="4"/>
  <c r="I1331" i="4"/>
  <c r="I1332" i="4"/>
  <c r="I1333" i="4"/>
  <c r="I1334" i="4"/>
  <c r="I1335" i="4"/>
  <c r="I1336" i="4"/>
  <c r="I1337" i="4"/>
  <c r="I1338" i="4"/>
  <c r="I1339" i="4"/>
  <c r="I1340" i="4"/>
  <c r="I1341" i="4"/>
  <c r="I1342" i="4"/>
  <c r="I1343" i="4"/>
  <c r="I1344" i="4"/>
  <c r="I1345" i="4"/>
  <c r="I1346" i="4"/>
  <c r="I1347" i="4"/>
  <c r="I1348" i="4"/>
  <c r="I1349" i="4"/>
  <c r="I1350" i="4"/>
  <c r="I1351" i="4"/>
  <c r="I1352" i="4"/>
  <c r="I1353" i="4"/>
  <c r="I1354" i="4"/>
  <c r="I1355" i="4"/>
  <c r="I1356" i="4"/>
  <c r="I1357" i="4"/>
  <c r="I1358" i="4"/>
  <c r="I1359" i="4"/>
  <c r="I1360" i="4"/>
  <c r="I1361" i="4"/>
  <c r="I1362" i="4"/>
  <c r="I1363" i="4"/>
  <c r="I1364" i="4"/>
  <c r="I1365" i="4"/>
  <c r="I1366" i="4"/>
  <c r="I1367" i="4"/>
  <c r="I1368" i="4"/>
  <c r="I1369" i="4"/>
  <c r="I1370" i="4"/>
  <c r="I1371" i="4"/>
  <c r="I1372" i="4"/>
  <c r="I1373" i="4"/>
  <c r="I1374" i="4"/>
  <c r="I1375" i="4"/>
  <c r="I1376" i="4"/>
  <c r="I1377" i="4"/>
  <c r="I1378" i="4"/>
  <c r="I1379" i="4"/>
  <c r="I1380" i="4"/>
  <c r="I1381" i="4"/>
  <c r="I1382" i="4"/>
  <c r="I1383" i="4"/>
  <c r="I1384" i="4"/>
  <c r="I1385" i="4"/>
  <c r="I1386" i="4"/>
  <c r="I1387" i="4"/>
  <c r="I1388" i="4"/>
  <c r="I1389" i="4"/>
  <c r="I1390" i="4"/>
  <c r="I1391" i="4"/>
  <c r="I1392" i="4"/>
  <c r="I1393" i="4"/>
  <c r="I1394" i="4"/>
  <c r="I1395" i="4"/>
  <c r="I1396" i="4"/>
  <c r="I1397" i="4"/>
  <c r="I1398" i="4"/>
  <c r="I1399" i="4"/>
  <c r="I1400" i="4"/>
  <c r="I1401" i="4"/>
  <c r="I1402" i="4"/>
  <c r="I1403" i="4"/>
  <c r="I1404" i="4"/>
  <c r="I1405" i="4"/>
  <c r="I1406" i="4"/>
  <c r="I1407" i="4"/>
  <c r="I1408" i="4"/>
  <c r="I1409" i="4"/>
  <c r="I1410" i="4"/>
  <c r="I1411" i="4"/>
  <c r="I1412" i="4"/>
  <c r="I1413" i="4"/>
  <c r="I1414" i="4"/>
  <c r="I1415" i="4"/>
  <c r="I1416" i="4"/>
  <c r="I1417" i="4"/>
  <c r="I1418" i="4"/>
  <c r="I1419" i="4"/>
  <c r="I1420" i="4"/>
  <c r="I1421" i="4"/>
  <c r="I1422" i="4"/>
  <c r="I1423" i="4"/>
  <c r="I1424" i="4"/>
  <c r="I1425" i="4"/>
  <c r="I1426" i="4"/>
  <c r="I1427" i="4"/>
  <c r="I1428" i="4"/>
  <c r="I1429" i="4"/>
  <c r="I1430" i="4"/>
  <c r="I1431" i="4"/>
  <c r="I1432" i="4"/>
  <c r="I1433" i="4"/>
  <c r="I1434" i="4"/>
  <c r="I1435" i="4"/>
  <c r="I1436" i="4"/>
  <c r="I1437" i="4"/>
  <c r="I1438" i="4"/>
  <c r="I1439" i="4"/>
  <c r="I1440" i="4"/>
  <c r="I1441" i="4"/>
  <c r="I1442" i="4"/>
  <c r="I1443" i="4"/>
  <c r="I1444" i="4"/>
  <c r="I1445" i="4"/>
  <c r="I1446" i="4"/>
  <c r="I1447" i="4"/>
  <c r="I1448" i="4"/>
  <c r="I1449" i="4"/>
  <c r="I1450" i="4"/>
  <c r="I1451" i="4"/>
  <c r="I1452" i="4"/>
  <c r="I1453" i="4"/>
  <c r="I1454" i="4"/>
  <c r="I1455" i="4"/>
  <c r="I1456" i="4"/>
  <c r="I1457" i="4"/>
  <c r="I1458" i="4"/>
  <c r="I1459" i="4"/>
  <c r="I1460" i="4"/>
  <c r="I1461" i="4"/>
  <c r="I1462" i="4"/>
  <c r="I1463" i="4"/>
  <c r="I1464" i="4"/>
  <c r="I1465" i="4"/>
  <c r="I1466" i="4"/>
  <c r="I1467" i="4"/>
  <c r="I1468" i="4"/>
  <c r="I1469" i="4"/>
  <c r="I1470" i="4"/>
  <c r="I1471" i="4"/>
  <c r="I1472" i="4"/>
  <c r="I1473" i="4"/>
  <c r="I1474" i="4"/>
  <c r="I1475" i="4"/>
  <c r="I1476" i="4"/>
  <c r="I1477" i="4"/>
  <c r="I1478" i="4"/>
  <c r="I1479" i="4"/>
  <c r="I1480" i="4"/>
  <c r="I1481" i="4"/>
  <c r="I1482" i="4"/>
  <c r="I1483" i="4"/>
  <c r="I1484" i="4"/>
  <c r="I1485" i="4"/>
  <c r="I1486" i="4"/>
  <c r="I1487" i="4"/>
  <c r="I1488" i="4"/>
  <c r="I1489" i="4"/>
  <c r="I1490" i="4"/>
  <c r="I1491" i="4"/>
  <c r="I1492" i="4"/>
  <c r="I1493" i="4"/>
  <c r="I1494" i="4"/>
  <c r="I1495" i="4"/>
  <c r="I1496" i="4"/>
  <c r="I1497" i="4"/>
  <c r="I1498" i="4"/>
  <c r="I1499" i="4"/>
  <c r="I1500" i="4"/>
  <c r="I1501" i="4"/>
  <c r="I1502" i="4"/>
  <c r="I1503" i="4"/>
  <c r="I1504" i="4"/>
  <c r="I1505" i="4"/>
  <c r="I1506" i="4"/>
  <c r="I1507" i="4"/>
  <c r="I1508" i="4"/>
  <c r="I1509" i="4"/>
  <c r="I1510" i="4"/>
  <c r="I1511" i="4"/>
  <c r="I1512" i="4"/>
  <c r="I1513" i="4"/>
  <c r="I1514" i="4"/>
  <c r="I1515" i="4"/>
  <c r="I1516" i="4"/>
  <c r="I1517" i="4"/>
  <c r="I1518" i="4"/>
  <c r="I1519" i="4"/>
  <c r="I1520" i="4"/>
  <c r="I1521" i="4"/>
  <c r="I1522" i="4"/>
  <c r="I1523" i="4"/>
  <c r="I1524" i="4"/>
  <c r="I1525" i="4"/>
  <c r="I1526" i="4"/>
  <c r="I1527" i="4"/>
  <c r="I1528" i="4"/>
  <c r="I1529" i="4"/>
  <c r="I1530" i="4"/>
  <c r="I1531" i="4"/>
  <c r="I1532" i="4"/>
  <c r="I1533" i="4"/>
  <c r="I1534" i="4"/>
  <c r="I1535" i="4"/>
  <c r="I1536" i="4"/>
  <c r="I1537" i="4"/>
  <c r="I1538" i="4"/>
  <c r="I1539" i="4"/>
  <c r="I1540" i="4"/>
  <c r="I1541" i="4"/>
  <c r="I1542" i="4"/>
  <c r="I1543" i="4"/>
  <c r="I1544" i="4"/>
  <c r="I1545" i="4"/>
  <c r="I1546" i="4"/>
  <c r="I1547" i="4"/>
  <c r="I1548" i="4"/>
  <c r="I1549" i="4"/>
  <c r="I1550" i="4"/>
  <c r="I1551" i="4"/>
  <c r="I1552" i="4"/>
  <c r="I1553" i="4"/>
  <c r="I1554" i="4"/>
  <c r="I1555" i="4"/>
  <c r="I1556" i="4"/>
  <c r="I1557" i="4"/>
  <c r="I1558" i="4"/>
  <c r="I1559" i="4"/>
  <c r="I1560" i="4"/>
  <c r="I1561" i="4"/>
  <c r="I1562" i="4"/>
  <c r="I1563" i="4"/>
  <c r="I1564" i="4"/>
  <c r="I1565" i="4"/>
  <c r="I1566" i="4"/>
  <c r="I1567" i="4"/>
  <c r="I1568" i="4"/>
  <c r="I1569" i="4"/>
  <c r="I1570" i="4"/>
  <c r="I1571" i="4"/>
  <c r="I1572" i="4"/>
  <c r="I1573" i="4"/>
  <c r="I1574" i="4"/>
  <c r="I1575" i="4"/>
  <c r="I1576" i="4"/>
  <c r="I1577" i="4"/>
  <c r="I1578" i="4"/>
  <c r="I1579" i="4"/>
  <c r="I1580" i="4"/>
  <c r="I1581" i="4"/>
  <c r="I1582" i="4"/>
  <c r="I1583" i="4"/>
  <c r="I1584" i="4"/>
  <c r="I1585" i="4"/>
  <c r="I1586" i="4"/>
  <c r="I1587" i="4"/>
  <c r="I1588" i="4"/>
  <c r="I1589" i="4"/>
  <c r="I1590" i="4"/>
  <c r="I1591" i="4"/>
  <c r="I1592" i="4"/>
  <c r="I1593" i="4"/>
  <c r="I1594" i="4"/>
  <c r="I1595" i="4"/>
  <c r="I1596" i="4"/>
  <c r="I1597" i="4"/>
  <c r="I1598" i="4"/>
  <c r="I1599" i="4"/>
  <c r="I1600" i="4"/>
  <c r="I1601" i="4"/>
  <c r="I1602" i="4"/>
  <c r="I1603" i="4"/>
  <c r="I1604" i="4"/>
  <c r="I1605" i="4"/>
  <c r="I1606" i="4"/>
  <c r="I1607" i="4"/>
  <c r="I1608" i="4"/>
  <c r="I1609" i="4"/>
  <c r="I1610" i="4"/>
  <c r="I1611" i="4"/>
  <c r="I1612" i="4"/>
  <c r="I1613" i="4"/>
  <c r="I1614" i="4"/>
  <c r="I1615" i="4"/>
  <c r="I1616" i="4"/>
  <c r="I1617" i="4"/>
  <c r="I1618" i="4"/>
  <c r="I1619" i="4"/>
  <c r="I1620" i="4"/>
  <c r="I1621" i="4"/>
  <c r="I1622" i="4"/>
  <c r="I1623" i="4"/>
  <c r="I1624" i="4"/>
  <c r="I1625" i="4"/>
  <c r="I1626" i="4"/>
  <c r="I1627" i="4"/>
  <c r="I1628" i="4"/>
  <c r="I1629" i="4"/>
  <c r="I1630" i="4"/>
  <c r="I1631" i="4"/>
  <c r="I1632" i="4"/>
  <c r="I1633" i="4"/>
  <c r="I1634" i="4"/>
  <c r="I1635" i="4"/>
  <c r="I1636" i="4"/>
  <c r="I1637" i="4"/>
  <c r="I1638" i="4"/>
  <c r="I1639" i="4"/>
  <c r="I1640" i="4"/>
  <c r="I1641" i="4"/>
  <c r="I1642" i="4"/>
  <c r="I1643" i="4"/>
  <c r="I1644" i="4"/>
  <c r="I1645" i="4"/>
  <c r="I1646" i="4"/>
  <c r="I1647" i="4"/>
  <c r="I1648" i="4"/>
  <c r="I1649" i="4"/>
  <c r="I1650" i="4"/>
  <c r="I1651" i="4"/>
  <c r="I1652" i="4"/>
  <c r="I1653" i="4"/>
  <c r="I1654" i="4"/>
  <c r="I1655" i="4"/>
  <c r="I1656" i="4"/>
  <c r="I1657" i="4"/>
  <c r="I1658" i="4"/>
  <c r="I1659" i="4"/>
  <c r="I1660" i="4"/>
  <c r="I1661" i="4"/>
  <c r="I1662" i="4"/>
  <c r="I1663" i="4"/>
  <c r="I1664" i="4"/>
  <c r="I1665" i="4"/>
  <c r="I1666" i="4"/>
  <c r="I1667" i="4"/>
  <c r="I1668" i="4"/>
  <c r="I1669" i="4"/>
  <c r="I1670" i="4"/>
  <c r="I1671" i="4"/>
  <c r="I1672" i="4"/>
  <c r="I1673" i="4"/>
  <c r="I1674" i="4"/>
  <c r="I1675" i="4"/>
  <c r="I1676" i="4"/>
  <c r="I1677" i="4"/>
  <c r="I1678" i="4"/>
  <c r="I1679" i="4"/>
  <c r="I1680" i="4"/>
  <c r="I1681" i="4"/>
  <c r="I1682" i="4"/>
  <c r="I1683" i="4"/>
  <c r="I1684" i="4"/>
  <c r="I1685" i="4"/>
  <c r="I1686" i="4"/>
  <c r="I1687" i="4"/>
  <c r="I1688" i="4"/>
  <c r="I1689" i="4"/>
  <c r="I1690" i="4"/>
  <c r="I1691" i="4"/>
  <c r="I1692" i="4"/>
  <c r="I1693" i="4"/>
  <c r="I1694" i="4"/>
  <c r="I1695" i="4"/>
  <c r="I1696" i="4"/>
  <c r="I1697" i="4"/>
  <c r="I1698" i="4"/>
  <c r="I1699" i="4"/>
  <c r="I1700" i="4"/>
  <c r="I1701" i="4"/>
  <c r="I1702" i="4"/>
  <c r="I1703" i="4"/>
  <c r="I1704" i="4"/>
  <c r="I1705" i="4"/>
  <c r="I1706" i="4"/>
  <c r="I1707" i="4"/>
  <c r="I1708" i="4"/>
  <c r="I1709" i="4"/>
  <c r="I1710" i="4"/>
  <c r="I1711" i="4"/>
  <c r="I1712" i="4"/>
  <c r="I1713" i="4"/>
  <c r="I1714" i="4"/>
  <c r="I1715" i="4"/>
  <c r="I1716" i="4"/>
  <c r="I1717" i="4"/>
  <c r="I1718" i="4"/>
  <c r="I1719" i="4"/>
  <c r="I1720" i="4"/>
  <c r="I1721" i="4"/>
  <c r="I1722" i="4"/>
  <c r="I1723" i="4"/>
  <c r="I1724" i="4"/>
  <c r="I1725" i="4"/>
  <c r="I1726" i="4"/>
  <c r="I1727" i="4"/>
  <c r="I1728" i="4"/>
  <c r="I1729" i="4"/>
  <c r="I1730" i="4"/>
  <c r="I1731" i="4"/>
  <c r="I1732" i="4"/>
  <c r="I1733" i="4"/>
  <c r="I1734" i="4"/>
  <c r="I1735" i="4"/>
  <c r="I1736" i="4"/>
  <c r="I1737" i="4"/>
  <c r="I1738" i="4"/>
  <c r="I1739" i="4"/>
  <c r="I1740" i="4"/>
  <c r="I1741" i="4"/>
  <c r="I1742" i="4"/>
  <c r="I1743" i="4"/>
  <c r="I1744" i="4"/>
  <c r="I1745" i="4"/>
  <c r="I1746" i="4"/>
  <c r="I1747" i="4"/>
  <c r="I1748" i="4"/>
  <c r="I1749" i="4"/>
  <c r="I1750" i="4"/>
  <c r="I1751" i="4"/>
  <c r="I1752" i="4"/>
  <c r="I1753" i="4"/>
  <c r="I1754" i="4"/>
  <c r="I1755" i="4"/>
  <c r="I1756" i="4"/>
  <c r="I1757" i="4"/>
  <c r="I1758" i="4"/>
  <c r="I1759" i="4"/>
  <c r="I1760" i="4"/>
  <c r="I1761" i="4"/>
  <c r="I1762" i="4"/>
  <c r="I1763" i="4"/>
  <c r="I1764" i="4"/>
  <c r="I1765" i="4"/>
  <c r="I1766" i="4"/>
  <c r="I1767" i="4"/>
  <c r="I1768" i="4"/>
  <c r="I1769" i="4"/>
  <c r="I1770" i="4"/>
  <c r="I1771" i="4"/>
  <c r="I1772" i="4"/>
  <c r="I1773" i="4"/>
  <c r="I1774" i="4"/>
  <c r="I1775" i="4"/>
  <c r="I1776" i="4"/>
  <c r="I1777" i="4"/>
  <c r="I1778" i="4"/>
  <c r="I1779" i="4"/>
  <c r="I1780" i="4"/>
  <c r="I1781" i="4"/>
  <c r="I1782" i="4"/>
  <c r="I1783" i="4"/>
  <c r="I1784" i="4"/>
  <c r="I1785" i="4"/>
  <c r="I1786" i="4"/>
  <c r="I1787" i="4"/>
  <c r="I1788" i="4"/>
  <c r="I1789" i="4"/>
  <c r="I1790" i="4"/>
  <c r="I1791" i="4"/>
  <c r="I1792" i="4"/>
  <c r="I1793" i="4"/>
  <c r="I1794" i="4"/>
  <c r="I1795" i="4"/>
  <c r="I1796" i="4"/>
  <c r="I1797" i="4"/>
  <c r="I1798" i="4"/>
  <c r="I1799" i="4"/>
  <c r="I1800" i="4"/>
  <c r="I1801" i="4"/>
  <c r="I1802" i="4"/>
  <c r="I1803" i="4"/>
  <c r="I1804" i="4"/>
  <c r="I1805" i="4"/>
  <c r="I1806" i="4"/>
  <c r="I1807" i="4"/>
  <c r="I1808" i="4"/>
  <c r="I1809" i="4"/>
  <c r="I1810" i="4"/>
  <c r="I1811" i="4"/>
  <c r="I1812" i="4"/>
  <c r="I1813" i="4"/>
  <c r="I1814" i="4"/>
  <c r="I1815" i="4"/>
  <c r="I1816" i="4"/>
  <c r="I1817" i="4"/>
  <c r="I1818" i="4"/>
  <c r="I1819" i="4"/>
  <c r="I1820" i="4"/>
  <c r="I1821" i="4"/>
  <c r="I1822" i="4"/>
  <c r="I1823" i="4"/>
  <c r="I1824" i="4"/>
  <c r="I1825" i="4"/>
  <c r="I1826" i="4"/>
  <c r="I1827" i="4"/>
  <c r="I1828" i="4"/>
  <c r="I1829" i="4"/>
  <c r="I1830" i="4"/>
  <c r="I1831" i="4"/>
  <c r="I1832" i="4"/>
  <c r="I1833" i="4"/>
  <c r="I1834" i="4"/>
  <c r="I1835" i="4"/>
  <c r="I1836" i="4"/>
  <c r="I1837" i="4"/>
  <c r="I1838" i="4"/>
  <c r="I1839" i="4"/>
  <c r="I1840" i="4"/>
  <c r="I1841" i="4"/>
  <c r="I1842" i="4"/>
  <c r="I1843" i="4"/>
  <c r="I1844" i="4"/>
  <c r="I1845" i="4"/>
  <c r="I1846" i="4"/>
  <c r="I1847" i="4"/>
  <c r="I1848" i="4"/>
  <c r="I1849" i="4"/>
  <c r="I1850" i="4"/>
  <c r="I1851" i="4"/>
  <c r="I1852" i="4"/>
  <c r="I1853" i="4"/>
  <c r="I1854" i="4"/>
  <c r="I1855" i="4"/>
  <c r="I1856" i="4"/>
  <c r="I1857" i="4"/>
  <c r="I1858" i="4"/>
  <c r="I1859" i="4"/>
  <c r="I1860" i="4"/>
  <c r="I1861" i="4"/>
  <c r="I1862" i="4"/>
  <c r="I1863" i="4"/>
  <c r="I1864" i="4"/>
  <c r="I1865" i="4"/>
  <c r="I1866" i="4"/>
  <c r="I1867" i="4"/>
  <c r="I1868" i="4"/>
  <c r="I1869" i="4"/>
  <c r="I1870" i="4"/>
  <c r="I1871" i="4"/>
  <c r="I1872" i="4"/>
  <c r="I1873" i="4"/>
  <c r="I1874" i="4"/>
  <c r="I1875" i="4"/>
  <c r="I1876" i="4"/>
  <c r="I1877" i="4"/>
  <c r="I1878" i="4"/>
  <c r="I1879" i="4"/>
  <c r="I1880" i="4"/>
  <c r="I1881" i="4"/>
  <c r="I1882" i="4"/>
  <c r="I1883" i="4"/>
  <c r="I1884" i="4"/>
  <c r="I1885" i="4"/>
  <c r="I1886" i="4"/>
  <c r="I1887" i="4"/>
  <c r="I1888" i="4"/>
  <c r="I1889" i="4"/>
  <c r="I1890" i="4"/>
  <c r="I1891" i="4"/>
  <c r="I1892" i="4"/>
  <c r="I1893" i="4"/>
  <c r="I1894" i="4"/>
  <c r="I1895" i="4"/>
  <c r="I1896" i="4"/>
  <c r="I1897" i="4"/>
  <c r="I1898" i="4"/>
  <c r="I1899" i="4"/>
  <c r="I1900" i="4"/>
  <c r="I1901" i="4"/>
  <c r="I1902" i="4"/>
  <c r="I1903" i="4"/>
  <c r="I1904" i="4"/>
  <c r="I1905" i="4"/>
  <c r="I1906" i="4"/>
  <c r="I1907" i="4"/>
  <c r="I1908" i="4"/>
  <c r="I1909" i="4"/>
  <c r="I1910" i="4"/>
  <c r="I1911" i="4"/>
  <c r="I1912" i="4"/>
  <c r="I1913" i="4"/>
  <c r="I1914" i="4"/>
  <c r="I1915" i="4"/>
  <c r="I1916" i="4"/>
  <c r="I1917" i="4"/>
  <c r="I1918" i="4"/>
  <c r="I1919" i="4"/>
  <c r="I1920" i="4"/>
  <c r="I1921" i="4"/>
  <c r="I1922" i="4"/>
  <c r="I1923" i="4"/>
  <c r="I1924" i="4"/>
  <c r="I1925" i="4"/>
  <c r="I1926" i="4"/>
  <c r="I1927" i="4"/>
  <c r="I1928" i="4"/>
  <c r="I1929" i="4"/>
  <c r="I1930" i="4"/>
  <c r="I1931" i="4"/>
  <c r="I1932" i="4"/>
  <c r="I1933" i="4"/>
  <c r="I1934" i="4"/>
  <c r="I1935" i="4"/>
  <c r="I1936" i="4"/>
  <c r="I1937" i="4"/>
  <c r="I1938" i="4"/>
  <c r="I1939" i="4"/>
  <c r="I1940" i="4"/>
  <c r="I1941" i="4"/>
  <c r="I1942" i="4"/>
  <c r="I1943" i="4"/>
  <c r="I1944" i="4"/>
  <c r="I1945" i="4"/>
  <c r="I1946" i="4"/>
  <c r="I1947" i="4"/>
  <c r="I1948" i="4"/>
  <c r="I1949" i="4"/>
  <c r="I1950" i="4"/>
  <c r="I1951" i="4"/>
  <c r="I1952" i="4"/>
  <c r="I1953" i="4"/>
  <c r="I1954" i="4"/>
  <c r="I1955" i="4"/>
  <c r="I1956" i="4"/>
  <c r="I1957" i="4"/>
  <c r="I1958" i="4"/>
  <c r="I1959" i="4"/>
  <c r="I1960" i="4"/>
  <c r="I1961" i="4"/>
  <c r="I1962" i="4"/>
  <c r="I1963" i="4"/>
  <c r="I1964" i="4"/>
  <c r="I1965" i="4"/>
  <c r="I1966" i="4"/>
  <c r="I1967" i="4"/>
  <c r="I1968" i="4"/>
  <c r="I1969" i="4"/>
  <c r="I1970" i="4"/>
  <c r="I1971" i="4"/>
  <c r="I1972" i="4"/>
  <c r="I1973" i="4"/>
  <c r="I1974" i="4"/>
  <c r="I1975" i="4"/>
  <c r="I1976" i="4"/>
  <c r="I1977" i="4"/>
  <c r="I1978" i="4"/>
  <c r="I1979" i="4"/>
  <c r="I1980" i="4"/>
  <c r="I1981" i="4"/>
  <c r="I1982" i="4"/>
  <c r="I1983" i="4"/>
  <c r="I1984" i="4"/>
  <c r="I1985" i="4"/>
  <c r="I1986" i="4"/>
  <c r="I1987" i="4"/>
  <c r="I1988" i="4"/>
  <c r="I1989" i="4"/>
  <c r="I1990" i="4"/>
  <c r="I1991" i="4"/>
  <c r="I1992" i="4"/>
  <c r="I1993" i="4"/>
  <c r="I1994" i="4"/>
  <c r="I1995" i="4"/>
  <c r="I1996" i="4"/>
  <c r="I1997" i="4"/>
  <c r="I1998" i="4"/>
  <c r="I1999" i="4"/>
  <c r="I2000" i="4"/>
  <c r="I2001" i="4"/>
  <c r="I2002" i="4"/>
  <c r="I2003" i="4"/>
  <c r="I2004" i="4"/>
  <c r="I2005" i="4"/>
  <c r="I2006" i="4"/>
  <c r="I2007" i="4"/>
  <c r="I2008" i="4"/>
  <c r="I2009" i="4"/>
  <c r="I2010" i="4"/>
  <c r="I2011" i="4"/>
  <c r="I2012" i="4"/>
  <c r="I2013" i="4"/>
  <c r="I2014" i="4"/>
  <c r="I2015" i="4"/>
  <c r="I2016" i="4"/>
  <c r="I2017" i="4"/>
  <c r="I2018" i="4"/>
  <c r="I2019" i="4"/>
  <c r="I2020" i="4"/>
  <c r="I2021" i="4"/>
  <c r="I2022" i="4"/>
  <c r="I2023" i="4"/>
  <c r="I2024" i="4"/>
  <c r="I2025" i="4"/>
  <c r="I2026" i="4"/>
  <c r="I2027" i="4"/>
  <c r="I2028" i="4"/>
  <c r="I2029" i="4"/>
  <c r="I2030" i="4"/>
  <c r="I2031" i="4"/>
  <c r="I2032" i="4"/>
  <c r="I2033" i="4"/>
  <c r="I2034" i="4"/>
  <c r="I2035" i="4"/>
  <c r="I2036" i="4"/>
  <c r="I2037" i="4"/>
  <c r="I2038" i="4"/>
  <c r="I2039" i="4"/>
  <c r="I2040" i="4"/>
  <c r="I2041" i="4"/>
  <c r="I2042" i="4"/>
  <c r="I2043" i="4"/>
  <c r="I2044" i="4"/>
  <c r="I2045" i="4"/>
  <c r="I2046" i="4"/>
  <c r="I2047" i="4"/>
  <c r="I2048" i="4"/>
  <c r="I2049" i="4"/>
  <c r="I2050" i="4"/>
  <c r="I2051" i="4"/>
  <c r="I2052" i="4"/>
  <c r="I2053" i="4"/>
  <c r="I2054" i="4"/>
  <c r="I2055" i="4"/>
  <c r="I2056" i="4"/>
  <c r="I2057" i="4"/>
  <c r="I2058" i="4"/>
  <c r="I2059" i="4"/>
  <c r="I2060" i="4"/>
  <c r="I2061" i="4"/>
  <c r="I2062" i="4"/>
  <c r="I2063" i="4"/>
  <c r="I2064" i="4"/>
  <c r="I2065" i="4"/>
  <c r="I2066" i="4"/>
  <c r="I2067" i="4"/>
  <c r="I2068" i="4"/>
  <c r="I2069" i="4"/>
  <c r="I2070" i="4"/>
  <c r="I2071" i="4"/>
  <c r="I2072" i="4"/>
  <c r="I2073" i="4"/>
  <c r="I2074" i="4"/>
  <c r="I2075" i="4"/>
  <c r="I2076" i="4"/>
  <c r="I2077" i="4"/>
  <c r="I2078" i="4"/>
  <c r="I2079" i="4"/>
  <c r="I2080" i="4"/>
  <c r="I2081" i="4"/>
  <c r="I2082" i="4"/>
  <c r="I2083" i="4"/>
  <c r="I2084" i="4"/>
  <c r="I2085" i="4"/>
  <c r="I2086" i="4"/>
  <c r="I2087" i="4"/>
  <c r="I2088" i="4"/>
  <c r="I2089" i="4"/>
  <c r="I2090" i="4"/>
  <c r="I2091" i="4"/>
  <c r="I2092" i="4"/>
  <c r="I2093" i="4"/>
  <c r="I2094" i="4"/>
  <c r="I2095" i="4"/>
  <c r="I2096" i="4"/>
  <c r="I2097" i="4"/>
  <c r="I2098" i="4"/>
  <c r="I2099" i="4"/>
  <c r="I2100" i="4"/>
  <c r="I2101" i="4"/>
  <c r="I2102" i="4"/>
  <c r="I2103" i="4"/>
  <c r="I2104" i="4"/>
  <c r="I2105" i="4"/>
  <c r="I2106" i="4"/>
  <c r="I2107" i="4"/>
  <c r="I2108" i="4"/>
  <c r="I2109" i="4"/>
  <c r="I2110" i="4"/>
  <c r="I2111" i="4"/>
  <c r="I2112" i="4"/>
  <c r="I2113" i="4"/>
  <c r="I2114" i="4"/>
  <c r="I2115" i="4"/>
  <c r="I2116" i="4"/>
  <c r="I2117" i="4"/>
  <c r="I2118" i="4"/>
  <c r="I2119" i="4"/>
  <c r="I2120" i="4"/>
  <c r="I2121" i="4"/>
  <c r="I2122" i="4"/>
  <c r="I2123" i="4"/>
  <c r="I2124" i="4"/>
  <c r="I2125" i="4"/>
  <c r="I2126" i="4"/>
  <c r="I2127" i="4"/>
  <c r="I2128" i="4"/>
  <c r="I2129" i="4"/>
  <c r="I2130" i="4"/>
  <c r="I2131" i="4"/>
  <c r="I2132" i="4"/>
  <c r="I2133" i="4"/>
  <c r="I2134" i="4"/>
  <c r="I2135" i="4"/>
  <c r="I2136" i="4"/>
  <c r="I2137" i="4"/>
  <c r="I2138" i="4"/>
  <c r="I2139" i="4"/>
  <c r="I2140" i="4"/>
  <c r="I2141" i="4"/>
  <c r="I2142" i="4"/>
  <c r="I2143" i="4"/>
  <c r="I2144" i="4"/>
  <c r="I2145" i="4"/>
  <c r="I2146" i="4"/>
  <c r="I2147" i="4"/>
  <c r="I2148" i="4"/>
  <c r="I2149" i="4"/>
  <c r="I2150" i="4"/>
  <c r="I2151" i="4"/>
  <c r="I2152" i="4"/>
  <c r="I2153" i="4"/>
  <c r="I2154" i="4"/>
  <c r="I2155" i="4"/>
  <c r="I2156" i="4"/>
  <c r="I2157" i="4"/>
  <c r="I2158" i="4"/>
  <c r="I2159" i="4"/>
  <c r="I2160" i="4"/>
  <c r="I2161" i="4"/>
  <c r="I2162" i="4"/>
  <c r="I2163" i="4"/>
  <c r="I2164" i="4"/>
  <c r="I2165" i="4"/>
  <c r="I2166" i="4"/>
  <c r="I2167" i="4"/>
  <c r="I2168" i="4"/>
  <c r="I2169" i="4"/>
  <c r="I2170" i="4"/>
  <c r="I2171" i="4"/>
  <c r="I2172" i="4"/>
  <c r="I2173" i="4"/>
  <c r="I2174" i="4"/>
  <c r="I2175" i="4"/>
  <c r="I2176" i="4"/>
  <c r="I2177" i="4"/>
  <c r="I2178" i="4"/>
  <c r="I2179" i="4"/>
  <c r="I2180" i="4"/>
  <c r="I2181" i="4"/>
  <c r="I2182" i="4"/>
  <c r="I2183" i="4"/>
  <c r="I2184" i="4"/>
  <c r="I2185" i="4"/>
  <c r="I2186" i="4"/>
  <c r="I2187" i="4"/>
  <c r="I2188" i="4"/>
  <c r="I2189" i="4"/>
  <c r="I2190" i="4"/>
  <c r="I2191" i="4"/>
  <c r="I2192" i="4"/>
  <c r="I2193" i="4"/>
  <c r="I2194" i="4"/>
  <c r="I2195" i="4"/>
  <c r="I2196" i="4"/>
  <c r="I2197" i="4"/>
  <c r="I2198" i="4"/>
  <c r="I2199" i="4"/>
  <c r="I2200" i="4"/>
  <c r="I2201" i="4"/>
  <c r="I2202" i="4"/>
  <c r="I2203" i="4"/>
  <c r="I2204" i="4"/>
  <c r="I2205" i="4"/>
  <c r="I2206" i="4"/>
  <c r="I2207" i="4"/>
  <c r="I2208" i="4"/>
  <c r="I2209" i="4"/>
  <c r="I2210" i="4"/>
  <c r="I2211" i="4"/>
  <c r="I2212" i="4"/>
  <c r="I2213" i="4"/>
  <c r="I2214" i="4"/>
  <c r="I2215" i="4"/>
  <c r="I2216" i="4"/>
  <c r="I2217" i="4"/>
  <c r="I2218" i="4"/>
  <c r="I2219" i="4"/>
  <c r="I2220" i="4"/>
  <c r="I2221" i="4"/>
  <c r="I2222" i="4"/>
  <c r="I2223" i="4"/>
  <c r="I2224" i="4"/>
  <c r="I2225" i="4"/>
  <c r="I2226" i="4"/>
  <c r="I2227" i="4"/>
  <c r="I2228" i="4"/>
  <c r="I2229" i="4"/>
  <c r="I2230" i="4"/>
  <c r="I2231" i="4"/>
  <c r="I2232" i="4"/>
  <c r="I2233" i="4"/>
  <c r="I2234" i="4"/>
  <c r="I2235" i="4"/>
  <c r="I2236" i="4"/>
  <c r="I2237" i="4"/>
  <c r="I2238" i="4"/>
  <c r="I2239" i="4"/>
  <c r="I2240" i="4"/>
  <c r="I2241" i="4"/>
  <c r="I2242" i="4"/>
  <c r="I2243" i="4"/>
  <c r="I2244" i="4"/>
  <c r="I2245" i="4"/>
  <c r="I2246" i="4"/>
  <c r="I2247" i="4"/>
  <c r="I2248" i="4"/>
  <c r="I2249" i="4"/>
  <c r="I2250" i="4"/>
  <c r="I2251" i="4"/>
  <c r="I2252" i="4"/>
  <c r="I2253" i="4"/>
  <c r="I2254" i="4"/>
  <c r="I2255" i="4"/>
  <c r="I2256" i="4"/>
  <c r="I2257" i="4"/>
  <c r="I2258" i="4"/>
  <c r="I2259" i="4"/>
  <c r="I2260" i="4"/>
  <c r="I2261" i="4"/>
  <c r="I2262" i="4"/>
  <c r="I2263" i="4"/>
  <c r="I2264" i="4"/>
  <c r="I2265" i="4"/>
  <c r="I2266" i="4"/>
  <c r="I2267" i="4"/>
  <c r="I2268" i="4"/>
  <c r="I2269" i="4"/>
  <c r="I2270" i="4"/>
  <c r="I2271" i="4"/>
  <c r="I2272" i="4"/>
  <c r="I2273" i="4"/>
  <c r="I2274" i="4"/>
  <c r="I2275" i="4"/>
  <c r="I2276" i="4"/>
  <c r="I2277" i="4"/>
  <c r="I2278" i="4"/>
  <c r="I2279" i="4"/>
  <c r="I2280" i="4"/>
  <c r="I2281" i="4"/>
  <c r="I2282" i="4"/>
  <c r="I2283" i="4"/>
  <c r="I2284" i="4"/>
  <c r="I2285" i="4"/>
  <c r="I2286" i="4"/>
  <c r="I2287" i="4"/>
  <c r="I2288" i="4"/>
  <c r="I2289" i="4"/>
  <c r="I2290" i="4"/>
  <c r="I2291" i="4"/>
  <c r="I2292" i="4"/>
  <c r="I2293" i="4"/>
  <c r="I2294" i="4"/>
  <c r="I2295" i="4"/>
  <c r="I2296" i="4"/>
  <c r="I2297" i="4"/>
  <c r="I2298" i="4"/>
  <c r="I2299" i="4"/>
  <c r="I2300" i="4"/>
  <c r="I2301" i="4"/>
  <c r="I2302" i="4"/>
  <c r="I2303" i="4"/>
  <c r="I2304" i="4"/>
  <c r="I2305" i="4"/>
  <c r="I2306" i="4"/>
  <c r="I2307" i="4"/>
  <c r="I2308" i="4"/>
  <c r="I2309" i="4"/>
  <c r="I2310" i="4"/>
  <c r="I2311" i="4"/>
  <c r="I2312" i="4"/>
  <c r="I2313" i="4"/>
  <c r="I2314" i="4"/>
  <c r="I2315" i="4"/>
  <c r="I2316" i="4"/>
  <c r="I2317" i="4"/>
  <c r="I2318" i="4"/>
  <c r="I2319" i="4"/>
  <c r="I2320" i="4"/>
  <c r="I2321" i="4"/>
  <c r="I2322" i="4"/>
  <c r="I2323" i="4"/>
  <c r="I2324" i="4"/>
  <c r="I2325" i="4"/>
  <c r="I2326" i="4"/>
  <c r="I2327" i="4"/>
  <c r="I2328" i="4"/>
  <c r="I2329" i="4"/>
  <c r="I2330" i="4"/>
  <c r="I2331" i="4"/>
  <c r="I2332" i="4"/>
  <c r="I2333" i="4"/>
  <c r="I2334" i="4"/>
  <c r="I2335" i="4"/>
  <c r="I2336" i="4"/>
  <c r="I2337" i="4"/>
  <c r="I2338" i="4"/>
  <c r="I2339" i="4"/>
  <c r="I2340" i="4"/>
  <c r="I2341" i="4"/>
  <c r="I2342" i="4"/>
  <c r="I2343" i="4"/>
  <c r="I2344" i="4"/>
  <c r="I2345" i="4"/>
  <c r="I2346" i="4"/>
  <c r="I2347" i="4"/>
  <c r="I2348" i="4"/>
  <c r="I2349" i="4"/>
  <c r="I2350" i="4"/>
  <c r="I2351" i="4"/>
  <c r="I2352" i="4"/>
  <c r="I2353" i="4"/>
  <c r="I2354" i="4"/>
  <c r="I2355" i="4"/>
  <c r="I2356" i="4"/>
  <c r="I2357" i="4"/>
  <c r="I2358" i="4"/>
  <c r="I2359" i="4"/>
  <c r="I2360" i="4"/>
  <c r="I2361" i="4"/>
  <c r="I2362" i="4"/>
  <c r="I2363" i="4"/>
  <c r="I2364" i="4"/>
  <c r="I2365" i="4"/>
  <c r="I2366" i="4"/>
  <c r="I2367" i="4"/>
  <c r="I2368" i="4"/>
  <c r="I2369" i="4"/>
  <c r="I2370" i="4"/>
  <c r="I2371" i="4"/>
  <c r="I2372" i="4"/>
  <c r="I2373" i="4"/>
  <c r="I2374" i="4"/>
  <c r="I2375" i="4"/>
  <c r="I2376" i="4"/>
  <c r="I2377" i="4"/>
  <c r="I2378" i="4"/>
  <c r="I2379" i="4"/>
  <c r="I2380" i="4"/>
  <c r="I2381" i="4"/>
  <c r="I2382" i="4"/>
  <c r="I2383" i="4"/>
  <c r="I2384" i="4"/>
  <c r="I2385" i="4"/>
  <c r="I2386" i="4"/>
  <c r="I2387" i="4"/>
  <c r="I2388" i="4"/>
  <c r="I2389" i="4"/>
  <c r="I2390" i="4"/>
  <c r="I2391" i="4"/>
  <c r="I2392" i="4"/>
  <c r="I2393" i="4"/>
  <c r="I2394" i="4"/>
  <c r="I2395" i="4"/>
  <c r="I2396" i="4"/>
  <c r="I2397" i="4"/>
  <c r="I2398" i="4"/>
  <c r="I2399" i="4"/>
  <c r="I2400" i="4"/>
  <c r="I2401" i="4"/>
  <c r="I2402" i="4"/>
  <c r="I2403" i="4"/>
  <c r="I2404" i="4"/>
  <c r="I2405" i="4"/>
  <c r="I2406" i="4"/>
  <c r="I2407" i="4"/>
  <c r="I2408" i="4"/>
  <c r="I2409" i="4"/>
  <c r="I2410" i="4"/>
  <c r="I2411" i="4"/>
  <c r="I2412" i="4"/>
  <c r="I2413" i="4"/>
  <c r="I2414" i="4"/>
  <c r="I2415" i="4"/>
  <c r="I2416" i="4"/>
  <c r="I2417" i="4"/>
  <c r="I2418" i="4"/>
  <c r="I2419" i="4"/>
  <c r="I2420" i="4"/>
  <c r="I2421" i="4"/>
  <c r="I2422" i="4"/>
  <c r="I2423" i="4"/>
  <c r="I2424" i="4"/>
  <c r="I2425" i="4"/>
  <c r="I2426" i="4"/>
  <c r="I2427" i="4"/>
  <c r="I2428" i="4"/>
  <c r="I2429" i="4"/>
  <c r="I2430" i="4"/>
  <c r="I2431" i="4"/>
  <c r="I2432" i="4"/>
  <c r="I2433" i="4"/>
  <c r="I2434" i="4"/>
  <c r="I2435" i="4"/>
  <c r="I2436" i="4"/>
  <c r="I2437" i="4"/>
  <c r="I2438" i="4"/>
  <c r="I2439" i="4"/>
  <c r="I2440" i="4"/>
  <c r="I2441" i="4"/>
  <c r="I2442" i="4"/>
  <c r="I2443" i="4"/>
  <c r="I2444" i="4"/>
  <c r="I2445" i="4"/>
  <c r="I2446" i="4"/>
  <c r="I2447" i="4"/>
  <c r="I2448" i="4"/>
  <c r="I2449" i="4"/>
  <c r="I2450" i="4"/>
  <c r="I2451" i="4"/>
  <c r="I2452" i="4"/>
  <c r="I2453" i="4"/>
  <c r="I2454" i="4"/>
  <c r="I2455" i="4"/>
  <c r="I2456" i="4"/>
  <c r="I2457" i="4"/>
  <c r="I2458" i="4"/>
  <c r="I2459" i="4"/>
  <c r="I2460" i="4"/>
  <c r="I2461" i="4"/>
  <c r="I2462" i="4"/>
  <c r="I2463" i="4"/>
  <c r="I2464" i="4"/>
  <c r="I2465" i="4"/>
  <c r="I2466" i="4"/>
  <c r="I2467" i="4"/>
  <c r="I2468" i="4"/>
  <c r="I2469" i="4"/>
  <c r="I2470" i="4"/>
  <c r="I2471" i="4"/>
  <c r="I2472" i="4"/>
  <c r="I2473" i="4"/>
  <c r="I2474" i="4"/>
  <c r="I2475" i="4"/>
  <c r="I2476" i="4"/>
  <c r="I2477" i="4"/>
  <c r="I2478" i="4"/>
  <c r="I2479" i="4"/>
  <c r="I2480" i="4"/>
  <c r="I2481" i="4"/>
  <c r="I2482" i="4"/>
  <c r="I2483" i="4"/>
  <c r="I2484" i="4"/>
  <c r="I2485" i="4"/>
  <c r="I2486" i="4"/>
  <c r="I2487" i="4"/>
  <c r="I2488" i="4"/>
  <c r="I2489" i="4"/>
  <c r="I2490" i="4"/>
  <c r="I2491" i="4"/>
  <c r="I2492" i="4"/>
  <c r="I2493" i="4"/>
  <c r="I2494" i="4"/>
  <c r="I2495" i="4"/>
  <c r="I2496" i="4"/>
  <c r="I2497" i="4"/>
  <c r="I2498" i="4"/>
  <c r="I2499" i="4"/>
  <c r="I2500" i="4"/>
  <c r="I2501" i="4"/>
  <c r="I2502" i="4"/>
  <c r="I2503" i="4"/>
  <c r="I2504" i="4"/>
  <c r="I2505" i="4"/>
  <c r="I2506" i="4"/>
  <c r="I2507" i="4"/>
  <c r="I2508" i="4"/>
  <c r="I2509" i="4"/>
  <c r="I2510" i="4"/>
  <c r="I2511" i="4"/>
  <c r="I2512" i="4"/>
  <c r="I2513" i="4"/>
  <c r="I2514" i="4"/>
  <c r="I2515" i="4"/>
  <c r="I2516" i="4"/>
  <c r="I2517" i="4"/>
  <c r="I2518" i="4"/>
  <c r="I2519" i="4"/>
  <c r="I2520" i="4"/>
  <c r="I2521" i="4"/>
  <c r="I2522" i="4"/>
  <c r="I2523" i="4"/>
  <c r="I2524" i="4"/>
  <c r="I2525" i="4"/>
  <c r="I2526" i="4"/>
  <c r="I2527" i="4"/>
  <c r="I2528" i="4"/>
  <c r="I2529" i="4"/>
  <c r="I2530" i="4"/>
  <c r="I2531" i="4"/>
  <c r="I2532" i="4"/>
  <c r="I2533" i="4"/>
  <c r="I2534" i="4"/>
  <c r="I2535" i="4"/>
  <c r="I2536" i="4"/>
  <c r="I2537" i="4"/>
  <c r="I2538" i="4"/>
  <c r="I2539" i="4"/>
  <c r="I2540" i="4"/>
  <c r="I2541" i="4"/>
  <c r="I2542" i="4"/>
  <c r="I2543" i="4"/>
  <c r="I2544" i="4"/>
  <c r="I2545" i="4"/>
  <c r="I2546" i="4"/>
  <c r="I2547" i="4"/>
  <c r="I2548" i="4"/>
  <c r="I2549" i="4"/>
  <c r="I2550" i="4"/>
  <c r="I2551" i="4"/>
  <c r="I2552" i="4"/>
  <c r="I2553" i="4"/>
  <c r="I2554" i="4"/>
  <c r="I2555" i="4"/>
  <c r="I2556" i="4"/>
  <c r="I2557" i="4"/>
  <c r="I2558" i="4"/>
  <c r="I2559" i="4"/>
  <c r="I2560" i="4"/>
  <c r="I2561" i="4"/>
  <c r="I2562" i="4"/>
  <c r="I2563" i="4"/>
  <c r="I2564" i="4"/>
  <c r="I2565" i="4"/>
  <c r="I2566" i="4"/>
  <c r="I2567" i="4"/>
  <c r="I2568" i="4"/>
  <c r="I2569" i="4"/>
  <c r="I2570" i="4"/>
  <c r="I2571" i="4"/>
  <c r="I2572" i="4"/>
  <c r="I2573" i="4"/>
  <c r="I2574" i="4"/>
  <c r="I2575" i="4"/>
  <c r="I2576" i="4"/>
  <c r="I2577" i="4"/>
  <c r="I2578" i="4"/>
  <c r="I2579" i="4"/>
  <c r="I2580" i="4"/>
  <c r="I2581" i="4"/>
  <c r="I2582" i="4"/>
  <c r="I2583" i="4"/>
  <c r="I2584" i="4"/>
  <c r="I2585" i="4"/>
  <c r="I2586" i="4"/>
  <c r="I2587" i="4"/>
  <c r="I2588" i="4"/>
  <c r="I2589" i="4"/>
  <c r="I2590" i="4"/>
  <c r="I2591" i="4"/>
  <c r="I2592" i="4"/>
  <c r="I2593" i="4"/>
  <c r="I2594" i="4"/>
  <c r="I2595" i="4"/>
  <c r="I2596" i="4"/>
  <c r="I2597" i="4"/>
  <c r="I2598" i="4"/>
  <c r="I2599" i="4"/>
  <c r="I2600" i="4"/>
  <c r="I2601" i="4"/>
  <c r="I2602" i="4"/>
  <c r="I2603" i="4"/>
  <c r="I2604" i="4"/>
  <c r="I2605" i="4"/>
  <c r="I2606" i="4"/>
  <c r="I2607" i="4"/>
  <c r="I2608" i="4"/>
  <c r="I2609" i="4"/>
  <c r="I2610" i="4"/>
  <c r="I2611" i="4"/>
  <c r="I2612" i="4"/>
  <c r="I2613" i="4"/>
  <c r="I2614" i="4"/>
  <c r="I2615" i="4"/>
  <c r="I2616" i="4"/>
  <c r="I2617" i="4"/>
  <c r="I2618" i="4"/>
  <c r="I2619" i="4"/>
  <c r="I2620" i="4"/>
  <c r="I2621" i="4"/>
  <c r="I2622" i="4"/>
  <c r="I2623" i="4"/>
  <c r="I2624" i="4"/>
  <c r="I2625" i="4"/>
  <c r="I2626" i="4"/>
  <c r="I2627" i="4"/>
  <c r="I2628" i="4"/>
  <c r="I2629" i="4"/>
  <c r="I2630" i="4"/>
  <c r="I2631" i="4"/>
  <c r="I2632" i="4"/>
  <c r="I2633" i="4"/>
  <c r="I2634" i="4"/>
  <c r="I2635" i="4"/>
  <c r="I2636" i="4"/>
  <c r="I2637" i="4"/>
  <c r="I2638" i="4"/>
  <c r="I2639" i="4"/>
  <c r="I2640" i="4"/>
  <c r="I2641" i="4"/>
  <c r="I2642" i="4"/>
  <c r="I2643" i="4"/>
  <c r="I2644" i="4"/>
  <c r="I2645" i="4"/>
  <c r="I2646" i="4"/>
  <c r="I2647" i="4"/>
  <c r="I2648" i="4"/>
  <c r="I2649" i="4"/>
  <c r="I2650" i="4"/>
  <c r="I2651" i="4"/>
  <c r="I2652" i="4"/>
  <c r="I2653" i="4"/>
  <c r="I2654" i="4"/>
  <c r="I2655" i="4"/>
  <c r="I2656" i="4"/>
  <c r="I2657" i="4"/>
  <c r="I2658" i="4"/>
  <c r="I2659" i="4"/>
  <c r="I2660" i="4"/>
  <c r="I2661" i="4"/>
  <c r="I2662" i="4"/>
  <c r="I2663" i="4"/>
  <c r="I2664" i="4"/>
  <c r="I2665" i="4"/>
  <c r="I2666" i="4"/>
  <c r="I2667" i="4"/>
  <c r="I2668" i="4"/>
  <c r="I2669" i="4"/>
  <c r="I2670" i="4"/>
  <c r="I2671" i="4"/>
  <c r="I2672" i="4"/>
  <c r="I2673" i="4"/>
  <c r="I2674" i="4"/>
  <c r="I2675" i="4"/>
  <c r="I2676" i="4"/>
  <c r="I2677" i="4"/>
  <c r="I2678" i="4"/>
  <c r="I2679" i="4"/>
  <c r="I2680" i="4"/>
  <c r="I2681" i="4"/>
  <c r="I2682" i="4"/>
  <c r="I2683" i="4"/>
  <c r="I2684" i="4"/>
  <c r="I2685" i="4"/>
  <c r="I2686" i="4"/>
  <c r="I2687" i="4"/>
  <c r="I2688" i="4"/>
  <c r="I2689" i="4"/>
  <c r="I2690" i="4"/>
  <c r="I2691" i="4"/>
  <c r="I2692" i="4"/>
  <c r="I2693" i="4"/>
  <c r="I2694" i="4"/>
  <c r="I2695" i="4"/>
  <c r="I2696" i="4"/>
  <c r="I2697" i="4"/>
  <c r="I2698" i="4"/>
  <c r="I2699" i="4"/>
  <c r="I2700" i="4"/>
  <c r="I2701" i="4"/>
  <c r="I2702" i="4"/>
  <c r="I2703" i="4"/>
  <c r="I2704" i="4"/>
  <c r="I2705" i="4"/>
  <c r="I2706" i="4"/>
  <c r="I2707" i="4"/>
  <c r="I2708" i="4"/>
  <c r="I2709" i="4"/>
  <c r="I2710" i="4"/>
  <c r="I2711" i="4"/>
  <c r="I2712" i="4"/>
  <c r="I2713" i="4"/>
  <c r="I2714" i="4"/>
  <c r="I2715" i="4"/>
  <c r="I2716" i="4"/>
  <c r="I2717" i="4"/>
  <c r="I2718" i="4"/>
  <c r="I2719" i="4"/>
  <c r="I2720" i="4"/>
  <c r="I2721" i="4"/>
  <c r="I2722" i="4"/>
  <c r="I2723" i="4"/>
  <c r="I2724" i="4"/>
  <c r="I2725" i="4"/>
  <c r="I2726" i="4"/>
  <c r="I2727" i="4"/>
  <c r="I2728" i="4"/>
  <c r="I2729" i="4"/>
  <c r="I2730" i="4"/>
  <c r="I2731" i="4"/>
  <c r="I2732" i="4"/>
  <c r="I2733" i="4"/>
  <c r="I2734" i="4"/>
  <c r="I2735" i="4"/>
  <c r="I2736" i="4"/>
  <c r="I2737" i="4"/>
  <c r="I2738" i="4"/>
  <c r="I2739" i="4"/>
  <c r="I2740" i="4"/>
  <c r="I2741" i="4"/>
  <c r="I2742" i="4"/>
  <c r="I2743" i="4"/>
  <c r="I2744" i="4"/>
  <c r="I2745" i="4"/>
  <c r="I2746" i="4"/>
  <c r="I2747" i="4"/>
  <c r="I2748" i="4"/>
  <c r="I2749" i="4"/>
  <c r="I2750" i="4"/>
  <c r="I2751" i="4"/>
  <c r="I2752" i="4"/>
  <c r="I2753" i="4"/>
  <c r="I2754" i="4"/>
  <c r="I2755" i="4"/>
  <c r="I2756" i="4"/>
  <c r="I2757" i="4"/>
  <c r="I2758" i="4"/>
  <c r="I2759" i="4"/>
  <c r="I2760" i="4"/>
  <c r="I2761" i="4"/>
  <c r="I2762" i="4"/>
  <c r="I2763" i="4"/>
  <c r="I2764" i="4"/>
  <c r="I2765" i="4"/>
  <c r="I2766" i="4"/>
  <c r="I2767" i="4"/>
  <c r="I2768" i="4"/>
  <c r="I2769" i="4"/>
  <c r="I2770" i="4"/>
  <c r="I2771" i="4"/>
  <c r="I2772" i="4"/>
  <c r="I2773" i="4"/>
  <c r="I2774" i="4"/>
  <c r="I2775" i="4"/>
  <c r="I2776" i="4"/>
  <c r="I2777" i="4"/>
  <c r="I2778" i="4"/>
  <c r="I2779" i="4"/>
  <c r="I2780" i="4"/>
  <c r="I2781" i="4"/>
  <c r="I2782" i="4"/>
  <c r="I2783" i="4"/>
  <c r="I2784" i="4"/>
  <c r="I2785" i="4"/>
  <c r="I2786" i="4"/>
  <c r="I2787" i="4"/>
  <c r="I2788" i="4"/>
  <c r="I2789" i="4"/>
  <c r="I2790" i="4"/>
  <c r="I2791" i="4"/>
  <c r="I2792" i="4"/>
  <c r="I2793" i="4"/>
  <c r="I2794" i="4"/>
  <c r="I2795" i="4"/>
  <c r="I2796" i="4"/>
  <c r="I2797" i="4"/>
  <c r="I2798" i="4"/>
  <c r="I2799" i="4"/>
  <c r="I2800" i="4"/>
  <c r="I2801" i="4"/>
  <c r="I2802" i="4"/>
  <c r="I2803" i="4"/>
  <c r="I2804" i="4"/>
  <c r="I2805" i="4"/>
  <c r="I2806" i="4"/>
  <c r="I2807" i="4"/>
  <c r="I2808" i="4"/>
  <c r="I2809" i="4"/>
  <c r="I2810" i="4"/>
  <c r="I2811" i="4"/>
  <c r="I2812" i="4"/>
  <c r="I2813" i="4"/>
  <c r="I2814" i="4"/>
  <c r="I2815" i="4"/>
  <c r="I2816" i="4"/>
  <c r="I2817" i="4"/>
  <c r="I2818" i="4"/>
  <c r="I2819" i="4"/>
  <c r="I2820" i="4"/>
  <c r="I2821" i="4"/>
  <c r="I2822" i="4"/>
  <c r="I2823" i="4"/>
  <c r="I2824" i="4"/>
  <c r="I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1015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1052" i="4"/>
  <c r="H1053" i="4"/>
  <c r="H1054" i="4"/>
  <c r="H1055" i="4"/>
  <c r="H1056" i="4"/>
  <c r="H1057" i="4"/>
  <c r="H1058" i="4"/>
  <c r="H1059" i="4"/>
  <c r="H1060" i="4"/>
  <c r="H1061" i="4"/>
  <c r="H1062" i="4"/>
  <c r="H1063" i="4"/>
  <c r="H1064" i="4"/>
  <c r="H1065" i="4"/>
  <c r="H1066" i="4"/>
  <c r="H1067" i="4"/>
  <c r="H1068" i="4"/>
  <c r="H1069" i="4"/>
  <c r="H1070" i="4"/>
  <c r="H1071" i="4"/>
  <c r="H1072" i="4"/>
  <c r="H1073" i="4"/>
  <c r="H1074" i="4"/>
  <c r="H1075" i="4"/>
  <c r="H1076" i="4"/>
  <c r="H1077" i="4"/>
  <c r="H1078" i="4"/>
  <c r="H1079" i="4"/>
  <c r="H1080" i="4"/>
  <c r="H1081" i="4"/>
  <c r="H1082" i="4"/>
  <c r="H1083" i="4"/>
  <c r="H1084" i="4"/>
  <c r="H1085" i="4"/>
  <c r="H1086" i="4"/>
  <c r="H1087" i="4"/>
  <c r="H1088" i="4"/>
  <c r="H1089" i="4"/>
  <c r="H1090" i="4"/>
  <c r="H1091" i="4"/>
  <c r="H1092" i="4"/>
  <c r="H1093" i="4"/>
  <c r="H1094" i="4"/>
  <c r="H1095" i="4"/>
  <c r="H1096" i="4"/>
  <c r="H1097" i="4"/>
  <c r="H1098" i="4"/>
  <c r="H1099" i="4"/>
  <c r="H1100" i="4"/>
  <c r="H1101" i="4"/>
  <c r="H1102" i="4"/>
  <c r="H1103" i="4"/>
  <c r="H1104" i="4"/>
  <c r="H1105" i="4"/>
  <c r="H1106" i="4"/>
  <c r="H1107" i="4"/>
  <c r="H1108" i="4"/>
  <c r="H1109" i="4"/>
  <c r="H1110" i="4"/>
  <c r="H1111" i="4"/>
  <c r="H1112" i="4"/>
  <c r="H1113" i="4"/>
  <c r="H1114" i="4"/>
  <c r="H1115" i="4"/>
  <c r="H1116" i="4"/>
  <c r="H1117" i="4"/>
  <c r="H1118" i="4"/>
  <c r="H1119" i="4"/>
  <c r="H1120" i="4"/>
  <c r="H1121" i="4"/>
  <c r="H1122" i="4"/>
  <c r="H1123" i="4"/>
  <c r="H1124" i="4"/>
  <c r="H1125" i="4"/>
  <c r="H1126" i="4"/>
  <c r="H1127" i="4"/>
  <c r="H1128" i="4"/>
  <c r="H1129" i="4"/>
  <c r="H1130" i="4"/>
  <c r="H1131" i="4"/>
  <c r="H1132" i="4"/>
  <c r="H1133" i="4"/>
  <c r="H1134" i="4"/>
  <c r="H1135" i="4"/>
  <c r="H1136" i="4"/>
  <c r="H1137" i="4"/>
  <c r="H1138" i="4"/>
  <c r="H1139" i="4"/>
  <c r="H1140" i="4"/>
  <c r="H1141" i="4"/>
  <c r="H1142" i="4"/>
  <c r="H1143" i="4"/>
  <c r="H1144" i="4"/>
  <c r="H1145" i="4"/>
  <c r="H1146" i="4"/>
  <c r="H1147" i="4"/>
  <c r="H1148" i="4"/>
  <c r="H1149" i="4"/>
  <c r="H1150" i="4"/>
  <c r="H1151" i="4"/>
  <c r="H1152" i="4"/>
  <c r="H1153" i="4"/>
  <c r="H1154" i="4"/>
  <c r="H1155" i="4"/>
  <c r="H1156" i="4"/>
  <c r="H1157" i="4"/>
  <c r="H1158" i="4"/>
  <c r="H1159" i="4"/>
  <c r="H1160" i="4"/>
  <c r="H1161" i="4"/>
  <c r="H1162" i="4"/>
  <c r="H1163" i="4"/>
  <c r="H1164" i="4"/>
  <c r="H1165" i="4"/>
  <c r="H1166" i="4"/>
  <c r="H1167" i="4"/>
  <c r="H1168" i="4"/>
  <c r="H1169" i="4"/>
  <c r="H1170" i="4"/>
  <c r="H1171" i="4"/>
  <c r="H1172" i="4"/>
  <c r="H1173" i="4"/>
  <c r="H1174" i="4"/>
  <c r="H1175" i="4"/>
  <c r="H1176" i="4"/>
  <c r="H1177" i="4"/>
  <c r="H1178" i="4"/>
  <c r="H1179" i="4"/>
  <c r="H1180" i="4"/>
  <c r="H1181" i="4"/>
  <c r="H1182" i="4"/>
  <c r="H1183" i="4"/>
  <c r="H1184" i="4"/>
  <c r="H1185" i="4"/>
  <c r="H1186" i="4"/>
  <c r="H1187" i="4"/>
  <c r="H1188" i="4"/>
  <c r="H1189" i="4"/>
  <c r="H1190" i="4"/>
  <c r="H1191" i="4"/>
  <c r="H1192" i="4"/>
  <c r="H1193" i="4"/>
  <c r="H1194" i="4"/>
  <c r="H1195" i="4"/>
  <c r="H1196" i="4"/>
  <c r="H1197" i="4"/>
  <c r="H1198" i="4"/>
  <c r="H1199" i="4"/>
  <c r="H1200" i="4"/>
  <c r="H1201" i="4"/>
  <c r="H1202" i="4"/>
  <c r="H1203" i="4"/>
  <c r="H1204" i="4"/>
  <c r="H1205" i="4"/>
  <c r="H1206" i="4"/>
  <c r="H1207" i="4"/>
  <c r="H1208" i="4"/>
  <c r="H1209" i="4"/>
  <c r="H1210" i="4"/>
  <c r="H1211" i="4"/>
  <c r="H1212" i="4"/>
  <c r="H1213" i="4"/>
  <c r="H1214" i="4"/>
  <c r="H1215" i="4"/>
  <c r="H1216" i="4"/>
  <c r="H1217" i="4"/>
  <c r="H1218" i="4"/>
  <c r="H1219" i="4"/>
  <c r="H1220" i="4"/>
  <c r="H1221" i="4"/>
  <c r="H1222" i="4"/>
  <c r="H1223" i="4"/>
  <c r="H1224" i="4"/>
  <c r="H1225" i="4"/>
  <c r="H1226" i="4"/>
  <c r="H1227" i="4"/>
  <c r="H1228" i="4"/>
  <c r="H1229" i="4"/>
  <c r="H1230" i="4"/>
  <c r="H1231" i="4"/>
  <c r="H1232" i="4"/>
  <c r="H1233" i="4"/>
  <c r="H1234" i="4"/>
  <c r="H1235" i="4"/>
  <c r="H1236" i="4"/>
  <c r="H1237" i="4"/>
  <c r="H1238" i="4"/>
  <c r="H1239" i="4"/>
  <c r="H1240" i="4"/>
  <c r="H1241" i="4"/>
  <c r="H1242" i="4"/>
  <c r="H1243" i="4"/>
  <c r="H1244" i="4"/>
  <c r="H1245" i="4"/>
  <c r="H1246" i="4"/>
  <c r="H1247" i="4"/>
  <c r="H1248" i="4"/>
  <c r="H1249" i="4"/>
  <c r="H1250" i="4"/>
  <c r="H1251" i="4"/>
  <c r="H1252" i="4"/>
  <c r="H1253" i="4"/>
  <c r="H1254" i="4"/>
  <c r="H1255" i="4"/>
  <c r="H1256" i="4"/>
  <c r="H1257" i="4"/>
  <c r="H1258" i="4"/>
  <c r="H1259" i="4"/>
  <c r="H1260" i="4"/>
  <c r="H1261" i="4"/>
  <c r="H1262" i="4"/>
  <c r="H1263" i="4"/>
  <c r="H1264" i="4"/>
  <c r="H1265" i="4"/>
  <c r="H1266" i="4"/>
  <c r="H1267" i="4"/>
  <c r="H1268" i="4"/>
  <c r="H1269" i="4"/>
  <c r="H1270" i="4"/>
  <c r="H1271" i="4"/>
  <c r="H1272" i="4"/>
  <c r="H1273" i="4"/>
  <c r="H1274" i="4"/>
  <c r="H1275" i="4"/>
  <c r="H1276" i="4"/>
  <c r="H1277" i="4"/>
  <c r="H1278" i="4"/>
  <c r="H1279" i="4"/>
  <c r="H1280" i="4"/>
  <c r="H1281" i="4"/>
  <c r="H1282" i="4"/>
  <c r="H1283" i="4"/>
  <c r="H1284" i="4"/>
  <c r="H1285" i="4"/>
  <c r="H1286" i="4"/>
  <c r="H1287" i="4"/>
  <c r="H1288" i="4"/>
  <c r="H1289" i="4"/>
  <c r="H1290" i="4"/>
  <c r="H1291" i="4"/>
  <c r="H1292" i="4"/>
  <c r="H1293" i="4"/>
  <c r="H1294" i="4"/>
  <c r="H1295" i="4"/>
  <c r="H1296" i="4"/>
  <c r="H1297" i="4"/>
  <c r="H1298" i="4"/>
  <c r="H1299" i="4"/>
  <c r="H1300" i="4"/>
  <c r="H1301" i="4"/>
  <c r="H1302" i="4"/>
  <c r="H1303" i="4"/>
  <c r="H1304" i="4"/>
  <c r="H1305" i="4"/>
  <c r="H1306" i="4"/>
  <c r="H1307" i="4"/>
  <c r="H1308" i="4"/>
  <c r="H1309" i="4"/>
  <c r="H1310" i="4"/>
  <c r="H1311" i="4"/>
  <c r="H1312" i="4"/>
  <c r="H1313" i="4"/>
  <c r="H1314" i="4"/>
  <c r="H1315" i="4"/>
  <c r="H1316" i="4"/>
  <c r="H1317" i="4"/>
  <c r="H1318" i="4"/>
  <c r="H1319" i="4"/>
  <c r="H1320" i="4"/>
  <c r="H1321" i="4"/>
  <c r="H1322" i="4"/>
  <c r="H1323" i="4"/>
  <c r="H1324" i="4"/>
  <c r="H1325" i="4"/>
  <c r="H1326" i="4"/>
  <c r="H1327" i="4"/>
  <c r="H1328" i="4"/>
  <c r="H1329" i="4"/>
  <c r="H1330" i="4"/>
  <c r="H1331" i="4"/>
  <c r="H1332" i="4"/>
  <c r="H1333" i="4"/>
  <c r="H1334" i="4"/>
  <c r="H1335" i="4"/>
  <c r="H1336" i="4"/>
  <c r="H1337" i="4"/>
  <c r="H1338" i="4"/>
  <c r="H1339" i="4"/>
  <c r="H1340" i="4"/>
  <c r="H1341" i="4"/>
  <c r="H1342" i="4"/>
  <c r="H1343" i="4"/>
  <c r="H1344" i="4"/>
  <c r="H1345" i="4"/>
  <c r="H1346" i="4"/>
  <c r="H1347" i="4"/>
  <c r="H1348" i="4"/>
  <c r="H1349" i="4"/>
  <c r="H1350" i="4"/>
  <c r="H1351" i="4"/>
  <c r="H1352" i="4"/>
  <c r="H1353" i="4"/>
  <c r="H1354" i="4"/>
  <c r="H1355" i="4"/>
  <c r="H1356" i="4"/>
  <c r="H1357" i="4"/>
  <c r="H1358" i="4"/>
  <c r="H1359" i="4"/>
  <c r="H1360" i="4"/>
  <c r="H1361" i="4"/>
  <c r="H1362" i="4"/>
  <c r="H1363" i="4"/>
  <c r="H1364" i="4"/>
  <c r="H1365" i="4"/>
  <c r="H1366" i="4"/>
  <c r="H1367" i="4"/>
  <c r="H1368" i="4"/>
  <c r="H1369" i="4"/>
  <c r="H1370" i="4"/>
  <c r="H1371" i="4"/>
  <c r="H1372" i="4"/>
  <c r="H1373" i="4"/>
  <c r="H1374" i="4"/>
  <c r="H1375" i="4"/>
  <c r="H1376" i="4"/>
  <c r="H1377" i="4"/>
  <c r="H1378" i="4"/>
  <c r="H1379" i="4"/>
  <c r="H1380" i="4"/>
  <c r="H1381" i="4"/>
  <c r="H1382" i="4"/>
  <c r="H1383" i="4"/>
  <c r="H1384" i="4"/>
  <c r="H1385" i="4"/>
  <c r="H1386" i="4"/>
  <c r="H1387" i="4"/>
  <c r="H1388" i="4"/>
  <c r="H1389" i="4"/>
  <c r="H1390" i="4"/>
  <c r="H1391" i="4"/>
  <c r="H1392" i="4"/>
  <c r="H1393" i="4"/>
  <c r="H1394" i="4"/>
  <c r="H1395" i="4"/>
  <c r="H1396" i="4"/>
  <c r="H1397" i="4"/>
  <c r="H1398" i="4"/>
  <c r="H1399" i="4"/>
  <c r="H1400" i="4"/>
  <c r="H1401" i="4"/>
  <c r="H1402" i="4"/>
  <c r="H1403" i="4"/>
  <c r="H1404" i="4"/>
  <c r="H1405" i="4"/>
  <c r="H1406" i="4"/>
  <c r="H1407" i="4"/>
  <c r="H1408" i="4"/>
  <c r="H1409" i="4"/>
  <c r="H1410" i="4"/>
  <c r="H1411" i="4"/>
  <c r="H1412" i="4"/>
  <c r="H1413" i="4"/>
  <c r="H1414" i="4"/>
  <c r="H1415" i="4"/>
  <c r="H1416" i="4"/>
  <c r="H1417" i="4"/>
  <c r="H1418" i="4"/>
  <c r="H1419" i="4"/>
  <c r="H1420" i="4"/>
  <c r="H1421" i="4"/>
  <c r="H1422" i="4"/>
  <c r="H1423" i="4"/>
  <c r="H1424" i="4"/>
  <c r="H1425" i="4"/>
  <c r="H1426" i="4"/>
  <c r="H1427" i="4"/>
  <c r="H1428" i="4"/>
  <c r="H1429" i="4"/>
  <c r="H1430" i="4"/>
  <c r="H1431" i="4"/>
  <c r="H1432" i="4"/>
  <c r="H1433" i="4"/>
  <c r="H1434" i="4"/>
  <c r="H1435" i="4"/>
  <c r="H1436" i="4"/>
  <c r="H1437" i="4"/>
  <c r="H1438" i="4"/>
  <c r="H1439" i="4"/>
  <c r="H1440" i="4"/>
  <c r="H1441" i="4"/>
  <c r="H1442" i="4"/>
  <c r="H1443" i="4"/>
  <c r="H1444" i="4"/>
  <c r="H1445" i="4"/>
  <c r="H1446" i="4"/>
  <c r="H1447" i="4"/>
  <c r="H1448" i="4"/>
  <c r="H1449" i="4"/>
  <c r="H1450" i="4"/>
  <c r="H1451" i="4"/>
  <c r="H1452" i="4"/>
  <c r="H1453" i="4"/>
  <c r="H1454" i="4"/>
  <c r="H1455" i="4"/>
  <c r="H1456" i="4"/>
  <c r="H1457" i="4"/>
  <c r="H1458" i="4"/>
  <c r="H1459" i="4"/>
  <c r="H1460" i="4"/>
  <c r="H1461" i="4"/>
  <c r="H1462" i="4"/>
  <c r="H1463" i="4"/>
  <c r="H1464" i="4"/>
  <c r="H1465" i="4"/>
  <c r="H1466" i="4"/>
  <c r="H1467" i="4"/>
  <c r="H1468" i="4"/>
  <c r="H1469" i="4"/>
  <c r="H1470" i="4"/>
  <c r="H1471" i="4"/>
  <c r="H1472" i="4"/>
  <c r="H1473" i="4"/>
  <c r="H1474" i="4"/>
  <c r="H1475" i="4"/>
  <c r="H1476" i="4"/>
  <c r="H1477" i="4"/>
  <c r="H1478" i="4"/>
  <c r="H1479" i="4"/>
  <c r="H1480" i="4"/>
  <c r="H1481" i="4"/>
  <c r="H1482" i="4"/>
  <c r="H1483" i="4"/>
  <c r="H1484" i="4"/>
  <c r="H1485" i="4"/>
  <c r="H1486" i="4"/>
  <c r="H1487" i="4"/>
  <c r="H1488" i="4"/>
  <c r="H1489" i="4"/>
  <c r="H1490" i="4"/>
  <c r="H1491" i="4"/>
  <c r="H1492" i="4"/>
  <c r="H1493" i="4"/>
  <c r="H1494" i="4"/>
  <c r="H1495" i="4"/>
  <c r="H1496" i="4"/>
  <c r="H1497" i="4"/>
  <c r="H1498" i="4"/>
  <c r="H1499" i="4"/>
  <c r="H1500" i="4"/>
  <c r="H1501" i="4"/>
  <c r="H1502" i="4"/>
  <c r="H1503" i="4"/>
  <c r="H1504" i="4"/>
  <c r="H1505" i="4"/>
  <c r="H1506" i="4"/>
  <c r="H1507" i="4"/>
  <c r="H1508" i="4"/>
  <c r="H1509" i="4"/>
  <c r="H1510" i="4"/>
  <c r="H1511" i="4"/>
  <c r="H1512" i="4"/>
  <c r="H1513" i="4"/>
  <c r="H1514" i="4"/>
  <c r="H1515" i="4"/>
  <c r="H1516" i="4"/>
  <c r="H1517" i="4"/>
  <c r="H1518" i="4"/>
  <c r="H1519" i="4"/>
  <c r="H1520" i="4"/>
  <c r="H1521" i="4"/>
  <c r="H1522" i="4"/>
  <c r="H1523" i="4"/>
  <c r="H1524" i="4"/>
  <c r="H1525" i="4"/>
  <c r="H1526" i="4"/>
  <c r="H1527" i="4"/>
  <c r="H1528" i="4"/>
  <c r="H1529" i="4"/>
  <c r="H1530" i="4"/>
  <c r="H1531" i="4"/>
  <c r="H1532" i="4"/>
  <c r="H1533" i="4"/>
  <c r="H1534" i="4"/>
  <c r="H1535" i="4"/>
  <c r="H1536" i="4"/>
  <c r="H1537" i="4"/>
  <c r="H1538" i="4"/>
  <c r="H1539" i="4"/>
  <c r="H1540" i="4"/>
  <c r="H1541" i="4"/>
  <c r="H1542" i="4"/>
  <c r="H1543" i="4"/>
  <c r="H1544" i="4"/>
  <c r="H1545" i="4"/>
  <c r="H1546" i="4"/>
  <c r="H1547" i="4"/>
  <c r="H1548" i="4"/>
  <c r="H1549" i="4"/>
  <c r="H1550" i="4"/>
  <c r="H1551" i="4"/>
  <c r="H1552" i="4"/>
  <c r="H1553" i="4"/>
  <c r="H1554" i="4"/>
  <c r="H1555" i="4"/>
  <c r="H1556" i="4"/>
  <c r="H1557" i="4"/>
  <c r="H1558" i="4"/>
  <c r="H1559" i="4"/>
  <c r="H1560" i="4"/>
  <c r="H1561" i="4"/>
  <c r="H1562" i="4"/>
  <c r="H1563" i="4"/>
  <c r="H1564" i="4"/>
  <c r="H1565" i="4"/>
  <c r="H1566" i="4"/>
  <c r="H1567" i="4"/>
  <c r="H1568" i="4"/>
  <c r="H1569" i="4"/>
  <c r="H1570" i="4"/>
  <c r="H1571" i="4"/>
  <c r="H1572" i="4"/>
  <c r="H1573" i="4"/>
  <c r="H1574" i="4"/>
  <c r="H1575" i="4"/>
  <c r="H1576" i="4"/>
  <c r="H1577" i="4"/>
  <c r="H1578" i="4"/>
  <c r="H1579" i="4"/>
  <c r="H1580" i="4"/>
  <c r="H1581" i="4"/>
  <c r="H1582" i="4"/>
  <c r="H1583" i="4"/>
  <c r="H1584" i="4"/>
  <c r="H1585" i="4"/>
  <c r="H1586" i="4"/>
  <c r="H1587" i="4"/>
  <c r="H1588" i="4"/>
  <c r="H1589" i="4"/>
  <c r="H1590" i="4"/>
  <c r="H1591" i="4"/>
  <c r="H1592" i="4"/>
  <c r="H1593" i="4"/>
  <c r="H1594" i="4"/>
  <c r="H1595" i="4"/>
  <c r="H1596" i="4"/>
  <c r="H1597" i="4"/>
  <c r="H1598" i="4"/>
  <c r="H1599" i="4"/>
  <c r="H1600" i="4"/>
  <c r="H1601" i="4"/>
  <c r="H1602" i="4"/>
  <c r="H1603" i="4"/>
  <c r="H1604" i="4"/>
  <c r="H1605" i="4"/>
  <c r="H1606" i="4"/>
  <c r="H1607" i="4"/>
  <c r="H1608" i="4"/>
  <c r="H1609" i="4"/>
  <c r="H1610" i="4"/>
  <c r="H1611" i="4"/>
  <c r="H1612" i="4"/>
  <c r="H1613" i="4"/>
  <c r="H1614" i="4"/>
  <c r="H1615" i="4"/>
  <c r="H1616" i="4"/>
  <c r="H1617" i="4"/>
  <c r="H1618" i="4"/>
  <c r="H1619" i="4"/>
  <c r="H1620" i="4"/>
  <c r="H1621" i="4"/>
  <c r="H1622" i="4"/>
  <c r="H1623" i="4"/>
  <c r="H1624" i="4"/>
  <c r="H1625" i="4"/>
  <c r="H1626" i="4"/>
  <c r="H1627" i="4"/>
  <c r="H1628" i="4"/>
  <c r="H1629" i="4"/>
  <c r="H1630" i="4"/>
  <c r="H1631" i="4"/>
  <c r="H1632" i="4"/>
  <c r="H1633" i="4"/>
  <c r="H1634" i="4"/>
  <c r="H1635" i="4"/>
  <c r="H1636" i="4"/>
  <c r="H1637" i="4"/>
  <c r="H1638" i="4"/>
  <c r="H1639" i="4"/>
  <c r="H1640" i="4"/>
  <c r="H1641" i="4"/>
  <c r="H1642" i="4"/>
  <c r="H1643" i="4"/>
  <c r="H1644" i="4"/>
  <c r="H1645" i="4"/>
  <c r="H1646" i="4"/>
  <c r="H1647" i="4"/>
  <c r="H1648" i="4"/>
  <c r="H1649" i="4"/>
  <c r="H1650" i="4"/>
  <c r="H1651" i="4"/>
  <c r="H1652" i="4"/>
  <c r="H1653" i="4"/>
  <c r="H1654" i="4"/>
  <c r="H1655" i="4"/>
  <c r="H1656" i="4"/>
  <c r="H1657" i="4"/>
  <c r="H1658" i="4"/>
  <c r="H1659" i="4"/>
  <c r="H1660" i="4"/>
  <c r="H1661" i="4"/>
  <c r="H1662" i="4"/>
  <c r="H1663" i="4"/>
  <c r="H1664" i="4"/>
  <c r="H1665" i="4"/>
  <c r="H1666" i="4"/>
  <c r="H1667" i="4"/>
  <c r="H1668" i="4"/>
  <c r="H1669" i="4"/>
  <c r="H1670" i="4"/>
  <c r="H1671" i="4"/>
  <c r="H1672" i="4"/>
  <c r="H1673" i="4"/>
  <c r="H1674" i="4"/>
  <c r="H1675" i="4"/>
  <c r="H1676" i="4"/>
  <c r="H1677" i="4"/>
  <c r="H1678" i="4"/>
  <c r="H1679" i="4"/>
  <c r="H1680" i="4"/>
  <c r="H1681" i="4"/>
  <c r="H1682" i="4"/>
  <c r="H1683" i="4"/>
  <c r="H1684" i="4"/>
  <c r="H1685" i="4"/>
  <c r="H1686" i="4"/>
  <c r="H1687" i="4"/>
  <c r="H1688" i="4"/>
  <c r="H1689" i="4"/>
  <c r="H1690" i="4"/>
  <c r="H1691" i="4"/>
  <c r="H1692" i="4"/>
  <c r="H1693" i="4"/>
  <c r="H1694" i="4"/>
  <c r="H1695" i="4"/>
  <c r="H1696" i="4"/>
  <c r="H1697" i="4"/>
  <c r="H1698" i="4"/>
  <c r="H1699" i="4"/>
  <c r="H1700" i="4"/>
  <c r="H1701" i="4"/>
  <c r="H1702" i="4"/>
  <c r="H1703" i="4"/>
  <c r="H1704" i="4"/>
  <c r="H1705" i="4"/>
  <c r="H1706" i="4"/>
  <c r="H1707" i="4"/>
  <c r="H1708" i="4"/>
  <c r="H1709" i="4"/>
  <c r="H1710" i="4"/>
  <c r="H1711" i="4"/>
  <c r="H1712" i="4"/>
  <c r="H1713" i="4"/>
  <c r="H1714" i="4"/>
  <c r="H1715" i="4"/>
  <c r="H1716" i="4"/>
  <c r="H1717" i="4"/>
  <c r="H1718" i="4"/>
  <c r="H1719" i="4"/>
  <c r="H1720" i="4"/>
  <c r="H1721" i="4"/>
  <c r="H1722" i="4"/>
  <c r="H1723" i="4"/>
  <c r="H1724" i="4"/>
  <c r="H1725" i="4"/>
  <c r="H1726" i="4"/>
  <c r="H1727" i="4"/>
  <c r="H1728" i="4"/>
  <c r="H1729" i="4"/>
  <c r="H1730" i="4"/>
  <c r="H1731" i="4"/>
  <c r="H1732" i="4"/>
  <c r="H1733" i="4"/>
  <c r="H1734" i="4"/>
  <c r="H1735" i="4"/>
  <c r="H1736" i="4"/>
  <c r="H1737" i="4"/>
  <c r="H1738" i="4"/>
  <c r="H1739" i="4"/>
  <c r="H1740" i="4"/>
  <c r="H1741" i="4"/>
  <c r="H1742" i="4"/>
  <c r="H1743" i="4"/>
  <c r="H1744" i="4"/>
  <c r="H1745" i="4"/>
  <c r="H1746" i="4"/>
  <c r="H1747" i="4"/>
  <c r="H1748" i="4"/>
  <c r="H1749" i="4"/>
  <c r="H1750" i="4"/>
  <c r="H1751" i="4"/>
  <c r="H1752" i="4"/>
  <c r="H1753" i="4"/>
  <c r="H1754" i="4"/>
  <c r="H1755" i="4"/>
  <c r="H1756" i="4"/>
  <c r="H1757" i="4"/>
  <c r="H1758" i="4"/>
  <c r="H1759" i="4"/>
  <c r="H1760" i="4"/>
  <c r="H1761" i="4"/>
  <c r="H1762" i="4"/>
  <c r="H1763" i="4"/>
  <c r="H1764" i="4"/>
  <c r="H1765" i="4"/>
  <c r="H1766" i="4"/>
  <c r="H1767" i="4"/>
  <c r="H1768" i="4"/>
  <c r="H1769" i="4"/>
  <c r="H1770" i="4"/>
  <c r="H1771" i="4"/>
  <c r="H1772" i="4"/>
  <c r="H1773" i="4"/>
  <c r="H1774" i="4"/>
  <c r="H1775" i="4"/>
  <c r="H1776" i="4"/>
  <c r="H1777" i="4"/>
  <c r="H1778" i="4"/>
  <c r="H1779" i="4"/>
  <c r="H1780" i="4"/>
  <c r="H1781" i="4"/>
  <c r="H1782" i="4"/>
  <c r="H1783" i="4"/>
  <c r="H1784" i="4"/>
  <c r="H1785" i="4"/>
  <c r="H1786" i="4"/>
  <c r="H1787" i="4"/>
  <c r="H1788" i="4"/>
  <c r="H1789" i="4"/>
  <c r="H1790" i="4"/>
  <c r="H1791" i="4"/>
  <c r="H1792" i="4"/>
  <c r="H1793" i="4"/>
  <c r="H1794" i="4"/>
  <c r="H1795" i="4"/>
  <c r="H1796" i="4"/>
  <c r="H1797" i="4"/>
  <c r="H1798" i="4"/>
  <c r="H1799" i="4"/>
  <c r="H1800" i="4"/>
  <c r="H1801" i="4"/>
  <c r="H1802" i="4"/>
  <c r="H1803" i="4"/>
  <c r="H1804" i="4"/>
  <c r="H1805" i="4"/>
  <c r="H1806" i="4"/>
  <c r="H1807" i="4"/>
  <c r="H1808" i="4"/>
  <c r="H1809" i="4"/>
  <c r="H1810" i="4"/>
  <c r="H1811" i="4"/>
  <c r="H1812" i="4"/>
  <c r="H1813" i="4"/>
  <c r="H1814" i="4"/>
  <c r="H1815" i="4"/>
  <c r="H1816" i="4"/>
  <c r="H1817" i="4"/>
  <c r="H1818" i="4"/>
  <c r="H1819" i="4"/>
  <c r="H1820" i="4"/>
  <c r="H1821" i="4"/>
  <c r="H1822" i="4"/>
  <c r="H1823" i="4"/>
  <c r="H1824" i="4"/>
  <c r="H1825" i="4"/>
  <c r="H1826" i="4"/>
  <c r="H1827" i="4"/>
  <c r="H1828" i="4"/>
  <c r="H1829" i="4"/>
  <c r="H1830" i="4"/>
  <c r="H1831" i="4"/>
  <c r="H1832" i="4"/>
  <c r="H1833" i="4"/>
  <c r="H1834" i="4"/>
  <c r="H1835" i="4"/>
  <c r="H1836" i="4"/>
  <c r="H1837" i="4"/>
  <c r="H1838" i="4"/>
  <c r="H1839" i="4"/>
  <c r="H1840" i="4"/>
  <c r="H1841" i="4"/>
  <c r="H1842" i="4"/>
  <c r="H1843" i="4"/>
  <c r="H1844" i="4"/>
  <c r="H1845" i="4"/>
  <c r="H1846" i="4"/>
  <c r="H1847" i="4"/>
  <c r="H1848" i="4"/>
  <c r="H1849" i="4"/>
  <c r="H1850" i="4"/>
  <c r="H1851" i="4"/>
  <c r="H1852" i="4"/>
  <c r="H1853" i="4"/>
  <c r="H1854" i="4"/>
  <c r="H1855" i="4"/>
  <c r="H1856" i="4"/>
  <c r="H1857" i="4"/>
  <c r="H1858" i="4"/>
  <c r="H1859" i="4"/>
  <c r="H1860" i="4"/>
  <c r="H1861" i="4"/>
  <c r="H1862" i="4"/>
  <c r="H1863" i="4"/>
  <c r="H1864" i="4"/>
  <c r="H1865" i="4"/>
  <c r="H1866" i="4"/>
  <c r="H1867" i="4"/>
  <c r="H1868" i="4"/>
  <c r="H1869" i="4"/>
  <c r="H1870" i="4"/>
  <c r="H1871" i="4"/>
  <c r="H1872" i="4"/>
  <c r="H1873" i="4"/>
  <c r="H1874" i="4"/>
  <c r="H1875" i="4"/>
  <c r="H1876" i="4"/>
  <c r="H1877" i="4"/>
  <c r="H1878" i="4"/>
  <c r="H1879" i="4"/>
  <c r="H1880" i="4"/>
  <c r="H1881" i="4"/>
  <c r="H1882" i="4"/>
  <c r="H1883" i="4"/>
  <c r="H1884" i="4"/>
  <c r="H1885" i="4"/>
  <c r="H1886" i="4"/>
  <c r="H1887" i="4"/>
  <c r="H1888" i="4"/>
  <c r="H1889" i="4"/>
  <c r="H1890" i="4"/>
  <c r="H1891" i="4"/>
  <c r="H1892" i="4"/>
  <c r="H1893" i="4"/>
  <c r="H1894" i="4"/>
  <c r="H1895" i="4"/>
  <c r="H1896" i="4"/>
  <c r="H1897" i="4"/>
  <c r="H1898" i="4"/>
  <c r="H1899" i="4"/>
  <c r="H1900" i="4"/>
  <c r="H1901" i="4"/>
  <c r="H1902" i="4"/>
  <c r="H1903" i="4"/>
  <c r="H1904" i="4"/>
  <c r="H1905" i="4"/>
  <c r="H1906" i="4"/>
  <c r="H1907" i="4"/>
  <c r="H1908" i="4"/>
  <c r="H1909" i="4"/>
  <c r="H1910" i="4"/>
  <c r="H1911" i="4"/>
  <c r="H1912" i="4"/>
  <c r="H1913" i="4"/>
  <c r="H1914" i="4"/>
  <c r="H1915" i="4"/>
  <c r="H1916" i="4"/>
  <c r="H1917" i="4"/>
  <c r="H1918" i="4"/>
  <c r="H1919" i="4"/>
  <c r="H1920" i="4"/>
  <c r="H1921" i="4"/>
  <c r="H1922" i="4"/>
  <c r="H1923" i="4"/>
  <c r="H1924" i="4"/>
  <c r="H1925" i="4"/>
  <c r="H1926" i="4"/>
  <c r="H1927" i="4"/>
  <c r="H1928" i="4"/>
  <c r="H1929" i="4"/>
  <c r="H1930" i="4"/>
  <c r="H1931" i="4"/>
  <c r="H1932" i="4"/>
  <c r="H1933" i="4"/>
  <c r="H1934" i="4"/>
  <c r="H1935" i="4"/>
  <c r="H1936" i="4"/>
  <c r="H1937" i="4"/>
  <c r="H1938" i="4"/>
  <c r="H1939" i="4"/>
  <c r="H1940" i="4"/>
  <c r="H1941" i="4"/>
  <c r="H1942" i="4"/>
  <c r="H1943" i="4"/>
  <c r="H1944" i="4"/>
  <c r="H1945" i="4"/>
  <c r="H1946" i="4"/>
  <c r="H1947" i="4"/>
  <c r="H1948" i="4"/>
  <c r="H1949" i="4"/>
  <c r="H1950" i="4"/>
  <c r="H1951" i="4"/>
  <c r="H1952" i="4"/>
  <c r="H1953" i="4"/>
  <c r="H1954" i="4"/>
  <c r="H1955" i="4"/>
  <c r="H1956" i="4"/>
  <c r="H1957" i="4"/>
  <c r="H1958" i="4"/>
  <c r="H1959" i="4"/>
  <c r="H1960" i="4"/>
  <c r="H1961" i="4"/>
  <c r="H1962" i="4"/>
  <c r="H1963" i="4"/>
  <c r="H1964" i="4"/>
  <c r="H1965" i="4"/>
  <c r="H1966" i="4"/>
  <c r="H1967" i="4"/>
  <c r="H1968" i="4"/>
  <c r="H1969" i="4"/>
  <c r="H1970" i="4"/>
  <c r="H1971" i="4"/>
  <c r="H1972" i="4"/>
  <c r="H1973" i="4"/>
  <c r="H1974" i="4"/>
  <c r="H1975" i="4"/>
  <c r="H1976" i="4"/>
  <c r="H1977" i="4"/>
  <c r="H1978" i="4"/>
  <c r="H1979" i="4"/>
  <c r="H1980" i="4"/>
  <c r="H1981" i="4"/>
  <c r="H1982" i="4"/>
  <c r="H1983" i="4"/>
  <c r="H1984" i="4"/>
  <c r="H1985" i="4"/>
  <c r="H1986" i="4"/>
  <c r="H1987" i="4"/>
  <c r="H1988" i="4"/>
  <c r="H1989" i="4"/>
  <c r="H1990" i="4"/>
  <c r="H1991" i="4"/>
  <c r="H1992" i="4"/>
  <c r="H1993" i="4"/>
  <c r="H1994" i="4"/>
  <c r="H1995" i="4"/>
  <c r="H1996" i="4"/>
  <c r="H1997" i="4"/>
  <c r="H1998" i="4"/>
  <c r="H1999" i="4"/>
  <c r="H2000" i="4"/>
  <c r="H2001" i="4"/>
  <c r="H2002" i="4"/>
  <c r="H2003" i="4"/>
  <c r="H2004" i="4"/>
  <c r="H2005" i="4"/>
  <c r="H2006" i="4"/>
  <c r="H2007" i="4"/>
  <c r="H2008" i="4"/>
  <c r="H2009" i="4"/>
  <c r="H2010" i="4"/>
  <c r="H2011" i="4"/>
  <c r="H2012" i="4"/>
  <c r="H2013" i="4"/>
  <c r="H2014" i="4"/>
  <c r="H2015" i="4"/>
  <c r="H2016" i="4"/>
  <c r="H2017" i="4"/>
  <c r="H2018" i="4"/>
  <c r="H2019" i="4"/>
  <c r="H2020" i="4"/>
  <c r="H2021" i="4"/>
  <c r="H2022" i="4"/>
  <c r="H2023" i="4"/>
  <c r="H2024" i="4"/>
  <c r="H2025" i="4"/>
  <c r="H2026" i="4"/>
  <c r="H2027" i="4"/>
  <c r="H2028" i="4"/>
  <c r="H2029" i="4"/>
  <c r="H2030" i="4"/>
  <c r="H2031" i="4"/>
  <c r="H2032" i="4"/>
  <c r="H2033" i="4"/>
  <c r="H2034" i="4"/>
  <c r="H2035" i="4"/>
  <c r="H2036" i="4"/>
  <c r="H2037" i="4"/>
  <c r="H2038" i="4"/>
  <c r="H2039" i="4"/>
  <c r="H2040" i="4"/>
  <c r="H2041" i="4"/>
  <c r="H2042" i="4"/>
  <c r="H2043" i="4"/>
  <c r="H2044" i="4"/>
  <c r="H2045" i="4"/>
  <c r="H2046" i="4"/>
  <c r="H2047" i="4"/>
  <c r="H2048" i="4"/>
  <c r="H2049" i="4"/>
  <c r="H2050" i="4"/>
  <c r="H2051" i="4"/>
  <c r="H2052" i="4"/>
  <c r="H2053" i="4"/>
  <c r="H2054" i="4"/>
  <c r="H2055" i="4"/>
  <c r="H2056" i="4"/>
  <c r="H2057" i="4"/>
  <c r="H2058" i="4"/>
  <c r="H2059" i="4"/>
  <c r="H2060" i="4"/>
  <c r="H2061" i="4"/>
  <c r="H2062" i="4"/>
  <c r="H2063" i="4"/>
  <c r="H2064" i="4"/>
  <c r="H2065" i="4"/>
  <c r="H2066" i="4"/>
  <c r="H2067" i="4"/>
  <c r="H2068" i="4"/>
  <c r="H2069" i="4"/>
  <c r="H2070" i="4"/>
  <c r="H2071" i="4"/>
  <c r="H2072" i="4"/>
  <c r="H2073" i="4"/>
  <c r="H2074" i="4"/>
  <c r="H2075" i="4"/>
  <c r="H2076" i="4"/>
  <c r="H2077" i="4"/>
  <c r="H2078" i="4"/>
  <c r="H2079" i="4"/>
  <c r="H2080" i="4"/>
  <c r="H2081" i="4"/>
  <c r="H2082" i="4"/>
  <c r="H2083" i="4"/>
  <c r="H2084" i="4"/>
  <c r="H2085" i="4"/>
  <c r="H2086" i="4"/>
  <c r="H2087" i="4"/>
  <c r="H2088" i="4"/>
  <c r="H2089" i="4"/>
  <c r="H2090" i="4"/>
  <c r="H2091" i="4"/>
  <c r="H2092" i="4"/>
  <c r="H2093" i="4"/>
  <c r="H2094" i="4"/>
  <c r="H2095" i="4"/>
  <c r="H2096" i="4"/>
  <c r="H2097" i="4"/>
  <c r="H2098" i="4"/>
  <c r="H2099" i="4"/>
  <c r="H2100" i="4"/>
  <c r="H2101" i="4"/>
  <c r="H2102" i="4"/>
  <c r="H2103" i="4"/>
  <c r="H2104" i="4"/>
  <c r="H2105" i="4"/>
  <c r="H2106" i="4"/>
  <c r="H2107" i="4"/>
  <c r="H2108" i="4"/>
  <c r="H2109" i="4"/>
  <c r="H2110" i="4"/>
  <c r="H2111" i="4"/>
  <c r="H2112" i="4"/>
  <c r="H2113" i="4"/>
  <c r="H2114" i="4"/>
  <c r="H2115" i="4"/>
  <c r="H2116" i="4"/>
  <c r="H2117" i="4"/>
  <c r="H2118" i="4"/>
  <c r="H2119" i="4"/>
  <c r="H2120" i="4"/>
  <c r="H2121" i="4"/>
  <c r="H2122" i="4"/>
  <c r="H2123" i="4"/>
  <c r="H2124" i="4"/>
  <c r="H2125" i="4"/>
  <c r="H2126" i="4"/>
  <c r="H2127" i="4"/>
  <c r="H2128" i="4"/>
  <c r="H2129" i="4"/>
  <c r="H2130" i="4"/>
  <c r="H2131" i="4"/>
  <c r="H2132" i="4"/>
  <c r="H2133" i="4"/>
  <c r="H2134" i="4"/>
  <c r="H2135" i="4"/>
  <c r="H2136" i="4"/>
  <c r="H2137" i="4"/>
  <c r="H2138" i="4"/>
  <c r="H2139" i="4"/>
  <c r="H2140" i="4"/>
  <c r="H2141" i="4"/>
  <c r="H2142" i="4"/>
  <c r="H2143" i="4"/>
  <c r="H2144" i="4"/>
  <c r="H2145" i="4"/>
  <c r="H2146" i="4"/>
  <c r="H2147" i="4"/>
  <c r="H2148" i="4"/>
  <c r="H2149" i="4"/>
  <c r="H2150" i="4"/>
  <c r="H2151" i="4"/>
  <c r="H2152" i="4"/>
  <c r="H2153" i="4"/>
  <c r="H2154" i="4"/>
  <c r="H2155" i="4"/>
  <c r="H2156" i="4"/>
  <c r="H2157" i="4"/>
  <c r="H2158" i="4"/>
  <c r="H2159" i="4"/>
  <c r="H2160" i="4"/>
  <c r="H2161" i="4"/>
  <c r="H2162" i="4"/>
  <c r="H2163" i="4"/>
  <c r="H2164" i="4"/>
  <c r="H2165" i="4"/>
  <c r="H2166" i="4"/>
  <c r="H2167" i="4"/>
  <c r="H2168" i="4"/>
  <c r="H2169" i="4"/>
  <c r="H2170" i="4"/>
  <c r="H2171" i="4"/>
  <c r="H2172" i="4"/>
  <c r="H2173" i="4"/>
  <c r="H2174" i="4"/>
  <c r="H2175" i="4"/>
  <c r="H2176" i="4"/>
  <c r="H2177" i="4"/>
  <c r="H2178" i="4"/>
  <c r="H2179" i="4"/>
  <c r="H2180" i="4"/>
  <c r="H2181" i="4"/>
  <c r="H2182" i="4"/>
  <c r="H2183" i="4"/>
  <c r="H2184" i="4"/>
  <c r="H2185" i="4"/>
  <c r="H2186" i="4"/>
  <c r="H2187" i="4"/>
  <c r="H2188" i="4"/>
  <c r="H2189" i="4"/>
  <c r="H2190" i="4"/>
  <c r="H2191" i="4"/>
  <c r="H2192" i="4"/>
  <c r="H2193" i="4"/>
  <c r="H2194" i="4"/>
  <c r="H2195" i="4"/>
  <c r="H2196" i="4"/>
  <c r="H2197" i="4"/>
  <c r="H2198" i="4"/>
  <c r="H2199" i="4"/>
  <c r="H2200" i="4"/>
  <c r="H2201" i="4"/>
  <c r="H2202" i="4"/>
  <c r="H2203" i="4"/>
  <c r="H2204" i="4"/>
  <c r="H2205" i="4"/>
  <c r="H2206" i="4"/>
  <c r="H2207" i="4"/>
  <c r="H2208" i="4"/>
  <c r="H2209" i="4"/>
  <c r="H2210" i="4"/>
  <c r="H2211" i="4"/>
  <c r="H2212" i="4"/>
  <c r="H2213" i="4"/>
  <c r="H2214" i="4"/>
  <c r="H2215" i="4"/>
  <c r="H2216" i="4"/>
  <c r="H2217" i="4"/>
  <c r="H2218" i="4"/>
  <c r="H2219" i="4"/>
  <c r="H2220" i="4"/>
  <c r="H2221" i="4"/>
  <c r="H2222" i="4"/>
  <c r="H2223" i="4"/>
  <c r="H2224" i="4"/>
  <c r="H2225" i="4"/>
  <c r="H2226" i="4"/>
  <c r="H2227" i="4"/>
  <c r="H2228" i="4"/>
  <c r="H2229" i="4"/>
  <c r="H2230" i="4"/>
  <c r="H2231" i="4"/>
  <c r="H2232" i="4"/>
  <c r="H2233" i="4"/>
  <c r="H2234" i="4"/>
  <c r="H2235" i="4"/>
  <c r="H2236" i="4"/>
  <c r="H2237" i="4"/>
  <c r="H2238" i="4"/>
  <c r="H2239" i="4"/>
  <c r="H2240" i="4"/>
  <c r="H2241" i="4"/>
  <c r="H2242" i="4"/>
  <c r="H2243" i="4"/>
  <c r="H2244" i="4"/>
  <c r="H2245" i="4"/>
  <c r="H2246" i="4"/>
  <c r="H2247" i="4"/>
  <c r="H2248" i="4"/>
  <c r="H2249" i="4"/>
  <c r="H2250" i="4"/>
  <c r="H2251" i="4"/>
  <c r="H2252" i="4"/>
  <c r="H2253" i="4"/>
  <c r="H2254" i="4"/>
  <c r="H2255" i="4"/>
  <c r="H2256" i="4"/>
  <c r="H2257" i="4"/>
  <c r="H2258" i="4"/>
  <c r="H2259" i="4"/>
  <c r="H2260" i="4"/>
  <c r="H2261" i="4"/>
  <c r="H2262" i="4"/>
  <c r="H2263" i="4"/>
  <c r="H2264" i="4"/>
  <c r="H2265" i="4"/>
  <c r="H2266" i="4"/>
  <c r="H2267" i="4"/>
  <c r="H2268" i="4"/>
  <c r="H2269" i="4"/>
  <c r="H2270" i="4"/>
  <c r="H2271" i="4"/>
  <c r="H2272" i="4"/>
  <c r="H2273" i="4"/>
  <c r="H2274" i="4"/>
  <c r="H2275" i="4"/>
  <c r="H2276" i="4"/>
  <c r="H2277" i="4"/>
  <c r="H2278" i="4"/>
  <c r="H2279" i="4"/>
  <c r="H2280" i="4"/>
  <c r="H2281" i="4"/>
  <c r="H2282" i="4"/>
  <c r="H2283" i="4"/>
  <c r="H2284" i="4"/>
  <c r="H2285" i="4"/>
  <c r="H2286" i="4"/>
  <c r="H2287" i="4"/>
  <c r="H2288" i="4"/>
  <c r="H2289" i="4"/>
  <c r="H2290" i="4"/>
  <c r="H2291" i="4"/>
  <c r="H2292" i="4"/>
  <c r="H2293" i="4"/>
  <c r="H2294" i="4"/>
  <c r="H2295" i="4"/>
  <c r="H2296" i="4"/>
  <c r="H2297" i="4"/>
  <c r="H2298" i="4"/>
  <c r="H2299" i="4"/>
  <c r="H2300" i="4"/>
  <c r="H2301" i="4"/>
  <c r="H2302" i="4"/>
  <c r="H2303" i="4"/>
  <c r="H2304" i="4"/>
  <c r="H2305" i="4"/>
  <c r="H2306" i="4"/>
  <c r="H2307" i="4"/>
  <c r="H2308" i="4"/>
  <c r="H2309" i="4"/>
  <c r="H2310" i="4"/>
  <c r="H2311" i="4"/>
  <c r="H2312" i="4"/>
  <c r="H2313" i="4"/>
  <c r="H2314" i="4"/>
  <c r="H2315" i="4"/>
  <c r="H2316" i="4"/>
  <c r="H2317" i="4"/>
  <c r="H2318" i="4"/>
  <c r="H2319" i="4"/>
  <c r="H2320" i="4"/>
  <c r="H2321" i="4"/>
  <c r="H2322" i="4"/>
  <c r="H2323" i="4"/>
  <c r="H2324" i="4"/>
  <c r="H2325" i="4"/>
  <c r="H2326" i="4"/>
  <c r="H2327" i="4"/>
  <c r="H2328" i="4"/>
  <c r="H2329" i="4"/>
  <c r="H2330" i="4"/>
  <c r="H2331" i="4"/>
  <c r="H2332" i="4"/>
  <c r="H2333" i="4"/>
  <c r="H2334" i="4"/>
  <c r="H2335" i="4"/>
  <c r="H2336" i="4"/>
  <c r="H2337" i="4"/>
  <c r="H2338" i="4"/>
  <c r="H2339" i="4"/>
  <c r="H2340" i="4"/>
  <c r="H2341" i="4"/>
  <c r="H2342" i="4"/>
  <c r="H2343" i="4"/>
  <c r="H2344" i="4"/>
  <c r="H2345" i="4"/>
  <c r="H2346" i="4"/>
  <c r="H2347" i="4"/>
  <c r="H2348" i="4"/>
  <c r="H2349" i="4"/>
  <c r="H2350" i="4"/>
  <c r="H2351" i="4"/>
  <c r="H2352" i="4"/>
  <c r="H2353" i="4"/>
  <c r="H2354" i="4"/>
  <c r="H2355" i="4"/>
  <c r="H2356" i="4"/>
  <c r="H2357" i="4"/>
  <c r="H2358" i="4"/>
  <c r="H2359" i="4"/>
  <c r="H2360" i="4"/>
  <c r="H2361" i="4"/>
  <c r="H2362" i="4"/>
  <c r="H2363" i="4"/>
  <c r="H2364" i="4"/>
  <c r="H2365" i="4"/>
  <c r="H2366" i="4"/>
  <c r="H2367" i="4"/>
  <c r="H2368" i="4"/>
  <c r="H2369" i="4"/>
  <c r="H2370" i="4"/>
  <c r="H2371" i="4"/>
  <c r="H2372" i="4"/>
  <c r="H2373" i="4"/>
  <c r="H2374" i="4"/>
  <c r="H2375" i="4"/>
  <c r="H2376" i="4"/>
  <c r="H2377" i="4"/>
  <c r="H2378" i="4"/>
  <c r="H2379" i="4"/>
  <c r="H2380" i="4"/>
  <c r="H2381" i="4"/>
  <c r="H2382" i="4"/>
  <c r="H2383" i="4"/>
  <c r="H2384" i="4"/>
  <c r="H2385" i="4"/>
  <c r="H2386" i="4"/>
  <c r="H2387" i="4"/>
  <c r="H2388" i="4"/>
  <c r="H2389" i="4"/>
  <c r="H2390" i="4"/>
  <c r="H2391" i="4"/>
  <c r="H2392" i="4"/>
  <c r="H2393" i="4"/>
  <c r="H2394" i="4"/>
  <c r="H2395" i="4"/>
  <c r="H2396" i="4"/>
  <c r="H2397" i="4"/>
  <c r="H2398" i="4"/>
  <c r="H2399" i="4"/>
  <c r="H2400" i="4"/>
  <c r="H2401" i="4"/>
  <c r="H2402" i="4"/>
  <c r="H2403" i="4"/>
  <c r="H2404" i="4"/>
  <c r="H2405" i="4"/>
  <c r="H2406" i="4"/>
  <c r="H2407" i="4"/>
  <c r="H2408" i="4"/>
  <c r="H2409" i="4"/>
  <c r="H2410" i="4"/>
  <c r="H2411" i="4"/>
  <c r="H2412" i="4"/>
  <c r="H2413" i="4"/>
  <c r="H2414" i="4"/>
  <c r="H2415" i="4"/>
  <c r="H2416" i="4"/>
  <c r="H2417" i="4"/>
  <c r="H2418" i="4"/>
  <c r="H2419" i="4"/>
  <c r="H2420" i="4"/>
  <c r="H2421" i="4"/>
  <c r="H2422" i="4"/>
  <c r="H2423" i="4"/>
  <c r="H2424" i="4"/>
  <c r="H2425" i="4"/>
  <c r="H2426" i="4"/>
  <c r="H2427" i="4"/>
  <c r="H2428" i="4"/>
  <c r="H2429" i="4"/>
  <c r="H2430" i="4"/>
  <c r="H2431" i="4"/>
  <c r="H2432" i="4"/>
  <c r="H2433" i="4"/>
  <c r="H2434" i="4"/>
  <c r="H2435" i="4"/>
  <c r="H2436" i="4"/>
  <c r="H2437" i="4"/>
  <c r="H2438" i="4"/>
  <c r="H2439" i="4"/>
  <c r="H2440" i="4"/>
  <c r="H2441" i="4"/>
  <c r="H2442" i="4"/>
  <c r="H2443" i="4"/>
  <c r="H2444" i="4"/>
  <c r="H2445" i="4"/>
  <c r="H2446" i="4"/>
  <c r="H2447" i="4"/>
  <c r="H2448" i="4"/>
  <c r="H2449" i="4"/>
  <c r="H2450" i="4"/>
  <c r="H2451" i="4"/>
  <c r="H2452" i="4"/>
  <c r="H2453" i="4"/>
  <c r="H2454" i="4"/>
  <c r="H2455" i="4"/>
  <c r="H2456" i="4"/>
  <c r="H2457" i="4"/>
  <c r="H2458" i="4"/>
  <c r="H2459" i="4"/>
  <c r="H2460" i="4"/>
  <c r="H2461" i="4"/>
  <c r="H2462" i="4"/>
  <c r="H2463" i="4"/>
  <c r="H2464" i="4"/>
  <c r="H2465" i="4"/>
  <c r="H2466" i="4"/>
  <c r="H2467" i="4"/>
  <c r="H2468" i="4"/>
  <c r="H2469" i="4"/>
  <c r="H2470" i="4"/>
  <c r="H2471" i="4"/>
  <c r="H2472" i="4"/>
  <c r="H2473" i="4"/>
  <c r="H2474" i="4"/>
  <c r="H2475" i="4"/>
  <c r="H2476" i="4"/>
  <c r="H2477" i="4"/>
  <c r="H2478" i="4"/>
  <c r="H2479" i="4"/>
  <c r="H2480" i="4"/>
  <c r="H2481" i="4"/>
  <c r="H2482" i="4"/>
  <c r="H2483" i="4"/>
  <c r="H2484" i="4"/>
  <c r="H2485" i="4"/>
  <c r="H2486" i="4"/>
  <c r="H2487" i="4"/>
  <c r="H2488" i="4"/>
  <c r="H2489" i="4"/>
  <c r="H2490" i="4"/>
  <c r="H2491" i="4"/>
  <c r="H2492" i="4"/>
  <c r="H2493" i="4"/>
  <c r="H2494" i="4"/>
  <c r="H2495" i="4"/>
  <c r="H2496" i="4"/>
  <c r="H2497" i="4"/>
  <c r="H2498" i="4"/>
  <c r="H2499" i="4"/>
  <c r="H2500" i="4"/>
  <c r="H2501" i="4"/>
  <c r="H2502" i="4"/>
  <c r="H2503" i="4"/>
  <c r="H2504" i="4"/>
  <c r="H2505" i="4"/>
  <c r="H2506" i="4"/>
  <c r="H2507" i="4"/>
  <c r="H2508" i="4"/>
  <c r="H2509" i="4"/>
  <c r="H2510" i="4"/>
  <c r="H2511" i="4"/>
  <c r="H2512" i="4"/>
  <c r="H2513" i="4"/>
  <c r="H2514" i="4"/>
  <c r="H2515" i="4"/>
  <c r="H2516" i="4"/>
  <c r="H2517" i="4"/>
  <c r="H2518" i="4"/>
  <c r="H2519" i="4"/>
  <c r="H2520" i="4"/>
  <c r="H2521" i="4"/>
  <c r="H2522" i="4"/>
  <c r="H2523" i="4"/>
  <c r="H2524" i="4"/>
  <c r="H2525" i="4"/>
  <c r="H2526" i="4"/>
  <c r="H2527" i="4"/>
  <c r="H2528" i="4"/>
  <c r="H2529" i="4"/>
  <c r="H2530" i="4"/>
  <c r="H2531" i="4"/>
  <c r="H2532" i="4"/>
  <c r="H2533" i="4"/>
  <c r="H2534" i="4"/>
  <c r="H2535" i="4"/>
  <c r="H2536" i="4"/>
  <c r="H2537" i="4"/>
  <c r="H2538" i="4"/>
  <c r="H2539" i="4"/>
  <c r="H2540" i="4"/>
  <c r="H2541" i="4"/>
  <c r="H2542" i="4"/>
  <c r="H2543" i="4"/>
  <c r="H2544" i="4"/>
  <c r="H2545" i="4"/>
  <c r="H2546" i="4"/>
  <c r="H2547" i="4"/>
  <c r="H2548" i="4"/>
  <c r="H2549" i="4"/>
  <c r="H2550" i="4"/>
  <c r="H2551" i="4"/>
  <c r="H2552" i="4"/>
  <c r="H2553" i="4"/>
  <c r="H2554" i="4"/>
  <c r="H2555" i="4"/>
  <c r="H2556" i="4"/>
  <c r="H2557" i="4"/>
  <c r="H2558" i="4"/>
  <c r="H2559" i="4"/>
  <c r="H2560" i="4"/>
  <c r="H2561" i="4"/>
  <c r="H2562" i="4"/>
  <c r="H2563" i="4"/>
  <c r="H2564" i="4"/>
  <c r="H2565" i="4"/>
  <c r="H2566" i="4"/>
  <c r="H2567" i="4"/>
  <c r="H2568" i="4"/>
  <c r="H2569" i="4"/>
  <c r="H2570" i="4"/>
  <c r="H2571" i="4"/>
  <c r="H2572" i="4"/>
  <c r="H2573" i="4"/>
  <c r="H2574" i="4"/>
  <c r="H2575" i="4"/>
  <c r="H2576" i="4"/>
  <c r="H2577" i="4"/>
  <c r="H2578" i="4"/>
  <c r="H2579" i="4"/>
  <c r="H2580" i="4"/>
  <c r="H2581" i="4"/>
  <c r="H2582" i="4"/>
  <c r="H2583" i="4"/>
  <c r="H2584" i="4"/>
  <c r="H2585" i="4"/>
  <c r="H2586" i="4"/>
  <c r="H2587" i="4"/>
  <c r="H2588" i="4"/>
  <c r="H2589" i="4"/>
  <c r="H2590" i="4"/>
  <c r="H2591" i="4"/>
  <c r="H2592" i="4"/>
  <c r="H2593" i="4"/>
  <c r="H2594" i="4"/>
  <c r="H2595" i="4"/>
  <c r="H2596" i="4"/>
  <c r="H2597" i="4"/>
  <c r="H2598" i="4"/>
  <c r="H2599" i="4"/>
  <c r="H2600" i="4"/>
  <c r="H2601" i="4"/>
  <c r="H2602" i="4"/>
  <c r="H2603" i="4"/>
  <c r="H2604" i="4"/>
  <c r="H2605" i="4"/>
  <c r="H2606" i="4"/>
  <c r="H2607" i="4"/>
  <c r="H2608" i="4"/>
  <c r="H2609" i="4"/>
  <c r="H2610" i="4"/>
  <c r="H2611" i="4"/>
  <c r="H2612" i="4"/>
  <c r="H2613" i="4"/>
  <c r="H2614" i="4"/>
  <c r="H2615" i="4"/>
  <c r="H2616" i="4"/>
  <c r="H2617" i="4"/>
  <c r="H2618" i="4"/>
  <c r="H2619" i="4"/>
  <c r="H2620" i="4"/>
  <c r="H2621" i="4"/>
  <c r="H2622" i="4"/>
  <c r="H2623" i="4"/>
  <c r="H2624" i="4"/>
  <c r="H2625" i="4"/>
  <c r="H2626" i="4"/>
  <c r="H2627" i="4"/>
  <c r="H2628" i="4"/>
  <c r="H2629" i="4"/>
  <c r="H2630" i="4"/>
  <c r="H2631" i="4"/>
  <c r="H2632" i="4"/>
  <c r="H2633" i="4"/>
  <c r="H2634" i="4"/>
  <c r="H2635" i="4"/>
  <c r="H2636" i="4"/>
  <c r="H2637" i="4"/>
  <c r="H2638" i="4"/>
  <c r="H2639" i="4"/>
  <c r="H2640" i="4"/>
  <c r="H2641" i="4"/>
  <c r="H2642" i="4"/>
  <c r="H2643" i="4"/>
  <c r="H2644" i="4"/>
  <c r="H2645" i="4"/>
  <c r="H2646" i="4"/>
  <c r="H2647" i="4"/>
  <c r="H2648" i="4"/>
  <c r="H2649" i="4"/>
  <c r="H2650" i="4"/>
  <c r="H2651" i="4"/>
  <c r="H2652" i="4"/>
  <c r="H2653" i="4"/>
  <c r="H2654" i="4"/>
  <c r="H2655" i="4"/>
  <c r="H2656" i="4"/>
  <c r="H2657" i="4"/>
  <c r="H2658" i="4"/>
  <c r="H2659" i="4"/>
  <c r="H2660" i="4"/>
  <c r="H2661" i="4"/>
  <c r="H2662" i="4"/>
  <c r="H2663" i="4"/>
  <c r="H2664" i="4"/>
  <c r="H2665" i="4"/>
  <c r="H2666" i="4"/>
  <c r="H2667" i="4"/>
  <c r="H2668" i="4"/>
  <c r="H2669" i="4"/>
  <c r="H2670" i="4"/>
  <c r="H2671" i="4"/>
  <c r="H2672" i="4"/>
  <c r="H2673" i="4"/>
  <c r="H2674" i="4"/>
  <c r="H2675" i="4"/>
  <c r="H2676" i="4"/>
  <c r="H2677" i="4"/>
  <c r="H2678" i="4"/>
  <c r="H2679" i="4"/>
  <c r="H2680" i="4"/>
  <c r="H2681" i="4"/>
  <c r="H2682" i="4"/>
  <c r="H2683" i="4"/>
  <c r="H2684" i="4"/>
  <c r="H2685" i="4"/>
  <c r="H2686" i="4"/>
  <c r="H2687" i="4"/>
  <c r="H2688" i="4"/>
  <c r="H2689" i="4"/>
  <c r="H2690" i="4"/>
  <c r="H2691" i="4"/>
  <c r="H2692" i="4"/>
  <c r="H2693" i="4"/>
  <c r="H2694" i="4"/>
  <c r="H2695" i="4"/>
  <c r="H2696" i="4"/>
  <c r="H2697" i="4"/>
  <c r="H2698" i="4"/>
  <c r="H2699" i="4"/>
  <c r="H2700" i="4"/>
  <c r="H2701" i="4"/>
  <c r="H2702" i="4"/>
  <c r="H2703" i="4"/>
  <c r="H2704" i="4"/>
  <c r="H2705" i="4"/>
  <c r="H2706" i="4"/>
  <c r="H2707" i="4"/>
  <c r="H2708" i="4"/>
  <c r="H2709" i="4"/>
  <c r="H2710" i="4"/>
  <c r="H2711" i="4"/>
  <c r="H2712" i="4"/>
  <c r="H2713" i="4"/>
  <c r="H2714" i="4"/>
  <c r="H2715" i="4"/>
  <c r="H2716" i="4"/>
  <c r="H2717" i="4"/>
  <c r="H2718" i="4"/>
  <c r="H2719" i="4"/>
  <c r="H2720" i="4"/>
  <c r="H2721" i="4"/>
  <c r="H2722" i="4"/>
  <c r="H2723" i="4"/>
  <c r="H2724" i="4"/>
  <c r="H2725" i="4"/>
  <c r="H2726" i="4"/>
  <c r="H2727" i="4"/>
  <c r="H2728" i="4"/>
  <c r="H2729" i="4"/>
  <c r="H2730" i="4"/>
  <c r="H2731" i="4"/>
  <c r="H2732" i="4"/>
  <c r="H2733" i="4"/>
  <c r="H2734" i="4"/>
  <c r="H2735" i="4"/>
  <c r="H2736" i="4"/>
  <c r="H2737" i="4"/>
  <c r="H2738" i="4"/>
  <c r="H2739" i="4"/>
  <c r="H2740" i="4"/>
  <c r="H2741" i="4"/>
  <c r="H2742" i="4"/>
  <c r="H2743" i="4"/>
  <c r="H2744" i="4"/>
  <c r="H2745" i="4"/>
  <c r="H2746" i="4"/>
  <c r="H2747" i="4"/>
  <c r="H2748" i="4"/>
  <c r="H2749" i="4"/>
  <c r="H2750" i="4"/>
  <c r="H2751" i="4"/>
  <c r="H2752" i="4"/>
  <c r="H2753" i="4"/>
  <c r="H2754" i="4"/>
  <c r="H2755" i="4"/>
  <c r="H2756" i="4"/>
  <c r="H2757" i="4"/>
  <c r="H2758" i="4"/>
  <c r="H2759" i="4"/>
  <c r="H2760" i="4"/>
  <c r="H2761" i="4"/>
  <c r="H2762" i="4"/>
  <c r="H2763" i="4"/>
  <c r="H2764" i="4"/>
  <c r="H2765" i="4"/>
  <c r="H2766" i="4"/>
  <c r="H2767" i="4"/>
  <c r="H2768" i="4"/>
  <c r="H2769" i="4"/>
  <c r="H2770" i="4"/>
  <c r="H2771" i="4"/>
  <c r="H2772" i="4"/>
  <c r="H2773" i="4"/>
  <c r="H2774" i="4"/>
  <c r="H2775" i="4"/>
  <c r="H2776" i="4"/>
  <c r="H2777" i="4"/>
  <c r="H2778" i="4"/>
  <c r="H2779" i="4"/>
  <c r="H2780" i="4"/>
  <c r="H2781" i="4"/>
  <c r="H2782" i="4"/>
  <c r="H2783" i="4"/>
  <c r="H2784" i="4"/>
  <c r="H2785" i="4"/>
  <c r="H2786" i="4"/>
  <c r="H2787" i="4"/>
  <c r="H2788" i="4"/>
  <c r="H2789" i="4"/>
  <c r="H2790" i="4"/>
  <c r="H2791" i="4"/>
  <c r="H2792" i="4"/>
  <c r="H2793" i="4"/>
  <c r="H2794" i="4"/>
  <c r="H2795" i="4"/>
  <c r="H2796" i="4"/>
  <c r="H2797" i="4"/>
  <c r="H2798" i="4"/>
  <c r="H2799" i="4"/>
  <c r="H2800" i="4"/>
  <c r="H2801" i="4"/>
  <c r="H2802" i="4"/>
  <c r="H2803" i="4"/>
  <c r="H2804" i="4"/>
  <c r="H2805" i="4"/>
  <c r="H2806" i="4"/>
  <c r="H2807" i="4"/>
  <c r="H2808" i="4"/>
  <c r="H2809" i="4"/>
  <c r="H2810" i="4"/>
  <c r="H2811" i="4"/>
  <c r="H2812" i="4"/>
  <c r="H2813" i="4"/>
  <c r="H2814" i="4"/>
  <c r="H2815" i="4"/>
  <c r="H2816" i="4"/>
  <c r="H2817" i="4"/>
  <c r="H2818" i="4"/>
  <c r="H2819" i="4"/>
  <c r="H2820" i="4"/>
  <c r="H2821" i="4"/>
  <c r="H2822" i="4"/>
  <c r="H2823" i="4"/>
  <c r="H2824" i="4"/>
  <c r="H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1002" i="4"/>
  <c r="G1003" i="4"/>
  <c r="G1004" i="4"/>
  <c r="G1005" i="4"/>
  <c r="G1006" i="4"/>
  <c r="G1007" i="4"/>
  <c r="G1008" i="4"/>
  <c r="G1009" i="4"/>
  <c r="G1010" i="4"/>
  <c r="G1011" i="4"/>
  <c r="G1012" i="4"/>
  <c r="G1013" i="4"/>
  <c r="G1014" i="4"/>
  <c r="G1015" i="4"/>
  <c r="G1016" i="4"/>
  <c r="G1017" i="4"/>
  <c r="G1018" i="4"/>
  <c r="G1019" i="4"/>
  <c r="G1020" i="4"/>
  <c r="G1021" i="4"/>
  <c r="G1022" i="4"/>
  <c r="G1023" i="4"/>
  <c r="G1024" i="4"/>
  <c r="G1025" i="4"/>
  <c r="G1026" i="4"/>
  <c r="G1027" i="4"/>
  <c r="G1028" i="4"/>
  <c r="G1029" i="4"/>
  <c r="G1030" i="4"/>
  <c r="G1031" i="4"/>
  <c r="G1032" i="4"/>
  <c r="G1033" i="4"/>
  <c r="G1034" i="4"/>
  <c r="G1035" i="4"/>
  <c r="G1036" i="4"/>
  <c r="G1037" i="4"/>
  <c r="G1038" i="4"/>
  <c r="G1039" i="4"/>
  <c r="G1040" i="4"/>
  <c r="G1041" i="4"/>
  <c r="G1042" i="4"/>
  <c r="G1043" i="4"/>
  <c r="G1044" i="4"/>
  <c r="G1045" i="4"/>
  <c r="G1046" i="4"/>
  <c r="G1047" i="4"/>
  <c r="G1048" i="4"/>
  <c r="G1049" i="4"/>
  <c r="G1050" i="4"/>
  <c r="G1051" i="4"/>
  <c r="G1052" i="4"/>
  <c r="G1053" i="4"/>
  <c r="G1054" i="4"/>
  <c r="G1055" i="4"/>
  <c r="G1056" i="4"/>
  <c r="G1057" i="4"/>
  <c r="G1058" i="4"/>
  <c r="G1059" i="4"/>
  <c r="G1060" i="4"/>
  <c r="G1061" i="4"/>
  <c r="G1062" i="4"/>
  <c r="G1063" i="4"/>
  <c r="G1064" i="4"/>
  <c r="G1065" i="4"/>
  <c r="G1066" i="4"/>
  <c r="G1067" i="4"/>
  <c r="G1068" i="4"/>
  <c r="G1069" i="4"/>
  <c r="G1070" i="4"/>
  <c r="G1071" i="4"/>
  <c r="G1072" i="4"/>
  <c r="G1073" i="4"/>
  <c r="G1074" i="4"/>
  <c r="G1075" i="4"/>
  <c r="G1076" i="4"/>
  <c r="G1077" i="4"/>
  <c r="G1078" i="4"/>
  <c r="G1079" i="4"/>
  <c r="G1080" i="4"/>
  <c r="G1081" i="4"/>
  <c r="G1082" i="4"/>
  <c r="G1083" i="4"/>
  <c r="G1084" i="4"/>
  <c r="G1085" i="4"/>
  <c r="G1086" i="4"/>
  <c r="G1087" i="4"/>
  <c r="G1088" i="4"/>
  <c r="G1089" i="4"/>
  <c r="G1090" i="4"/>
  <c r="G1091" i="4"/>
  <c r="G1092" i="4"/>
  <c r="G1093" i="4"/>
  <c r="G1094" i="4"/>
  <c r="G1095" i="4"/>
  <c r="G1096" i="4"/>
  <c r="G1097" i="4"/>
  <c r="G1098" i="4"/>
  <c r="G1099" i="4"/>
  <c r="G1100" i="4"/>
  <c r="G1101" i="4"/>
  <c r="G1102" i="4"/>
  <c r="G1103" i="4"/>
  <c r="G1104" i="4"/>
  <c r="G1105" i="4"/>
  <c r="G1106" i="4"/>
  <c r="G1107" i="4"/>
  <c r="G1108" i="4"/>
  <c r="G1109" i="4"/>
  <c r="G1110" i="4"/>
  <c r="G1111" i="4"/>
  <c r="G1112" i="4"/>
  <c r="G1113" i="4"/>
  <c r="G1114" i="4"/>
  <c r="G1115" i="4"/>
  <c r="G1116" i="4"/>
  <c r="G1117" i="4"/>
  <c r="G1118" i="4"/>
  <c r="G1119" i="4"/>
  <c r="G1120" i="4"/>
  <c r="G1121" i="4"/>
  <c r="G1122" i="4"/>
  <c r="G1123" i="4"/>
  <c r="G1124" i="4"/>
  <c r="G1125" i="4"/>
  <c r="G1126" i="4"/>
  <c r="G1127" i="4"/>
  <c r="G1128" i="4"/>
  <c r="G1129" i="4"/>
  <c r="G1130" i="4"/>
  <c r="G1131" i="4"/>
  <c r="G1132" i="4"/>
  <c r="G1133" i="4"/>
  <c r="G1134" i="4"/>
  <c r="G1135" i="4"/>
  <c r="G1136" i="4"/>
  <c r="G1137" i="4"/>
  <c r="G1138" i="4"/>
  <c r="G1139" i="4"/>
  <c r="G1140" i="4"/>
  <c r="G1141" i="4"/>
  <c r="G1142" i="4"/>
  <c r="G1143" i="4"/>
  <c r="G1144" i="4"/>
  <c r="G1145" i="4"/>
  <c r="G1146" i="4"/>
  <c r="G1147" i="4"/>
  <c r="G1148" i="4"/>
  <c r="G1149" i="4"/>
  <c r="G1150" i="4"/>
  <c r="G1151" i="4"/>
  <c r="G1152" i="4"/>
  <c r="G1153" i="4"/>
  <c r="G1154" i="4"/>
  <c r="G1155" i="4"/>
  <c r="G1156" i="4"/>
  <c r="G1157" i="4"/>
  <c r="G1158" i="4"/>
  <c r="G1159" i="4"/>
  <c r="G1160" i="4"/>
  <c r="G1161" i="4"/>
  <c r="G1162" i="4"/>
  <c r="G1163" i="4"/>
  <c r="G1164" i="4"/>
  <c r="G1165" i="4"/>
  <c r="G1166" i="4"/>
  <c r="G1167" i="4"/>
  <c r="G1168" i="4"/>
  <c r="G1169" i="4"/>
  <c r="G1170" i="4"/>
  <c r="G1171" i="4"/>
  <c r="G1172" i="4"/>
  <c r="G1173" i="4"/>
  <c r="G1174" i="4"/>
  <c r="G1175" i="4"/>
  <c r="G1176" i="4"/>
  <c r="G1177" i="4"/>
  <c r="G1178" i="4"/>
  <c r="G1179" i="4"/>
  <c r="G1180" i="4"/>
  <c r="G1181" i="4"/>
  <c r="G1182" i="4"/>
  <c r="G1183" i="4"/>
  <c r="G1184" i="4"/>
  <c r="G1185" i="4"/>
  <c r="G1186" i="4"/>
  <c r="G1187" i="4"/>
  <c r="G1188" i="4"/>
  <c r="G1189" i="4"/>
  <c r="G1190" i="4"/>
  <c r="G1191" i="4"/>
  <c r="G1192" i="4"/>
  <c r="G1193" i="4"/>
  <c r="G1194" i="4"/>
  <c r="G1195" i="4"/>
  <c r="G1196" i="4"/>
  <c r="G1197" i="4"/>
  <c r="G1198" i="4"/>
  <c r="G1199" i="4"/>
  <c r="G1200" i="4"/>
  <c r="G1201" i="4"/>
  <c r="G1202" i="4"/>
  <c r="G1203" i="4"/>
  <c r="G1204" i="4"/>
  <c r="G1205" i="4"/>
  <c r="G1206" i="4"/>
  <c r="G1207" i="4"/>
  <c r="G1208" i="4"/>
  <c r="G1209" i="4"/>
  <c r="G1210" i="4"/>
  <c r="G1211" i="4"/>
  <c r="G1212" i="4"/>
  <c r="G1213" i="4"/>
  <c r="G1214" i="4"/>
  <c r="G1215" i="4"/>
  <c r="G1216" i="4"/>
  <c r="G1217" i="4"/>
  <c r="G1218" i="4"/>
  <c r="G1219" i="4"/>
  <c r="G1220" i="4"/>
  <c r="G1221" i="4"/>
  <c r="G1222" i="4"/>
  <c r="G1223" i="4"/>
  <c r="G1224" i="4"/>
  <c r="G1225" i="4"/>
  <c r="G1226" i="4"/>
  <c r="G1227" i="4"/>
  <c r="G1228" i="4"/>
  <c r="G1229" i="4"/>
  <c r="G1230" i="4"/>
  <c r="G1231" i="4"/>
  <c r="G1232" i="4"/>
  <c r="G1233" i="4"/>
  <c r="G1234" i="4"/>
  <c r="G1235" i="4"/>
  <c r="G1236" i="4"/>
  <c r="G1237" i="4"/>
  <c r="G1238" i="4"/>
  <c r="G1239" i="4"/>
  <c r="G1240" i="4"/>
  <c r="G1241" i="4"/>
  <c r="G1242" i="4"/>
  <c r="G1243" i="4"/>
  <c r="G1244" i="4"/>
  <c r="G1245" i="4"/>
  <c r="G1246" i="4"/>
  <c r="G1247" i="4"/>
  <c r="G1248" i="4"/>
  <c r="G1249" i="4"/>
  <c r="G1250" i="4"/>
  <c r="G1251" i="4"/>
  <c r="G1252" i="4"/>
  <c r="G1253" i="4"/>
  <c r="G1254" i="4"/>
  <c r="G1255" i="4"/>
  <c r="G1256" i="4"/>
  <c r="G1257" i="4"/>
  <c r="G1258" i="4"/>
  <c r="G1259" i="4"/>
  <c r="G1260" i="4"/>
  <c r="G1261" i="4"/>
  <c r="G1262" i="4"/>
  <c r="G1263" i="4"/>
  <c r="G1264" i="4"/>
  <c r="G1265" i="4"/>
  <c r="G1266" i="4"/>
  <c r="G1267" i="4"/>
  <c r="G1268" i="4"/>
  <c r="G1269" i="4"/>
  <c r="G1270" i="4"/>
  <c r="G1271" i="4"/>
  <c r="G1272" i="4"/>
  <c r="G1273" i="4"/>
  <c r="G1274" i="4"/>
  <c r="G1275" i="4"/>
  <c r="G1276" i="4"/>
  <c r="G1277" i="4"/>
  <c r="G1278" i="4"/>
  <c r="G1279" i="4"/>
  <c r="G1280" i="4"/>
  <c r="G1281" i="4"/>
  <c r="G1282" i="4"/>
  <c r="G1283" i="4"/>
  <c r="G1284" i="4"/>
  <c r="G1285" i="4"/>
  <c r="G1286" i="4"/>
  <c r="G1287" i="4"/>
  <c r="G1288" i="4"/>
  <c r="G1289" i="4"/>
  <c r="G1290" i="4"/>
  <c r="G1291" i="4"/>
  <c r="G1292" i="4"/>
  <c r="G1293" i="4"/>
  <c r="G1294" i="4"/>
  <c r="G1295" i="4"/>
  <c r="G1296" i="4"/>
  <c r="G1297" i="4"/>
  <c r="G1298" i="4"/>
  <c r="G1299" i="4"/>
  <c r="G1300" i="4"/>
  <c r="G1301" i="4"/>
  <c r="G1302" i="4"/>
  <c r="G1303" i="4"/>
  <c r="G1304" i="4"/>
  <c r="G1305" i="4"/>
  <c r="G1306" i="4"/>
  <c r="G1307" i="4"/>
  <c r="G1308" i="4"/>
  <c r="G1309" i="4"/>
  <c r="G1310" i="4"/>
  <c r="G1311" i="4"/>
  <c r="G1312" i="4"/>
  <c r="G1313" i="4"/>
  <c r="G1314" i="4"/>
  <c r="G1315" i="4"/>
  <c r="G1316" i="4"/>
  <c r="G1317" i="4"/>
  <c r="G1318" i="4"/>
  <c r="G1319" i="4"/>
  <c r="G1320" i="4"/>
  <c r="G1321" i="4"/>
  <c r="G1322" i="4"/>
  <c r="G1323" i="4"/>
  <c r="G1324" i="4"/>
  <c r="G1325" i="4"/>
  <c r="G1326" i="4"/>
  <c r="G1327" i="4"/>
  <c r="G1328" i="4"/>
  <c r="G1329" i="4"/>
  <c r="G1330" i="4"/>
  <c r="G1331" i="4"/>
  <c r="G1332" i="4"/>
  <c r="G1333" i="4"/>
  <c r="G1334" i="4"/>
  <c r="G1335" i="4"/>
  <c r="G1336" i="4"/>
  <c r="G1337" i="4"/>
  <c r="G1338" i="4"/>
  <c r="G1339" i="4"/>
  <c r="G1340" i="4"/>
  <c r="G1341" i="4"/>
  <c r="G1342" i="4"/>
  <c r="G1343" i="4"/>
  <c r="G1344" i="4"/>
  <c r="G1345" i="4"/>
  <c r="G1346" i="4"/>
  <c r="G1347" i="4"/>
  <c r="G1348" i="4"/>
  <c r="G1349" i="4"/>
  <c r="G1350" i="4"/>
  <c r="G1351" i="4"/>
  <c r="G1352" i="4"/>
  <c r="G1353" i="4"/>
  <c r="G1354" i="4"/>
  <c r="G1355" i="4"/>
  <c r="G1356" i="4"/>
  <c r="G1357" i="4"/>
  <c r="G1358" i="4"/>
  <c r="G1359" i="4"/>
  <c r="G1360" i="4"/>
  <c r="G1361" i="4"/>
  <c r="G1362" i="4"/>
  <c r="G1363" i="4"/>
  <c r="G1364" i="4"/>
  <c r="G1365" i="4"/>
  <c r="G1366" i="4"/>
  <c r="G1367" i="4"/>
  <c r="G1368" i="4"/>
  <c r="G1369" i="4"/>
  <c r="G1370" i="4"/>
  <c r="G1371" i="4"/>
  <c r="G1372" i="4"/>
  <c r="G1373" i="4"/>
  <c r="G1374" i="4"/>
  <c r="G1375" i="4"/>
  <c r="G1376" i="4"/>
  <c r="G1377" i="4"/>
  <c r="G1378" i="4"/>
  <c r="G1379" i="4"/>
  <c r="G1380" i="4"/>
  <c r="G1381" i="4"/>
  <c r="G1382" i="4"/>
  <c r="G1383" i="4"/>
  <c r="G1384" i="4"/>
  <c r="G1385" i="4"/>
  <c r="G1386" i="4"/>
  <c r="G1387" i="4"/>
  <c r="G1388" i="4"/>
  <c r="G1389" i="4"/>
  <c r="G1390" i="4"/>
  <c r="G1391" i="4"/>
  <c r="G1392" i="4"/>
  <c r="G1393" i="4"/>
  <c r="G1394" i="4"/>
  <c r="G1395" i="4"/>
  <c r="G1396" i="4"/>
  <c r="G1397" i="4"/>
  <c r="G1398" i="4"/>
  <c r="G1399" i="4"/>
  <c r="G1400" i="4"/>
  <c r="G1401" i="4"/>
  <c r="G1402" i="4"/>
  <c r="G1403" i="4"/>
  <c r="G1404" i="4"/>
  <c r="G1405" i="4"/>
  <c r="G1406" i="4"/>
  <c r="G1407" i="4"/>
  <c r="G1408" i="4"/>
  <c r="G1409" i="4"/>
  <c r="G1410" i="4"/>
  <c r="G1411" i="4"/>
  <c r="G1412" i="4"/>
  <c r="G1413" i="4"/>
  <c r="G1414" i="4"/>
  <c r="G1415" i="4"/>
  <c r="G1416" i="4"/>
  <c r="G1417" i="4"/>
  <c r="G1418" i="4"/>
  <c r="G1419" i="4"/>
  <c r="G1420" i="4"/>
  <c r="G1421" i="4"/>
  <c r="G1422" i="4"/>
  <c r="G1423" i="4"/>
  <c r="G1424" i="4"/>
  <c r="G1425" i="4"/>
  <c r="G1426" i="4"/>
  <c r="G1427" i="4"/>
  <c r="G1428" i="4"/>
  <c r="G1429" i="4"/>
  <c r="G1430" i="4"/>
  <c r="G1431" i="4"/>
  <c r="G1432" i="4"/>
  <c r="G1433" i="4"/>
  <c r="G1434" i="4"/>
  <c r="G1435" i="4"/>
  <c r="G1436" i="4"/>
  <c r="G1437" i="4"/>
  <c r="G1438" i="4"/>
  <c r="G1439" i="4"/>
  <c r="G1440" i="4"/>
  <c r="G1441" i="4"/>
  <c r="G1442" i="4"/>
  <c r="G1443" i="4"/>
  <c r="G1444" i="4"/>
  <c r="G1445" i="4"/>
  <c r="G1446" i="4"/>
  <c r="G1447" i="4"/>
  <c r="G1448" i="4"/>
  <c r="G1449" i="4"/>
  <c r="G1450" i="4"/>
  <c r="G1451" i="4"/>
  <c r="G1452" i="4"/>
  <c r="G1453" i="4"/>
  <c r="G1454" i="4"/>
  <c r="G1455" i="4"/>
  <c r="G1456" i="4"/>
  <c r="G1457" i="4"/>
  <c r="G1458" i="4"/>
  <c r="G1459" i="4"/>
  <c r="G1460" i="4"/>
  <c r="G1461" i="4"/>
  <c r="G1462" i="4"/>
  <c r="G1463" i="4"/>
  <c r="G1464" i="4"/>
  <c r="G1465" i="4"/>
  <c r="G1466" i="4"/>
  <c r="G1467" i="4"/>
  <c r="G1468" i="4"/>
  <c r="G1469" i="4"/>
  <c r="G1470" i="4"/>
  <c r="G1471" i="4"/>
  <c r="G1472" i="4"/>
  <c r="G1473" i="4"/>
  <c r="G1474" i="4"/>
  <c r="G1475" i="4"/>
  <c r="G1476" i="4"/>
  <c r="G1477" i="4"/>
  <c r="G1478" i="4"/>
  <c r="G1479" i="4"/>
  <c r="G1480" i="4"/>
  <c r="G1481" i="4"/>
  <c r="G1482" i="4"/>
  <c r="G1483" i="4"/>
  <c r="G1484" i="4"/>
  <c r="G1485" i="4"/>
  <c r="G1486" i="4"/>
  <c r="G1487" i="4"/>
  <c r="G1488" i="4"/>
  <c r="G1489" i="4"/>
  <c r="G1490" i="4"/>
  <c r="G1491" i="4"/>
  <c r="G1492" i="4"/>
  <c r="G1493" i="4"/>
  <c r="G1494" i="4"/>
  <c r="G1495" i="4"/>
  <c r="G1496" i="4"/>
  <c r="G1497" i="4"/>
  <c r="G1498" i="4"/>
  <c r="G1499" i="4"/>
  <c r="G1500" i="4"/>
  <c r="G1501" i="4"/>
  <c r="G1502" i="4"/>
  <c r="G1503" i="4"/>
  <c r="G1504" i="4"/>
  <c r="G1505" i="4"/>
  <c r="G1506" i="4"/>
  <c r="G1507" i="4"/>
  <c r="G1508" i="4"/>
  <c r="G1509" i="4"/>
  <c r="G1510" i="4"/>
  <c r="G1511" i="4"/>
  <c r="G1512" i="4"/>
  <c r="G1513" i="4"/>
  <c r="G1514" i="4"/>
  <c r="G1515" i="4"/>
  <c r="G1516" i="4"/>
  <c r="G1517" i="4"/>
  <c r="G1518" i="4"/>
  <c r="G1519" i="4"/>
  <c r="G1520" i="4"/>
  <c r="G1521" i="4"/>
  <c r="G1522" i="4"/>
  <c r="G1523" i="4"/>
  <c r="G1524" i="4"/>
  <c r="G1525" i="4"/>
  <c r="G1526" i="4"/>
  <c r="G1527" i="4"/>
  <c r="G1528" i="4"/>
  <c r="G1529" i="4"/>
  <c r="G1530" i="4"/>
  <c r="G1531" i="4"/>
  <c r="G1532" i="4"/>
  <c r="G1533" i="4"/>
  <c r="G1534" i="4"/>
  <c r="G1535" i="4"/>
  <c r="G1536" i="4"/>
  <c r="G1537" i="4"/>
  <c r="G1538" i="4"/>
  <c r="G1539" i="4"/>
  <c r="G1540" i="4"/>
  <c r="G1541" i="4"/>
  <c r="G1542" i="4"/>
  <c r="G1543" i="4"/>
  <c r="G1544" i="4"/>
  <c r="G1545" i="4"/>
  <c r="G1546" i="4"/>
  <c r="G1547" i="4"/>
  <c r="G1548" i="4"/>
  <c r="G1549" i="4"/>
  <c r="G1550" i="4"/>
  <c r="G1551" i="4"/>
  <c r="G1552" i="4"/>
  <c r="G1553" i="4"/>
  <c r="G1554" i="4"/>
  <c r="G1555" i="4"/>
  <c r="G1556" i="4"/>
  <c r="G1557" i="4"/>
  <c r="G1558" i="4"/>
  <c r="G1559" i="4"/>
  <c r="G1560" i="4"/>
  <c r="G1561" i="4"/>
  <c r="G1562" i="4"/>
  <c r="G1563" i="4"/>
  <c r="G1564" i="4"/>
  <c r="G1565" i="4"/>
  <c r="G1566" i="4"/>
  <c r="G1567" i="4"/>
  <c r="G1568" i="4"/>
  <c r="G1569" i="4"/>
  <c r="G1570" i="4"/>
  <c r="G1571" i="4"/>
  <c r="G1572" i="4"/>
  <c r="G1573" i="4"/>
  <c r="G1574" i="4"/>
  <c r="G1575" i="4"/>
  <c r="G1576" i="4"/>
  <c r="G1577" i="4"/>
  <c r="G1578" i="4"/>
  <c r="G1579" i="4"/>
  <c r="G1580" i="4"/>
  <c r="G1581" i="4"/>
  <c r="G1582" i="4"/>
  <c r="G1583" i="4"/>
  <c r="G1584" i="4"/>
  <c r="G1585" i="4"/>
  <c r="G1586" i="4"/>
  <c r="G1587" i="4"/>
  <c r="G1588" i="4"/>
  <c r="G1589" i="4"/>
  <c r="G1590" i="4"/>
  <c r="G1591" i="4"/>
  <c r="G1592" i="4"/>
  <c r="G1593" i="4"/>
  <c r="G1594" i="4"/>
  <c r="G1595" i="4"/>
  <c r="G1596" i="4"/>
  <c r="G1597" i="4"/>
  <c r="G1598" i="4"/>
  <c r="G1599" i="4"/>
  <c r="G1600" i="4"/>
  <c r="G1601" i="4"/>
  <c r="G1602" i="4"/>
  <c r="G1603" i="4"/>
  <c r="G1604" i="4"/>
  <c r="G1605" i="4"/>
  <c r="G1606" i="4"/>
  <c r="G1607" i="4"/>
  <c r="G1608" i="4"/>
  <c r="G1609" i="4"/>
  <c r="G1610" i="4"/>
  <c r="G1611" i="4"/>
  <c r="G1612" i="4"/>
  <c r="G1613" i="4"/>
  <c r="G1614" i="4"/>
  <c r="G1615" i="4"/>
  <c r="G1616" i="4"/>
  <c r="G1617" i="4"/>
  <c r="G1618" i="4"/>
  <c r="G1619" i="4"/>
  <c r="G1620" i="4"/>
  <c r="G1621" i="4"/>
  <c r="G1622" i="4"/>
  <c r="G1623" i="4"/>
  <c r="G1624" i="4"/>
  <c r="G1625" i="4"/>
  <c r="G1626" i="4"/>
  <c r="G1627" i="4"/>
  <c r="G1628" i="4"/>
  <c r="G1629" i="4"/>
  <c r="G1630" i="4"/>
  <c r="G1631" i="4"/>
  <c r="G1632" i="4"/>
  <c r="G1633" i="4"/>
  <c r="G1634" i="4"/>
  <c r="G1635" i="4"/>
  <c r="G1636" i="4"/>
  <c r="G1637" i="4"/>
  <c r="G1638" i="4"/>
  <c r="G1639" i="4"/>
  <c r="G1640" i="4"/>
  <c r="G1641" i="4"/>
  <c r="G1642" i="4"/>
  <c r="G1643" i="4"/>
  <c r="G1644" i="4"/>
  <c r="G1645" i="4"/>
  <c r="G1646" i="4"/>
  <c r="G1647" i="4"/>
  <c r="G1648" i="4"/>
  <c r="G1649" i="4"/>
  <c r="G1650" i="4"/>
  <c r="G1651" i="4"/>
  <c r="G1652" i="4"/>
  <c r="G1653" i="4"/>
  <c r="G1654" i="4"/>
  <c r="G1655" i="4"/>
  <c r="G1656" i="4"/>
  <c r="G1657" i="4"/>
  <c r="G1658" i="4"/>
  <c r="G1659" i="4"/>
  <c r="G1660" i="4"/>
  <c r="G1661" i="4"/>
  <c r="G1662" i="4"/>
  <c r="G1663" i="4"/>
  <c r="G1664" i="4"/>
  <c r="G1665" i="4"/>
  <c r="G1666" i="4"/>
  <c r="G1667" i="4"/>
  <c r="G1668" i="4"/>
  <c r="G1669" i="4"/>
  <c r="G1670" i="4"/>
  <c r="G1671" i="4"/>
  <c r="G1672" i="4"/>
  <c r="G1673" i="4"/>
  <c r="G1674" i="4"/>
  <c r="G1675" i="4"/>
  <c r="G1676" i="4"/>
  <c r="G1677" i="4"/>
  <c r="G1678" i="4"/>
  <c r="G1679" i="4"/>
  <c r="G1680" i="4"/>
  <c r="G1681" i="4"/>
  <c r="G1682" i="4"/>
  <c r="G1683" i="4"/>
  <c r="G1684" i="4"/>
  <c r="G1685" i="4"/>
  <c r="G1686" i="4"/>
  <c r="G1687" i="4"/>
  <c r="G1688" i="4"/>
  <c r="G1689" i="4"/>
  <c r="G1690" i="4"/>
  <c r="G1691" i="4"/>
  <c r="G1692" i="4"/>
  <c r="G1693" i="4"/>
  <c r="G1694" i="4"/>
  <c r="G1695" i="4"/>
  <c r="G1696" i="4"/>
  <c r="G1697" i="4"/>
  <c r="G1698" i="4"/>
  <c r="G1699" i="4"/>
  <c r="G1700" i="4"/>
  <c r="G1701" i="4"/>
  <c r="G1702" i="4"/>
  <c r="G1703" i="4"/>
  <c r="G1704" i="4"/>
  <c r="G1705" i="4"/>
  <c r="G1706" i="4"/>
  <c r="G1707" i="4"/>
  <c r="G1708" i="4"/>
  <c r="G1709" i="4"/>
  <c r="G1710" i="4"/>
  <c r="G1711" i="4"/>
  <c r="G1712" i="4"/>
  <c r="G1713" i="4"/>
  <c r="G1714" i="4"/>
  <c r="G1715" i="4"/>
  <c r="G1716" i="4"/>
  <c r="G1717" i="4"/>
  <c r="G1718" i="4"/>
  <c r="G1719" i="4"/>
  <c r="G1720" i="4"/>
  <c r="G1721" i="4"/>
  <c r="G1722" i="4"/>
  <c r="G1723" i="4"/>
  <c r="G1724" i="4"/>
  <c r="G1725" i="4"/>
  <c r="G1726" i="4"/>
  <c r="G1727" i="4"/>
  <c r="G1728" i="4"/>
  <c r="G1729" i="4"/>
  <c r="G1730" i="4"/>
  <c r="G1731" i="4"/>
  <c r="G1732" i="4"/>
  <c r="G1733" i="4"/>
  <c r="G1734" i="4"/>
  <c r="G1735" i="4"/>
  <c r="G1736" i="4"/>
  <c r="G1737" i="4"/>
  <c r="G1738" i="4"/>
  <c r="G1739" i="4"/>
  <c r="G1740" i="4"/>
  <c r="G1741" i="4"/>
  <c r="G1742" i="4"/>
  <c r="G1743" i="4"/>
  <c r="G1744" i="4"/>
  <c r="G1745" i="4"/>
  <c r="G1746" i="4"/>
  <c r="G1747" i="4"/>
  <c r="G1748" i="4"/>
  <c r="G1749" i="4"/>
  <c r="G1750" i="4"/>
  <c r="G1751" i="4"/>
  <c r="G1752" i="4"/>
  <c r="G1753" i="4"/>
  <c r="G1754" i="4"/>
  <c r="G1755" i="4"/>
  <c r="G1756" i="4"/>
  <c r="G1757" i="4"/>
  <c r="G1758" i="4"/>
  <c r="G1759" i="4"/>
  <c r="G1760" i="4"/>
  <c r="G1761" i="4"/>
  <c r="G1762" i="4"/>
  <c r="G1763" i="4"/>
  <c r="G1764" i="4"/>
  <c r="G1765" i="4"/>
  <c r="G1766" i="4"/>
  <c r="G1767" i="4"/>
  <c r="G1768" i="4"/>
  <c r="G1769" i="4"/>
  <c r="G1770" i="4"/>
  <c r="G1771" i="4"/>
  <c r="G1772" i="4"/>
  <c r="G1773" i="4"/>
  <c r="G1774" i="4"/>
  <c r="G1775" i="4"/>
  <c r="G1776" i="4"/>
  <c r="G1777" i="4"/>
  <c r="G1778" i="4"/>
  <c r="G1779" i="4"/>
  <c r="G1780" i="4"/>
  <c r="G1781" i="4"/>
  <c r="G1782" i="4"/>
  <c r="G1783" i="4"/>
  <c r="G1784" i="4"/>
  <c r="G1785" i="4"/>
  <c r="G1786" i="4"/>
  <c r="G1787" i="4"/>
  <c r="G1788" i="4"/>
  <c r="G1789" i="4"/>
  <c r="G1790" i="4"/>
  <c r="G1791" i="4"/>
  <c r="G1792" i="4"/>
  <c r="G1793" i="4"/>
  <c r="G1794" i="4"/>
  <c r="G1795" i="4"/>
  <c r="G1796" i="4"/>
  <c r="G1797" i="4"/>
  <c r="G1798" i="4"/>
  <c r="G1799" i="4"/>
  <c r="G1800" i="4"/>
  <c r="G1801" i="4"/>
  <c r="G1802" i="4"/>
  <c r="G1803" i="4"/>
  <c r="G1804" i="4"/>
  <c r="G1805" i="4"/>
  <c r="G1806" i="4"/>
  <c r="G1807" i="4"/>
  <c r="G1808" i="4"/>
  <c r="G1809" i="4"/>
  <c r="G1810" i="4"/>
  <c r="G1811" i="4"/>
  <c r="G1812" i="4"/>
  <c r="G1813" i="4"/>
  <c r="G1814" i="4"/>
  <c r="G1815" i="4"/>
  <c r="G1816" i="4"/>
  <c r="G1817" i="4"/>
  <c r="G1818" i="4"/>
  <c r="G1819" i="4"/>
  <c r="G1820" i="4"/>
  <c r="G1821" i="4"/>
  <c r="G1822" i="4"/>
  <c r="G1823" i="4"/>
  <c r="G1824" i="4"/>
  <c r="G1825" i="4"/>
  <c r="G1826" i="4"/>
  <c r="G1827" i="4"/>
  <c r="G1828" i="4"/>
  <c r="G1829" i="4"/>
  <c r="G1830" i="4"/>
  <c r="G1831" i="4"/>
  <c r="G1832" i="4"/>
  <c r="G1833" i="4"/>
  <c r="G1834" i="4"/>
  <c r="G1835" i="4"/>
  <c r="G1836" i="4"/>
  <c r="G1837" i="4"/>
  <c r="G1838" i="4"/>
  <c r="G1839" i="4"/>
  <c r="G1840" i="4"/>
  <c r="G1841" i="4"/>
  <c r="G1842" i="4"/>
  <c r="G1843" i="4"/>
  <c r="G1844" i="4"/>
  <c r="G1845" i="4"/>
  <c r="G1846" i="4"/>
  <c r="G1847" i="4"/>
  <c r="G1848" i="4"/>
  <c r="G1849" i="4"/>
  <c r="G1850" i="4"/>
  <c r="G1851" i="4"/>
  <c r="G1852" i="4"/>
  <c r="G1853" i="4"/>
  <c r="G1854" i="4"/>
  <c r="G1855" i="4"/>
  <c r="G1856" i="4"/>
  <c r="G1857" i="4"/>
  <c r="G1858" i="4"/>
  <c r="G1859" i="4"/>
  <c r="G1860" i="4"/>
  <c r="G1861" i="4"/>
  <c r="G1862" i="4"/>
  <c r="G1863" i="4"/>
  <c r="G1864" i="4"/>
  <c r="G1865" i="4"/>
  <c r="G1866" i="4"/>
  <c r="G1867" i="4"/>
  <c r="G1868" i="4"/>
  <c r="G1869" i="4"/>
  <c r="G1870" i="4"/>
  <c r="G1871" i="4"/>
  <c r="G1872" i="4"/>
  <c r="G1873" i="4"/>
  <c r="G1874" i="4"/>
  <c r="G1875" i="4"/>
  <c r="G1876" i="4"/>
  <c r="G1877" i="4"/>
  <c r="G1878" i="4"/>
  <c r="G1879" i="4"/>
  <c r="G1880" i="4"/>
  <c r="G1881" i="4"/>
  <c r="G1882" i="4"/>
  <c r="G1883" i="4"/>
  <c r="G1884" i="4"/>
  <c r="G1885" i="4"/>
  <c r="G1886" i="4"/>
  <c r="G1887" i="4"/>
  <c r="G1888" i="4"/>
  <c r="G1889" i="4"/>
  <c r="G1890" i="4"/>
  <c r="G1891" i="4"/>
  <c r="G1892" i="4"/>
  <c r="G1893" i="4"/>
  <c r="G1894" i="4"/>
  <c r="G1895" i="4"/>
  <c r="G1896" i="4"/>
  <c r="G1897" i="4"/>
  <c r="G1898" i="4"/>
  <c r="G1899" i="4"/>
  <c r="G1900" i="4"/>
  <c r="G1901" i="4"/>
  <c r="G1902" i="4"/>
  <c r="G1903" i="4"/>
  <c r="G1904" i="4"/>
  <c r="G1905" i="4"/>
  <c r="G1906" i="4"/>
  <c r="G1907" i="4"/>
  <c r="G1908" i="4"/>
  <c r="G1909" i="4"/>
  <c r="G1910" i="4"/>
  <c r="G1911" i="4"/>
  <c r="G1912" i="4"/>
  <c r="G1913" i="4"/>
  <c r="G1914" i="4"/>
  <c r="G1915" i="4"/>
  <c r="G1916" i="4"/>
  <c r="G1917" i="4"/>
  <c r="G1918" i="4"/>
  <c r="G1919" i="4"/>
  <c r="G1920" i="4"/>
  <c r="G1921" i="4"/>
  <c r="G1922" i="4"/>
  <c r="G1923" i="4"/>
  <c r="G1924" i="4"/>
  <c r="G1925" i="4"/>
  <c r="G1926" i="4"/>
  <c r="G1927" i="4"/>
  <c r="G1928" i="4"/>
  <c r="G1929" i="4"/>
  <c r="G1930" i="4"/>
  <c r="G1931" i="4"/>
  <c r="G1932" i="4"/>
  <c r="G1933" i="4"/>
  <c r="G1934" i="4"/>
  <c r="G1935" i="4"/>
  <c r="G1936" i="4"/>
  <c r="G1937" i="4"/>
  <c r="G1938" i="4"/>
  <c r="G1939" i="4"/>
  <c r="G1940" i="4"/>
  <c r="G1941" i="4"/>
  <c r="G1942" i="4"/>
  <c r="G1943" i="4"/>
  <c r="G1944" i="4"/>
  <c r="G1945" i="4"/>
  <c r="G1946" i="4"/>
  <c r="G1947" i="4"/>
  <c r="G1948" i="4"/>
  <c r="G1949" i="4"/>
  <c r="G1950" i="4"/>
  <c r="G1951" i="4"/>
  <c r="G1952" i="4"/>
  <c r="G1953" i="4"/>
  <c r="G1954" i="4"/>
  <c r="G1955" i="4"/>
  <c r="G1956" i="4"/>
  <c r="G1957" i="4"/>
  <c r="G1958" i="4"/>
  <c r="G1959" i="4"/>
  <c r="G1960" i="4"/>
  <c r="G1961" i="4"/>
  <c r="G1962" i="4"/>
  <c r="G1963" i="4"/>
  <c r="G1964" i="4"/>
  <c r="G1965" i="4"/>
  <c r="G1966" i="4"/>
  <c r="G1967" i="4"/>
  <c r="G1968" i="4"/>
  <c r="G1969" i="4"/>
  <c r="G1970" i="4"/>
  <c r="G1971" i="4"/>
  <c r="G1972" i="4"/>
  <c r="G1973" i="4"/>
  <c r="G1974" i="4"/>
  <c r="G1975" i="4"/>
  <c r="G1976" i="4"/>
  <c r="G1977" i="4"/>
  <c r="G1978" i="4"/>
  <c r="G1979" i="4"/>
  <c r="G1980" i="4"/>
  <c r="G1981" i="4"/>
  <c r="G1982" i="4"/>
  <c r="G1983" i="4"/>
  <c r="G1984" i="4"/>
  <c r="G1985" i="4"/>
  <c r="G1986" i="4"/>
  <c r="G1987" i="4"/>
  <c r="G1988" i="4"/>
  <c r="G1989" i="4"/>
  <c r="G1990" i="4"/>
  <c r="G1991" i="4"/>
  <c r="G1992" i="4"/>
  <c r="G1993" i="4"/>
  <c r="G1994" i="4"/>
  <c r="G1995" i="4"/>
  <c r="G1996" i="4"/>
  <c r="G1997" i="4"/>
  <c r="G1998" i="4"/>
  <c r="G1999" i="4"/>
  <c r="G2000" i="4"/>
  <c r="G2001" i="4"/>
  <c r="G2002" i="4"/>
  <c r="G2003" i="4"/>
  <c r="G2004" i="4"/>
  <c r="G2005" i="4"/>
  <c r="G2006" i="4"/>
  <c r="G2007" i="4"/>
  <c r="G2008" i="4"/>
  <c r="G2009" i="4"/>
  <c r="G2010" i="4"/>
  <c r="G2011" i="4"/>
  <c r="G2012" i="4"/>
  <c r="G2013" i="4"/>
  <c r="G2014" i="4"/>
  <c r="G2015" i="4"/>
  <c r="G2016" i="4"/>
  <c r="G2017" i="4"/>
  <c r="G2018" i="4"/>
  <c r="G2019" i="4"/>
  <c r="G2020" i="4"/>
  <c r="G2021" i="4"/>
  <c r="G2022" i="4"/>
  <c r="G2023" i="4"/>
  <c r="G2024" i="4"/>
  <c r="G2025" i="4"/>
  <c r="G2026" i="4"/>
  <c r="G2027" i="4"/>
  <c r="G2028" i="4"/>
  <c r="G2029" i="4"/>
  <c r="G2030" i="4"/>
  <c r="G2031" i="4"/>
  <c r="G2032" i="4"/>
  <c r="G2033" i="4"/>
  <c r="G2034" i="4"/>
  <c r="G2035" i="4"/>
  <c r="G2036" i="4"/>
  <c r="G2037" i="4"/>
  <c r="G2038" i="4"/>
  <c r="G2039" i="4"/>
  <c r="G2040" i="4"/>
  <c r="G2041" i="4"/>
  <c r="G2042" i="4"/>
  <c r="G2043" i="4"/>
  <c r="G2044" i="4"/>
  <c r="G2045" i="4"/>
  <c r="G2046" i="4"/>
  <c r="G2047" i="4"/>
  <c r="G2048" i="4"/>
  <c r="G2049" i="4"/>
  <c r="G2050" i="4"/>
  <c r="G2051" i="4"/>
  <c r="G2052" i="4"/>
  <c r="G2053" i="4"/>
  <c r="G2054" i="4"/>
  <c r="G2055" i="4"/>
  <c r="G2056" i="4"/>
  <c r="G2057" i="4"/>
  <c r="G2058" i="4"/>
  <c r="G2059" i="4"/>
  <c r="G2060" i="4"/>
  <c r="G2061" i="4"/>
  <c r="G2062" i="4"/>
  <c r="G2063" i="4"/>
  <c r="G2064" i="4"/>
  <c r="G2065" i="4"/>
  <c r="G2066" i="4"/>
  <c r="G2067" i="4"/>
  <c r="G2068" i="4"/>
  <c r="G2069" i="4"/>
  <c r="G2070" i="4"/>
  <c r="G2071" i="4"/>
  <c r="G2072" i="4"/>
  <c r="G2073" i="4"/>
  <c r="G2074" i="4"/>
  <c r="G2075" i="4"/>
  <c r="G2076" i="4"/>
  <c r="G2077" i="4"/>
  <c r="G2078" i="4"/>
  <c r="G2079" i="4"/>
  <c r="G2080" i="4"/>
  <c r="G2081" i="4"/>
  <c r="G2082" i="4"/>
  <c r="G2083" i="4"/>
  <c r="G2084" i="4"/>
  <c r="G2085" i="4"/>
  <c r="G2086" i="4"/>
  <c r="G2087" i="4"/>
  <c r="G2088" i="4"/>
  <c r="G2089" i="4"/>
  <c r="G2090" i="4"/>
  <c r="G2091" i="4"/>
  <c r="G2092" i="4"/>
  <c r="G2093" i="4"/>
  <c r="G2094" i="4"/>
  <c r="G2095" i="4"/>
  <c r="G2096" i="4"/>
  <c r="G2097" i="4"/>
  <c r="G2098" i="4"/>
  <c r="G2099" i="4"/>
  <c r="G2100" i="4"/>
  <c r="G2101" i="4"/>
  <c r="G2102" i="4"/>
  <c r="G2103" i="4"/>
  <c r="G2104" i="4"/>
  <c r="G2105" i="4"/>
  <c r="G2106" i="4"/>
  <c r="G2107" i="4"/>
  <c r="G2108" i="4"/>
  <c r="G2109" i="4"/>
  <c r="G2110" i="4"/>
  <c r="G2111" i="4"/>
  <c r="G2112" i="4"/>
  <c r="G2113" i="4"/>
  <c r="G2114" i="4"/>
  <c r="G2115" i="4"/>
  <c r="G2116" i="4"/>
  <c r="G2117" i="4"/>
  <c r="G2118" i="4"/>
  <c r="G2119" i="4"/>
  <c r="G2120" i="4"/>
  <c r="G2121" i="4"/>
  <c r="G2122" i="4"/>
  <c r="G2123" i="4"/>
  <c r="G2124" i="4"/>
  <c r="G2125" i="4"/>
  <c r="G2126" i="4"/>
  <c r="G2127" i="4"/>
  <c r="G2128" i="4"/>
  <c r="G2129" i="4"/>
  <c r="G2130" i="4"/>
  <c r="G2131" i="4"/>
  <c r="G2132" i="4"/>
  <c r="G2133" i="4"/>
  <c r="G2134" i="4"/>
  <c r="G2135" i="4"/>
  <c r="G2136" i="4"/>
  <c r="G2137" i="4"/>
  <c r="G2138" i="4"/>
  <c r="G2139" i="4"/>
  <c r="G2140" i="4"/>
  <c r="G2141" i="4"/>
  <c r="G2142" i="4"/>
  <c r="G2143" i="4"/>
  <c r="G2144" i="4"/>
  <c r="G2145" i="4"/>
  <c r="G2146" i="4"/>
  <c r="G2147" i="4"/>
  <c r="G2148" i="4"/>
  <c r="G2149" i="4"/>
  <c r="G2150" i="4"/>
  <c r="G2151" i="4"/>
  <c r="G2152" i="4"/>
  <c r="G2153" i="4"/>
  <c r="G2154" i="4"/>
  <c r="G2155" i="4"/>
  <c r="G2156" i="4"/>
  <c r="G2157" i="4"/>
  <c r="G2158" i="4"/>
  <c r="G2159" i="4"/>
  <c r="G2160" i="4"/>
  <c r="G2161" i="4"/>
  <c r="G2162" i="4"/>
  <c r="G2163" i="4"/>
  <c r="G2164" i="4"/>
  <c r="G2165" i="4"/>
  <c r="G2166" i="4"/>
  <c r="G2167" i="4"/>
  <c r="G2168" i="4"/>
  <c r="G2169" i="4"/>
  <c r="G2170" i="4"/>
  <c r="G2171" i="4"/>
  <c r="G2172" i="4"/>
  <c r="G2173" i="4"/>
  <c r="G2174" i="4"/>
  <c r="G2175" i="4"/>
  <c r="G2176" i="4"/>
  <c r="G2177" i="4"/>
  <c r="G2178" i="4"/>
  <c r="G2179" i="4"/>
  <c r="G2180" i="4"/>
  <c r="G2181" i="4"/>
  <c r="G2182" i="4"/>
  <c r="G2183" i="4"/>
  <c r="G2184" i="4"/>
  <c r="G2185" i="4"/>
  <c r="G2186" i="4"/>
  <c r="G2187" i="4"/>
  <c r="G2188" i="4"/>
  <c r="G2189" i="4"/>
  <c r="G2190" i="4"/>
  <c r="G2191" i="4"/>
  <c r="G2192" i="4"/>
  <c r="G2193" i="4"/>
  <c r="G2194" i="4"/>
  <c r="G2195" i="4"/>
  <c r="G2196" i="4"/>
  <c r="G2197" i="4"/>
  <c r="G2198" i="4"/>
  <c r="G2199" i="4"/>
  <c r="G2200" i="4"/>
  <c r="G2201" i="4"/>
  <c r="G2202" i="4"/>
  <c r="G2203" i="4"/>
  <c r="G2204" i="4"/>
  <c r="G2205" i="4"/>
  <c r="G2206" i="4"/>
  <c r="G2207" i="4"/>
  <c r="G2208" i="4"/>
  <c r="G2209" i="4"/>
  <c r="G2210" i="4"/>
  <c r="G2211" i="4"/>
  <c r="G2212" i="4"/>
  <c r="G2213" i="4"/>
  <c r="G2214" i="4"/>
  <c r="G2215" i="4"/>
  <c r="G2216" i="4"/>
  <c r="G2217" i="4"/>
  <c r="G2218" i="4"/>
  <c r="G2219" i="4"/>
  <c r="G2220" i="4"/>
  <c r="G2221" i="4"/>
  <c r="G2222" i="4"/>
  <c r="G2223" i="4"/>
  <c r="G2224" i="4"/>
  <c r="G2225" i="4"/>
  <c r="G2226" i="4"/>
  <c r="G2227" i="4"/>
  <c r="G2228" i="4"/>
  <c r="G2229" i="4"/>
  <c r="G2230" i="4"/>
  <c r="G2231" i="4"/>
  <c r="G2232" i="4"/>
  <c r="G2233" i="4"/>
  <c r="G2234" i="4"/>
  <c r="G2235" i="4"/>
  <c r="G2236" i="4"/>
  <c r="G2237" i="4"/>
  <c r="G2238" i="4"/>
  <c r="G2239" i="4"/>
  <c r="G2240" i="4"/>
  <c r="G2241" i="4"/>
  <c r="G2242" i="4"/>
  <c r="G2243" i="4"/>
  <c r="G2244" i="4"/>
  <c r="G2245" i="4"/>
  <c r="G2246" i="4"/>
  <c r="G2247" i="4"/>
  <c r="G2248" i="4"/>
  <c r="G2249" i="4"/>
  <c r="G2250" i="4"/>
  <c r="G2251" i="4"/>
  <c r="G2252" i="4"/>
  <c r="G2253" i="4"/>
  <c r="G2254" i="4"/>
  <c r="G2255" i="4"/>
  <c r="G2256" i="4"/>
  <c r="G2257" i="4"/>
  <c r="G2258" i="4"/>
  <c r="G2259" i="4"/>
  <c r="G2260" i="4"/>
  <c r="G2261" i="4"/>
  <c r="G2262" i="4"/>
  <c r="G2263" i="4"/>
  <c r="G2264" i="4"/>
  <c r="G2265" i="4"/>
  <c r="G2266" i="4"/>
  <c r="G2267" i="4"/>
  <c r="G2268" i="4"/>
  <c r="G2269" i="4"/>
  <c r="G2270" i="4"/>
  <c r="G2271" i="4"/>
  <c r="G2272" i="4"/>
  <c r="G2273" i="4"/>
  <c r="G2274" i="4"/>
  <c r="G2275" i="4"/>
  <c r="G2276" i="4"/>
  <c r="G2277" i="4"/>
  <c r="G2278" i="4"/>
  <c r="G2279" i="4"/>
  <c r="G2280" i="4"/>
  <c r="G2281" i="4"/>
  <c r="G2282" i="4"/>
  <c r="G2283" i="4"/>
  <c r="G2284" i="4"/>
  <c r="G2285" i="4"/>
  <c r="G2286" i="4"/>
  <c r="G2287" i="4"/>
  <c r="G2288" i="4"/>
  <c r="G2289" i="4"/>
  <c r="G2290" i="4"/>
  <c r="G2291" i="4"/>
  <c r="G2292" i="4"/>
  <c r="G2293" i="4"/>
  <c r="G2294" i="4"/>
  <c r="G2295" i="4"/>
  <c r="G2296" i="4"/>
  <c r="G2297" i="4"/>
  <c r="G2298" i="4"/>
  <c r="G2299" i="4"/>
  <c r="G2300" i="4"/>
  <c r="G2301" i="4"/>
  <c r="G2302" i="4"/>
  <c r="G2303" i="4"/>
  <c r="G2304" i="4"/>
  <c r="G2305" i="4"/>
  <c r="G2306" i="4"/>
  <c r="G2307" i="4"/>
  <c r="G2308" i="4"/>
  <c r="G2309" i="4"/>
  <c r="G2310" i="4"/>
  <c r="G2311" i="4"/>
  <c r="G2312" i="4"/>
  <c r="G2313" i="4"/>
  <c r="G2314" i="4"/>
  <c r="G2315" i="4"/>
  <c r="G2316" i="4"/>
  <c r="G2317" i="4"/>
  <c r="G2318" i="4"/>
  <c r="G2319" i="4"/>
  <c r="G2320" i="4"/>
  <c r="G2321" i="4"/>
  <c r="G2322" i="4"/>
  <c r="G2323" i="4"/>
  <c r="G2324" i="4"/>
  <c r="G2325" i="4"/>
  <c r="G2326" i="4"/>
  <c r="G2327" i="4"/>
  <c r="G2328" i="4"/>
  <c r="G2329" i="4"/>
  <c r="G2330" i="4"/>
  <c r="G2331" i="4"/>
  <c r="G2332" i="4"/>
  <c r="G2333" i="4"/>
  <c r="G2334" i="4"/>
  <c r="G2335" i="4"/>
  <c r="G2336" i="4"/>
  <c r="G2337" i="4"/>
  <c r="G2338" i="4"/>
  <c r="G2339" i="4"/>
  <c r="G2340" i="4"/>
  <c r="G2341" i="4"/>
  <c r="G2342" i="4"/>
  <c r="G2343" i="4"/>
  <c r="G2344" i="4"/>
  <c r="G2345" i="4"/>
  <c r="G2346" i="4"/>
  <c r="G2347" i="4"/>
  <c r="G2348" i="4"/>
  <c r="G2349" i="4"/>
  <c r="G2350" i="4"/>
  <c r="G2351" i="4"/>
  <c r="G2352" i="4"/>
  <c r="G2353" i="4"/>
  <c r="G2354" i="4"/>
  <c r="G2355" i="4"/>
  <c r="G2356" i="4"/>
  <c r="G2357" i="4"/>
  <c r="G2358" i="4"/>
  <c r="G2359" i="4"/>
  <c r="G2360" i="4"/>
  <c r="G2361" i="4"/>
  <c r="G2362" i="4"/>
  <c r="G2363" i="4"/>
  <c r="G2364" i="4"/>
  <c r="G2365" i="4"/>
  <c r="G2366" i="4"/>
  <c r="G2367" i="4"/>
  <c r="G2368" i="4"/>
  <c r="G2369" i="4"/>
  <c r="G2370" i="4"/>
  <c r="G2371" i="4"/>
  <c r="G2372" i="4"/>
  <c r="G2373" i="4"/>
  <c r="G2374" i="4"/>
  <c r="G2375" i="4"/>
  <c r="G2376" i="4"/>
  <c r="G2377" i="4"/>
  <c r="G2378" i="4"/>
  <c r="G2379" i="4"/>
  <c r="G2380" i="4"/>
  <c r="G2381" i="4"/>
  <c r="G2382" i="4"/>
  <c r="G2383" i="4"/>
  <c r="G2384" i="4"/>
  <c r="G2385" i="4"/>
  <c r="G2386" i="4"/>
  <c r="G2387" i="4"/>
  <c r="G2388" i="4"/>
  <c r="G2389" i="4"/>
  <c r="G2390" i="4"/>
  <c r="G2391" i="4"/>
  <c r="G2392" i="4"/>
  <c r="G2393" i="4"/>
  <c r="G2394" i="4"/>
  <c r="G2395" i="4"/>
  <c r="G2396" i="4"/>
  <c r="G2397" i="4"/>
  <c r="G2398" i="4"/>
  <c r="G2399" i="4"/>
  <c r="G2400" i="4"/>
  <c r="G2401" i="4"/>
  <c r="G2402" i="4"/>
  <c r="G2403" i="4"/>
  <c r="G2404" i="4"/>
  <c r="G2405" i="4"/>
  <c r="G2406" i="4"/>
  <c r="G2407" i="4"/>
  <c r="G2408" i="4"/>
  <c r="G2409" i="4"/>
  <c r="G2410" i="4"/>
  <c r="G2411" i="4"/>
  <c r="G2412" i="4"/>
  <c r="G2413" i="4"/>
  <c r="G2414" i="4"/>
  <c r="G2415" i="4"/>
  <c r="G2416" i="4"/>
  <c r="G2417" i="4"/>
  <c r="G2418" i="4"/>
  <c r="G2419" i="4"/>
  <c r="G2420" i="4"/>
  <c r="G2421" i="4"/>
  <c r="G2422" i="4"/>
  <c r="G2423" i="4"/>
  <c r="G2424" i="4"/>
  <c r="G2425" i="4"/>
  <c r="G2426" i="4"/>
  <c r="G2427" i="4"/>
  <c r="G2428" i="4"/>
  <c r="G2429" i="4"/>
  <c r="G2430" i="4"/>
  <c r="G2431" i="4"/>
  <c r="G2432" i="4"/>
  <c r="G2433" i="4"/>
  <c r="G2434" i="4"/>
  <c r="G2435" i="4"/>
  <c r="G2436" i="4"/>
  <c r="G2437" i="4"/>
  <c r="G2438" i="4"/>
  <c r="G2439" i="4"/>
  <c r="G2440" i="4"/>
  <c r="G2441" i="4"/>
  <c r="G2442" i="4"/>
  <c r="G2443" i="4"/>
  <c r="G2444" i="4"/>
  <c r="G2445" i="4"/>
  <c r="G2446" i="4"/>
  <c r="G2447" i="4"/>
  <c r="G2448" i="4"/>
  <c r="G2449" i="4"/>
  <c r="G2450" i="4"/>
  <c r="G2451" i="4"/>
  <c r="G2452" i="4"/>
  <c r="G2453" i="4"/>
  <c r="G2454" i="4"/>
  <c r="G2455" i="4"/>
  <c r="G2456" i="4"/>
  <c r="G2457" i="4"/>
  <c r="G2458" i="4"/>
  <c r="G2459" i="4"/>
  <c r="G2460" i="4"/>
  <c r="G2461" i="4"/>
  <c r="G2462" i="4"/>
  <c r="G2463" i="4"/>
  <c r="G2464" i="4"/>
  <c r="G2465" i="4"/>
  <c r="G2466" i="4"/>
  <c r="G2467" i="4"/>
  <c r="G2468" i="4"/>
  <c r="G2469" i="4"/>
  <c r="G2470" i="4"/>
  <c r="G2471" i="4"/>
  <c r="G2472" i="4"/>
  <c r="G2473" i="4"/>
  <c r="G2474" i="4"/>
  <c r="G2475" i="4"/>
  <c r="G2476" i="4"/>
  <c r="G2477" i="4"/>
  <c r="G2478" i="4"/>
  <c r="G2479" i="4"/>
  <c r="G2480" i="4"/>
  <c r="G2481" i="4"/>
  <c r="G2482" i="4"/>
  <c r="G2483" i="4"/>
  <c r="G2484" i="4"/>
  <c r="G2485" i="4"/>
  <c r="G2486" i="4"/>
  <c r="G2487" i="4"/>
  <c r="G2488" i="4"/>
  <c r="G2489" i="4"/>
  <c r="G2490" i="4"/>
  <c r="G2491" i="4"/>
  <c r="G2492" i="4"/>
  <c r="G2493" i="4"/>
  <c r="G2494" i="4"/>
  <c r="G2495" i="4"/>
  <c r="G2496" i="4"/>
  <c r="G2497" i="4"/>
  <c r="G2498" i="4"/>
  <c r="G2499" i="4"/>
  <c r="G2500" i="4"/>
  <c r="G2501" i="4"/>
  <c r="G2502" i="4"/>
  <c r="G2503" i="4"/>
  <c r="G2504" i="4"/>
  <c r="G2505" i="4"/>
  <c r="G2506" i="4"/>
  <c r="G2507" i="4"/>
  <c r="G2508" i="4"/>
  <c r="G2509" i="4"/>
  <c r="G2510" i="4"/>
  <c r="G2511" i="4"/>
  <c r="G2512" i="4"/>
  <c r="G2513" i="4"/>
  <c r="G2514" i="4"/>
  <c r="G2515" i="4"/>
  <c r="G2516" i="4"/>
  <c r="G2517" i="4"/>
  <c r="G2518" i="4"/>
  <c r="G2519" i="4"/>
  <c r="G2520" i="4"/>
  <c r="G2521" i="4"/>
  <c r="G2522" i="4"/>
  <c r="G2523" i="4"/>
  <c r="G2524" i="4"/>
  <c r="G2525" i="4"/>
  <c r="G2526" i="4"/>
  <c r="G2527" i="4"/>
  <c r="G2528" i="4"/>
  <c r="G2529" i="4"/>
  <c r="G2530" i="4"/>
  <c r="G2531" i="4"/>
  <c r="G2532" i="4"/>
  <c r="G2533" i="4"/>
  <c r="G2534" i="4"/>
  <c r="G2535" i="4"/>
  <c r="G2536" i="4"/>
  <c r="G2537" i="4"/>
  <c r="G2538" i="4"/>
  <c r="G2539" i="4"/>
  <c r="G2540" i="4"/>
  <c r="G2541" i="4"/>
  <c r="G2542" i="4"/>
  <c r="G2543" i="4"/>
  <c r="G2544" i="4"/>
  <c r="G2545" i="4"/>
  <c r="G2546" i="4"/>
  <c r="G2547" i="4"/>
  <c r="G2548" i="4"/>
  <c r="G2549" i="4"/>
  <c r="G2550" i="4"/>
  <c r="G2551" i="4"/>
  <c r="G2552" i="4"/>
  <c r="G2553" i="4"/>
  <c r="G2554" i="4"/>
  <c r="G2555" i="4"/>
  <c r="G2556" i="4"/>
  <c r="G2557" i="4"/>
  <c r="G2558" i="4"/>
  <c r="G2559" i="4"/>
  <c r="G2560" i="4"/>
  <c r="G2561" i="4"/>
  <c r="G2562" i="4"/>
  <c r="G2563" i="4"/>
  <c r="G2564" i="4"/>
  <c r="G2565" i="4"/>
  <c r="G2566" i="4"/>
  <c r="G2567" i="4"/>
  <c r="G2568" i="4"/>
  <c r="G2569" i="4"/>
  <c r="G2570" i="4"/>
  <c r="G2571" i="4"/>
  <c r="G2572" i="4"/>
  <c r="G2573" i="4"/>
  <c r="G2574" i="4"/>
  <c r="G2575" i="4"/>
  <c r="G2576" i="4"/>
  <c r="G2577" i="4"/>
  <c r="G2578" i="4"/>
  <c r="G2579" i="4"/>
  <c r="G2580" i="4"/>
  <c r="G2581" i="4"/>
  <c r="G2582" i="4"/>
  <c r="G2583" i="4"/>
  <c r="G2584" i="4"/>
  <c r="G2585" i="4"/>
  <c r="G2586" i="4"/>
  <c r="G2587" i="4"/>
  <c r="G2588" i="4"/>
  <c r="G2589" i="4"/>
  <c r="G2590" i="4"/>
  <c r="G2591" i="4"/>
  <c r="G2592" i="4"/>
  <c r="G2593" i="4"/>
  <c r="G2594" i="4"/>
  <c r="G2595" i="4"/>
  <c r="G2596" i="4"/>
  <c r="G2597" i="4"/>
  <c r="G2598" i="4"/>
  <c r="G2599" i="4"/>
  <c r="G2600" i="4"/>
  <c r="G2601" i="4"/>
  <c r="G2602" i="4"/>
  <c r="G2603" i="4"/>
  <c r="G2604" i="4"/>
  <c r="G2605" i="4"/>
  <c r="G2606" i="4"/>
  <c r="G2607" i="4"/>
  <c r="G2608" i="4"/>
  <c r="G2609" i="4"/>
  <c r="G2610" i="4"/>
  <c r="G2611" i="4"/>
  <c r="G2612" i="4"/>
  <c r="G2613" i="4"/>
  <c r="G2614" i="4"/>
  <c r="G2615" i="4"/>
  <c r="G2616" i="4"/>
  <c r="G2617" i="4"/>
  <c r="G2618" i="4"/>
  <c r="G2619" i="4"/>
  <c r="G2620" i="4"/>
  <c r="G2621" i="4"/>
  <c r="G2622" i="4"/>
  <c r="G2623" i="4"/>
  <c r="G2624" i="4"/>
  <c r="G2625" i="4"/>
  <c r="G2626" i="4"/>
  <c r="G2627" i="4"/>
  <c r="G2628" i="4"/>
  <c r="G2629" i="4"/>
  <c r="G2630" i="4"/>
  <c r="G2631" i="4"/>
  <c r="G2632" i="4"/>
  <c r="G2633" i="4"/>
  <c r="G2634" i="4"/>
  <c r="G2635" i="4"/>
  <c r="G2636" i="4"/>
  <c r="G2637" i="4"/>
  <c r="G2638" i="4"/>
  <c r="G2639" i="4"/>
  <c r="G2640" i="4"/>
  <c r="G2641" i="4"/>
  <c r="G2642" i="4"/>
  <c r="G2643" i="4"/>
  <c r="G2644" i="4"/>
  <c r="G2645" i="4"/>
  <c r="G2646" i="4"/>
  <c r="G2647" i="4"/>
  <c r="G2648" i="4"/>
  <c r="G2649" i="4"/>
  <c r="G2650" i="4"/>
  <c r="G2651" i="4"/>
  <c r="G2652" i="4"/>
  <c r="G2653" i="4"/>
  <c r="G2654" i="4"/>
  <c r="G2655" i="4"/>
  <c r="G2656" i="4"/>
  <c r="G2657" i="4"/>
  <c r="G2658" i="4"/>
  <c r="G2659" i="4"/>
  <c r="G2660" i="4"/>
  <c r="G2661" i="4"/>
  <c r="G2662" i="4"/>
  <c r="G2663" i="4"/>
  <c r="G2664" i="4"/>
  <c r="G2665" i="4"/>
  <c r="G2666" i="4"/>
  <c r="G2667" i="4"/>
  <c r="G2668" i="4"/>
  <c r="G2669" i="4"/>
  <c r="G2670" i="4"/>
  <c r="G2671" i="4"/>
  <c r="G2672" i="4"/>
  <c r="G2673" i="4"/>
  <c r="G2674" i="4"/>
  <c r="G2675" i="4"/>
  <c r="G2676" i="4"/>
  <c r="G2677" i="4"/>
  <c r="G2678" i="4"/>
  <c r="G2679" i="4"/>
  <c r="G2680" i="4"/>
  <c r="G2681" i="4"/>
  <c r="G2682" i="4"/>
  <c r="G2683" i="4"/>
  <c r="G2684" i="4"/>
  <c r="G2685" i="4"/>
  <c r="G2686" i="4"/>
  <c r="G2687" i="4"/>
  <c r="G2688" i="4"/>
  <c r="G2689" i="4"/>
  <c r="G2690" i="4"/>
  <c r="G2691" i="4"/>
  <c r="G2692" i="4"/>
  <c r="G2693" i="4"/>
  <c r="G2694" i="4"/>
  <c r="G2695" i="4"/>
  <c r="G2696" i="4"/>
  <c r="G2697" i="4"/>
  <c r="G2698" i="4"/>
  <c r="G2699" i="4"/>
  <c r="G2700" i="4"/>
  <c r="G2701" i="4"/>
  <c r="G2702" i="4"/>
  <c r="G2703" i="4"/>
  <c r="G2704" i="4"/>
  <c r="G2705" i="4"/>
  <c r="G2706" i="4"/>
  <c r="G2707" i="4"/>
  <c r="G2708" i="4"/>
  <c r="G2709" i="4"/>
  <c r="G2710" i="4"/>
  <c r="G2711" i="4"/>
  <c r="G2712" i="4"/>
  <c r="G2713" i="4"/>
  <c r="G2714" i="4"/>
  <c r="G2715" i="4"/>
  <c r="G2716" i="4"/>
  <c r="G2717" i="4"/>
  <c r="G2718" i="4"/>
  <c r="G2719" i="4"/>
  <c r="G2720" i="4"/>
  <c r="G2721" i="4"/>
  <c r="G2722" i="4"/>
  <c r="G2723" i="4"/>
  <c r="G2724" i="4"/>
  <c r="G2725" i="4"/>
  <c r="G2726" i="4"/>
  <c r="G2727" i="4"/>
  <c r="G2728" i="4"/>
  <c r="G2729" i="4"/>
  <c r="G2730" i="4"/>
  <c r="G2731" i="4"/>
  <c r="G2732" i="4"/>
  <c r="G2733" i="4"/>
  <c r="G2734" i="4"/>
  <c r="G2735" i="4"/>
  <c r="G2736" i="4"/>
  <c r="G2737" i="4"/>
  <c r="G2738" i="4"/>
  <c r="G2739" i="4"/>
  <c r="G2740" i="4"/>
  <c r="G2741" i="4"/>
  <c r="G2742" i="4"/>
  <c r="G2743" i="4"/>
  <c r="G2744" i="4"/>
  <c r="G2745" i="4"/>
  <c r="G2746" i="4"/>
  <c r="G2747" i="4"/>
  <c r="G2748" i="4"/>
  <c r="G2749" i="4"/>
  <c r="G2750" i="4"/>
  <c r="G2751" i="4"/>
  <c r="G2752" i="4"/>
  <c r="G2753" i="4"/>
  <c r="G2754" i="4"/>
  <c r="G2755" i="4"/>
  <c r="G2756" i="4"/>
  <c r="G2757" i="4"/>
  <c r="G2758" i="4"/>
  <c r="G2759" i="4"/>
  <c r="G2760" i="4"/>
  <c r="G2761" i="4"/>
  <c r="G2762" i="4"/>
  <c r="G2763" i="4"/>
  <c r="G2764" i="4"/>
  <c r="G2765" i="4"/>
  <c r="G2766" i="4"/>
  <c r="G2767" i="4"/>
  <c r="G2768" i="4"/>
  <c r="G2769" i="4"/>
  <c r="G2770" i="4"/>
  <c r="G2771" i="4"/>
  <c r="G2772" i="4"/>
  <c r="G2773" i="4"/>
  <c r="G2774" i="4"/>
  <c r="G2775" i="4"/>
  <c r="G2776" i="4"/>
  <c r="G2777" i="4"/>
  <c r="G2778" i="4"/>
  <c r="G2779" i="4"/>
  <c r="G2780" i="4"/>
  <c r="G2781" i="4"/>
  <c r="G2782" i="4"/>
  <c r="G2783" i="4"/>
  <c r="G2784" i="4"/>
  <c r="G2785" i="4"/>
  <c r="G2786" i="4"/>
  <c r="G2787" i="4"/>
  <c r="G2788" i="4"/>
  <c r="G2789" i="4"/>
  <c r="G2790" i="4"/>
  <c r="G2791" i="4"/>
  <c r="G2792" i="4"/>
  <c r="G2793" i="4"/>
  <c r="G2794" i="4"/>
  <c r="G2795" i="4"/>
  <c r="G2796" i="4"/>
  <c r="G2797" i="4"/>
  <c r="G2798" i="4"/>
  <c r="G2799" i="4"/>
  <c r="G2800" i="4"/>
  <c r="G2801" i="4"/>
  <c r="G2802" i="4"/>
  <c r="G2803" i="4"/>
  <c r="G2804" i="4"/>
  <c r="G2805" i="4"/>
  <c r="G2806" i="4"/>
  <c r="G2807" i="4"/>
  <c r="G2808" i="4"/>
  <c r="G2809" i="4"/>
  <c r="G2810" i="4"/>
  <c r="G2811" i="4"/>
  <c r="G2812" i="4"/>
  <c r="G2813" i="4"/>
  <c r="G2814" i="4"/>
  <c r="G2815" i="4"/>
  <c r="G2816" i="4"/>
  <c r="G2817" i="4"/>
  <c r="G2818" i="4"/>
  <c r="G2819" i="4"/>
  <c r="G2820" i="4"/>
  <c r="G2821" i="4"/>
  <c r="G2822" i="4"/>
  <c r="G2823" i="4"/>
  <c r="G2824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F1119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1136" i="4"/>
  <c r="F1137" i="4"/>
  <c r="F1138" i="4"/>
  <c r="F1139" i="4"/>
  <c r="F1140" i="4"/>
  <c r="F1141" i="4"/>
  <c r="F1142" i="4"/>
  <c r="F1143" i="4"/>
  <c r="F1144" i="4"/>
  <c r="F1145" i="4"/>
  <c r="F1146" i="4"/>
  <c r="F1147" i="4"/>
  <c r="F1148" i="4"/>
  <c r="F1149" i="4"/>
  <c r="F1150" i="4"/>
  <c r="F1151" i="4"/>
  <c r="F1152" i="4"/>
  <c r="F1153" i="4"/>
  <c r="F1154" i="4"/>
  <c r="F1155" i="4"/>
  <c r="F1156" i="4"/>
  <c r="F1157" i="4"/>
  <c r="F1158" i="4"/>
  <c r="F1159" i="4"/>
  <c r="F1160" i="4"/>
  <c r="F1161" i="4"/>
  <c r="F1162" i="4"/>
  <c r="F1163" i="4"/>
  <c r="F1164" i="4"/>
  <c r="F1165" i="4"/>
  <c r="F1166" i="4"/>
  <c r="F1167" i="4"/>
  <c r="F1168" i="4"/>
  <c r="F1169" i="4"/>
  <c r="F1170" i="4"/>
  <c r="F1171" i="4"/>
  <c r="F1172" i="4"/>
  <c r="F1173" i="4"/>
  <c r="F1174" i="4"/>
  <c r="F1175" i="4"/>
  <c r="F1176" i="4"/>
  <c r="F1177" i="4"/>
  <c r="F1178" i="4"/>
  <c r="F1179" i="4"/>
  <c r="F1180" i="4"/>
  <c r="F1181" i="4"/>
  <c r="F1182" i="4"/>
  <c r="F1183" i="4"/>
  <c r="F1184" i="4"/>
  <c r="F1185" i="4"/>
  <c r="F1186" i="4"/>
  <c r="F1187" i="4"/>
  <c r="F1188" i="4"/>
  <c r="F1189" i="4"/>
  <c r="F1190" i="4"/>
  <c r="F1191" i="4"/>
  <c r="F1192" i="4"/>
  <c r="F1193" i="4"/>
  <c r="F1194" i="4"/>
  <c r="F1195" i="4"/>
  <c r="F1196" i="4"/>
  <c r="F1197" i="4"/>
  <c r="F1198" i="4"/>
  <c r="F1199" i="4"/>
  <c r="F1200" i="4"/>
  <c r="F1201" i="4"/>
  <c r="F1202" i="4"/>
  <c r="F1203" i="4"/>
  <c r="F1204" i="4"/>
  <c r="F1205" i="4"/>
  <c r="F1206" i="4"/>
  <c r="F1207" i="4"/>
  <c r="F1208" i="4"/>
  <c r="F1209" i="4"/>
  <c r="F1210" i="4"/>
  <c r="F1211" i="4"/>
  <c r="F1212" i="4"/>
  <c r="F1213" i="4"/>
  <c r="F1214" i="4"/>
  <c r="F1215" i="4"/>
  <c r="F1216" i="4"/>
  <c r="F1217" i="4"/>
  <c r="F1218" i="4"/>
  <c r="F1219" i="4"/>
  <c r="F1220" i="4"/>
  <c r="F1221" i="4"/>
  <c r="F1222" i="4"/>
  <c r="F1223" i="4"/>
  <c r="F1224" i="4"/>
  <c r="F1225" i="4"/>
  <c r="F1226" i="4"/>
  <c r="F1227" i="4"/>
  <c r="F1228" i="4"/>
  <c r="F1229" i="4"/>
  <c r="F1230" i="4"/>
  <c r="F1231" i="4"/>
  <c r="F1232" i="4"/>
  <c r="F1233" i="4"/>
  <c r="F1234" i="4"/>
  <c r="F1235" i="4"/>
  <c r="F1236" i="4"/>
  <c r="F1237" i="4"/>
  <c r="F1238" i="4"/>
  <c r="F1239" i="4"/>
  <c r="F1240" i="4"/>
  <c r="F1241" i="4"/>
  <c r="F1242" i="4"/>
  <c r="F1243" i="4"/>
  <c r="F1244" i="4"/>
  <c r="F1245" i="4"/>
  <c r="F1246" i="4"/>
  <c r="F1247" i="4"/>
  <c r="F1248" i="4"/>
  <c r="F1249" i="4"/>
  <c r="F1250" i="4"/>
  <c r="F1251" i="4"/>
  <c r="F1252" i="4"/>
  <c r="F1253" i="4"/>
  <c r="F1254" i="4"/>
  <c r="F1255" i="4"/>
  <c r="F1256" i="4"/>
  <c r="F1257" i="4"/>
  <c r="F1258" i="4"/>
  <c r="F1259" i="4"/>
  <c r="F1260" i="4"/>
  <c r="F1261" i="4"/>
  <c r="F1262" i="4"/>
  <c r="F1263" i="4"/>
  <c r="F1264" i="4"/>
  <c r="F1265" i="4"/>
  <c r="F1266" i="4"/>
  <c r="F1267" i="4"/>
  <c r="F1268" i="4"/>
  <c r="F1269" i="4"/>
  <c r="F1270" i="4"/>
  <c r="F1271" i="4"/>
  <c r="F1272" i="4"/>
  <c r="F1273" i="4"/>
  <c r="F1274" i="4"/>
  <c r="F1275" i="4"/>
  <c r="F1276" i="4"/>
  <c r="F1277" i="4"/>
  <c r="F1278" i="4"/>
  <c r="F1279" i="4"/>
  <c r="F1280" i="4"/>
  <c r="F1281" i="4"/>
  <c r="F1282" i="4"/>
  <c r="F1283" i="4"/>
  <c r="F1284" i="4"/>
  <c r="F1285" i="4"/>
  <c r="F1286" i="4"/>
  <c r="F1287" i="4"/>
  <c r="F1288" i="4"/>
  <c r="F1289" i="4"/>
  <c r="F1290" i="4"/>
  <c r="F1291" i="4"/>
  <c r="F1292" i="4"/>
  <c r="F1293" i="4"/>
  <c r="F1294" i="4"/>
  <c r="F1295" i="4"/>
  <c r="F1296" i="4"/>
  <c r="F1297" i="4"/>
  <c r="F1298" i="4"/>
  <c r="F1299" i="4"/>
  <c r="F1300" i="4"/>
  <c r="F1301" i="4"/>
  <c r="F1302" i="4"/>
  <c r="F1303" i="4"/>
  <c r="F1304" i="4"/>
  <c r="F1305" i="4"/>
  <c r="F1306" i="4"/>
  <c r="F1307" i="4"/>
  <c r="F1308" i="4"/>
  <c r="F1309" i="4"/>
  <c r="F1310" i="4"/>
  <c r="F1311" i="4"/>
  <c r="F1312" i="4"/>
  <c r="F1313" i="4"/>
  <c r="F1314" i="4"/>
  <c r="F1315" i="4"/>
  <c r="F1316" i="4"/>
  <c r="F1317" i="4"/>
  <c r="F1318" i="4"/>
  <c r="F1319" i="4"/>
  <c r="F1320" i="4"/>
  <c r="F1321" i="4"/>
  <c r="F1322" i="4"/>
  <c r="F1323" i="4"/>
  <c r="F1324" i="4"/>
  <c r="F1325" i="4"/>
  <c r="F1326" i="4"/>
  <c r="F1327" i="4"/>
  <c r="F1328" i="4"/>
  <c r="F1329" i="4"/>
  <c r="F1330" i="4"/>
  <c r="F1331" i="4"/>
  <c r="F1332" i="4"/>
  <c r="F1333" i="4"/>
  <c r="F1334" i="4"/>
  <c r="F1335" i="4"/>
  <c r="F1336" i="4"/>
  <c r="F1337" i="4"/>
  <c r="F1338" i="4"/>
  <c r="F1339" i="4"/>
  <c r="F1340" i="4"/>
  <c r="F1341" i="4"/>
  <c r="F1342" i="4"/>
  <c r="F1343" i="4"/>
  <c r="F1344" i="4"/>
  <c r="F1345" i="4"/>
  <c r="F1346" i="4"/>
  <c r="F1347" i="4"/>
  <c r="F1348" i="4"/>
  <c r="F1349" i="4"/>
  <c r="F1350" i="4"/>
  <c r="F1351" i="4"/>
  <c r="F1352" i="4"/>
  <c r="F1353" i="4"/>
  <c r="F1354" i="4"/>
  <c r="F1355" i="4"/>
  <c r="F1356" i="4"/>
  <c r="F1357" i="4"/>
  <c r="F1358" i="4"/>
  <c r="F1359" i="4"/>
  <c r="F1360" i="4"/>
  <c r="F1361" i="4"/>
  <c r="F1362" i="4"/>
  <c r="F1363" i="4"/>
  <c r="F1364" i="4"/>
  <c r="F1365" i="4"/>
  <c r="F1366" i="4"/>
  <c r="F1367" i="4"/>
  <c r="F1368" i="4"/>
  <c r="F1369" i="4"/>
  <c r="F1370" i="4"/>
  <c r="F1371" i="4"/>
  <c r="F1372" i="4"/>
  <c r="F1373" i="4"/>
  <c r="F1374" i="4"/>
  <c r="F1375" i="4"/>
  <c r="F1376" i="4"/>
  <c r="F1377" i="4"/>
  <c r="F1378" i="4"/>
  <c r="F1379" i="4"/>
  <c r="F1380" i="4"/>
  <c r="F1381" i="4"/>
  <c r="F1382" i="4"/>
  <c r="F1383" i="4"/>
  <c r="F1384" i="4"/>
  <c r="F1385" i="4"/>
  <c r="F1386" i="4"/>
  <c r="F1387" i="4"/>
  <c r="F1388" i="4"/>
  <c r="F1389" i="4"/>
  <c r="F1390" i="4"/>
  <c r="F1391" i="4"/>
  <c r="F1392" i="4"/>
  <c r="F1393" i="4"/>
  <c r="F1394" i="4"/>
  <c r="F1395" i="4"/>
  <c r="F1396" i="4"/>
  <c r="F1397" i="4"/>
  <c r="F1398" i="4"/>
  <c r="F1399" i="4"/>
  <c r="F1400" i="4"/>
  <c r="F1401" i="4"/>
  <c r="F1402" i="4"/>
  <c r="F1403" i="4"/>
  <c r="F1404" i="4"/>
  <c r="F1405" i="4"/>
  <c r="F1406" i="4"/>
  <c r="F1407" i="4"/>
  <c r="F1408" i="4"/>
  <c r="F1409" i="4"/>
  <c r="F1410" i="4"/>
  <c r="F1411" i="4"/>
  <c r="F1412" i="4"/>
  <c r="F1413" i="4"/>
  <c r="F1414" i="4"/>
  <c r="F1415" i="4"/>
  <c r="F1416" i="4"/>
  <c r="F1417" i="4"/>
  <c r="F1418" i="4"/>
  <c r="F1419" i="4"/>
  <c r="F1420" i="4"/>
  <c r="F1421" i="4"/>
  <c r="F1422" i="4"/>
  <c r="F1423" i="4"/>
  <c r="F1424" i="4"/>
  <c r="F1425" i="4"/>
  <c r="F1426" i="4"/>
  <c r="F1427" i="4"/>
  <c r="F1428" i="4"/>
  <c r="F1429" i="4"/>
  <c r="F1430" i="4"/>
  <c r="F1431" i="4"/>
  <c r="F1432" i="4"/>
  <c r="F1433" i="4"/>
  <c r="F1434" i="4"/>
  <c r="F1435" i="4"/>
  <c r="F1436" i="4"/>
  <c r="F1437" i="4"/>
  <c r="F1438" i="4"/>
  <c r="F1439" i="4"/>
  <c r="F1440" i="4"/>
  <c r="F1441" i="4"/>
  <c r="F1442" i="4"/>
  <c r="F1443" i="4"/>
  <c r="F1444" i="4"/>
  <c r="F1445" i="4"/>
  <c r="F1446" i="4"/>
  <c r="F1447" i="4"/>
  <c r="F1448" i="4"/>
  <c r="F1449" i="4"/>
  <c r="F1450" i="4"/>
  <c r="F1451" i="4"/>
  <c r="F1452" i="4"/>
  <c r="F1453" i="4"/>
  <c r="F1454" i="4"/>
  <c r="F1455" i="4"/>
  <c r="F1456" i="4"/>
  <c r="F1457" i="4"/>
  <c r="F1458" i="4"/>
  <c r="F1459" i="4"/>
  <c r="F1460" i="4"/>
  <c r="F1461" i="4"/>
  <c r="F1462" i="4"/>
  <c r="F1463" i="4"/>
  <c r="F1464" i="4"/>
  <c r="F1465" i="4"/>
  <c r="F1466" i="4"/>
  <c r="F1467" i="4"/>
  <c r="F1468" i="4"/>
  <c r="F1469" i="4"/>
  <c r="F1470" i="4"/>
  <c r="F1471" i="4"/>
  <c r="F1472" i="4"/>
  <c r="F1473" i="4"/>
  <c r="F1474" i="4"/>
  <c r="F1475" i="4"/>
  <c r="F1476" i="4"/>
  <c r="F1477" i="4"/>
  <c r="F1478" i="4"/>
  <c r="F1479" i="4"/>
  <c r="F1480" i="4"/>
  <c r="F1481" i="4"/>
  <c r="F1482" i="4"/>
  <c r="F1483" i="4"/>
  <c r="F1484" i="4"/>
  <c r="F1485" i="4"/>
  <c r="F1486" i="4"/>
  <c r="F1487" i="4"/>
  <c r="F1488" i="4"/>
  <c r="F1489" i="4"/>
  <c r="F1490" i="4"/>
  <c r="F1491" i="4"/>
  <c r="F1492" i="4"/>
  <c r="F1493" i="4"/>
  <c r="F1494" i="4"/>
  <c r="F1495" i="4"/>
  <c r="F1496" i="4"/>
  <c r="F1497" i="4"/>
  <c r="F1498" i="4"/>
  <c r="F1499" i="4"/>
  <c r="F1500" i="4"/>
  <c r="F1501" i="4"/>
  <c r="F1502" i="4"/>
  <c r="F1503" i="4"/>
  <c r="F1504" i="4"/>
  <c r="F1505" i="4"/>
  <c r="F1506" i="4"/>
  <c r="F1507" i="4"/>
  <c r="F1508" i="4"/>
  <c r="F1509" i="4"/>
  <c r="F1510" i="4"/>
  <c r="F1511" i="4"/>
  <c r="F1512" i="4"/>
  <c r="F1513" i="4"/>
  <c r="F1514" i="4"/>
  <c r="F1515" i="4"/>
  <c r="F1516" i="4"/>
  <c r="F1517" i="4"/>
  <c r="F1518" i="4"/>
  <c r="F1519" i="4"/>
  <c r="F1520" i="4"/>
  <c r="F1521" i="4"/>
  <c r="F1522" i="4"/>
  <c r="F1523" i="4"/>
  <c r="F1524" i="4"/>
  <c r="F1525" i="4"/>
  <c r="F1526" i="4"/>
  <c r="F1527" i="4"/>
  <c r="F1528" i="4"/>
  <c r="F1529" i="4"/>
  <c r="F1530" i="4"/>
  <c r="F1531" i="4"/>
  <c r="F1532" i="4"/>
  <c r="F1533" i="4"/>
  <c r="F1534" i="4"/>
  <c r="F1535" i="4"/>
  <c r="F1536" i="4"/>
  <c r="F1537" i="4"/>
  <c r="F1538" i="4"/>
  <c r="F1539" i="4"/>
  <c r="F1540" i="4"/>
  <c r="F1541" i="4"/>
  <c r="F1542" i="4"/>
  <c r="F1543" i="4"/>
  <c r="F1544" i="4"/>
  <c r="F1545" i="4"/>
  <c r="F1546" i="4"/>
  <c r="F1547" i="4"/>
  <c r="F1548" i="4"/>
  <c r="F1549" i="4"/>
  <c r="F1550" i="4"/>
  <c r="F1551" i="4"/>
  <c r="F1552" i="4"/>
  <c r="F1553" i="4"/>
  <c r="F1554" i="4"/>
  <c r="F1555" i="4"/>
  <c r="F1556" i="4"/>
  <c r="F1557" i="4"/>
  <c r="F1558" i="4"/>
  <c r="F1559" i="4"/>
  <c r="F1560" i="4"/>
  <c r="F1561" i="4"/>
  <c r="F1562" i="4"/>
  <c r="F1563" i="4"/>
  <c r="F1564" i="4"/>
  <c r="F1565" i="4"/>
  <c r="F1566" i="4"/>
  <c r="F1567" i="4"/>
  <c r="F1568" i="4"/>
  <c r="F1569" i="4"/>
  <c r="F1570" i="4"/>
  <c r="F1571" i="4"/>
  <c r="F1572" i="4"/>
  <c r="F1573" i="4"/>
  <c r="F1574" i="4"/>
  <c r="F1575" i="4"/>
  <c r="F1576" i="4"/>
  <c r="F1577" i="4"/>
  <c r="F1578" i="4"/>
  <c r="F1579" i="4"/>
  <c r="F1580" i="4"/>
  <c r="F1581" i="4"/>
  <c r="F1582" i="4"/>
  <c r="F1583" i="4"/>
  <c r="F1584" i="4"/>
  <c r="F1585" i="4"/>
  <c r="F1586" i="4"/>
  <c r="F1587" i="4"/>
  <c r="F1588" i="4"/>
  <c r="F1589" i="4"/>
  <c r="F1590" i="4"/>
  <c r="F1591" i="4"/>
  <c r="F1592" i="4"/>
  <c r="F1593" i="4"/>
  <c r="F1594" i="4"/>
  <c r="F1595" i="4"/>
  <c r="F1596" i="4"/>
  <c r="F1597" i="4"/>
  <c r="F1598" i="4"/>
  <c r="F1599" i="4"/>
  <c r="F1600" i="4"/>
  <c r="F1601" i="4"/>
  <c r="F1602" i="4"/>
  <c r="F1603" i="4"/>
  <c r="F1604" i="4"/>
  <c r="F1605" i="4"/>
  <c r="F1606" i="4"/>
  <c r="F1607" i="4"/>
  <c r="F1608" i="4"/>
  <c r="F1609" i="4"/>
  <c r="F1610" i="4"/>
  <c r="F1611" i="4"/>
  <c r="F1612" i="4"/>
  <c r="F1613" i="4"/>
  <c r="F1614" i="4"/>
  <c r="F1615" i="4"/>
  <c r="F1616" i="4"/>
  <c r="F1617" i="4"/>
  <c r="F1618" i="4"/>
  <c r="F1619" i="4"/>
  <c r="F1620" i="4"/>
  <c r="F1621" i="4"/>
  <c r="F1622" i="4"/>
  <c r="F1623" i="4"/>
  <c r="F1624" i="4"/>
  <c r="F1625" i="4"/>
  <c r="F1626" i="4"/>
  <c r="F1627" i="4"/>
  <c r="F1628" i="4"/>
  <c r="F1629" i="4"/>
  <c r="F1630" i="4"/>
  <c r="F1631" i="4"/>
  <c r="F1632" i="4"/>
  <c r="F1633" i="4"/>
  <c r="F1634" i="4"/>
  <c r="F1635" i="4"/>
  <c r="F1636" i="4"/>
  <c r="F1637" i="4"/>
  <c r="F1638" i="4"/>
  <c r="F1639" i="4"/>
  <c r="F1640" i="4"/>
  <c r="F1641" i="4"/>
  <c r="F1642" i="4"/>
  <c r="F1643" i="4"/>
  <c r="F1644" i="4"/>
  <c r="F1645" i="4"/>
  <c r="F1646" i="4"/>
  <c r="F1647" i="4"/>
  <c r="F1648" i="4"/>
  <c r="F1649" i="4"/>
  <c r="F1650" i="4"/>
  <c r="F1651" i="4"/>
  <c r="F1652" i="4"/>
  <c r="F1653" i="4"/>
  <c r="F1654" i="4"/>
  <c r="F1655" i="4"/>
  <c r="F1656" i="4"/>
  <c r="F1657" i="4"/>
  <c r="F1658" i="4"/>
  <c r="F1659" i="4"/>
  <c r="F1660" i="4"/>
  <c r="F1661" i="4"/>
  <c r="F1662" i="4"/>
  <c r="F1663" i="4"/>
  <c r="F1664" i="4"/>
  <c r="F1665" i="4"/>
  <c r="F1666" i="4"/>
  <c r="F1667" i="4"/>
  <c r="F1668" i="4"/>
  <c r="F1669" i="4"/>
  <c r="F1670" i="4"/>
  <c r="F1671" i="4"/>
  <c r="F1672" i="4"/>
  <c r="F1673" i="4"/>
  <c r="F1674" i="4"/>
  <c r="F1675" i="4"/>
  <c r="F1676" i="4"/>
  <c r="F1677" i="4"/>
  <c r="F1678" i="4"/>
  <c r="F1679" i="4"/>
  <c r="F1680" i="4"/>
  <c r="F1681" i="4"/>
  <c r="F1682" i="4"/>
  <c r="F1683" i="4"/>
  <c r="F1684" i="4"/>
  <c r="F1685" i="4"/>
  <c r="F1686" i="4"/>
  <c r="F1687" i="4"/>
  <c r="F1688" i="4"/>
  <c r="F1689" i="4"/>
  <c r="F1690" i="4"/>
  <c r="F1691" i="4"/>
  <c r="F1692" i="4"/>
  <c r="F1693" i="4"/>
  <c r="F1694" i="4"/>
  <c r="F1695" i="4"/>
  <c r="F1696" i="4"/>
  <c r="F1697" i="4"/>
  <c r="F1698" i="4"/>
  <c r="F1699" i="4"/>
  <c r="F1700" i="4"/>
  <c r="F1701" i="4"/>
  <c r="F1702" i="4"/>
  <c r="F1703" i="4"/>
  <c r="F1704" i="4"/>
  <c r="F1705" i="4"/>
  <c r="F1706" i="4"/>
  <c r="F1707" i="4"/>
  <c r="F1708" i="4"/>
  <c r="F1709" i="4"/>
  <c r="F1710" i="4"/>
  <c r="F1711" i="4"/>
  <c r="F1712" i="4"/>
  <c r="F1713" i="4"/>
  <c r="F1714" i="4"/>
  <c r="F1715" i="4"/>
  <c r="F1716" i="4"/>
  <c r="F1717" i="4"/>
  <c r="F1718" i="4"/>
  <c r="F1719" i="4"/>
  <c r="F1720" i="4"/>
  <c r="F1721" i="4"/>
  <c r="F1722" i="4"/>
  <c r="F1723" i="4"/>
  <c r="F1724" i="4"/>
  <c r="F1725" i="4"/>
  <c r="F1726" i="4"/>
  <c r="F1727" i="4"/>
  <c r="F1728" i="4"/>
  <c r="F1729" i="4"/>
  <c r="F1730" i="4"/>
  <c r="F1731" i="4"/>
  <c r="F1732" i="4"/>
  <c r="F1733" i="4"/>
  <c r="F1734" i="4"/>
  <c r="F1735" i="4"/>
  <c r="F1736" i="4"/>
  <c r="F1737" i="4"/>
  <c r="F1738" i="4"/>
  <c r="F1739" i="4"/>
  <c r="F1740" i="4"/>
  <c r="F1741" i="4"/>
  <c r="F1742" i="4"/>
  <c r="F1743" i="4"/>
  <c r="F1744" i="4"/>
  <c r="F1745" i="4"/>
  <c r="F1746" i="4"/>
  <c r="F1747" i="4"/>
  <c r="F1748" i="4"/>
  <c r="F1749" i="4"/>
  <c r="F1750" i="4"/>
  <c r="F1751" i="4"/>
  <c r="F1752" i="4"/>
  <c r="F1753" i="4"/>
  <c r="F1754" i="4"/>
  <c r="F1755" i="4"/>
  <c r="F1756" i="4"/>
  <c r="F1757" i="4"/>
  <c r="F1758" i="4"/>
  <c r="F1759" i="4"/>
  <c r="F1760" i="4"/>
  <c r="F1761" i="4"/>
  <c r="F1762" i="4"/>
  <c r="F1763" i="4"/>
  <c r="F1764" i="4"/>
  <c r="F1765" i="4"/>
  <c r="F1766" i="4"/>
  <c r="F1767" i="4"/>
  <c r="F1768" i="4"/>
  <c r="F1769" i="4"/>
  <c r="F1770" i="4"/>
  <c r="F1771" i="4"/>
  <c r="F1772" i="4"/>
  <c r="F1773" i="4"/>
  <c r="F1774" i="4"/>
  <c r="F1775" i="4"/>
  <c r="F1776" i="4"/>
  <c r="F1777" i="4"/>
  <c r="F1778" i="4"/>
  <c r="F1779" i="4"/>
  <c r="F1780" i="4"/>
  <c r="F1781" i="4"/>
  <c r="F1782" i="4"/>
  <c r="F1783" i="4"/>
  <c r="F1784" i="4"/>
  <c r="F1785" i="4"/>
  <c r="F1786" i="4"/>
  <c r="F1787" i="4"/>
  <c r="F1788" i="4"/>
  <c r="F1789" i="4"/>
  <c r="F1790" i="4"/>
  <c r="F1791" i="4"/>
  <c r="F1792" i="4"/>
  <c r="F1793" i="4"/>
  <c r="F1794" i="4"/>
  <c r="F1795" i="4"/>
  <c r="F1796" i="4"/>
  <c r="F1797" i="4"/>
  <c r="F1798" i="4"/>
  <c r="F1799" i="4"/>
  <c r="F1800" i="4"/>
  <c r="F1801" i="4"/>
  <c r="F1802" i="4"/>
  <c r="F1803" i="4"/>
  <c r="F1804" i="4"/>
  <c r="F1805" i="4"/>
  <c r="F1806" i="4"/>
  <c r="F1807" i="4"/>
  <c r="F1808" i="4"/>
  <c r="F1809" i="4"/>
  <c r="F1810" i="4"/>
  <c r="F1811" i="4"/>
  <c r="F1812" i="4"/>
  <c r="F1813" i="4"/>
  <c r="F1814" i="4"/>
  <c r="F1815" i="4"/>
  <c r="F1816" i="4"/>
  <c r="F1817" i="4"/>
  <c r="F1818" i="4"/>
  <c r="F1819" i="4"/>
  <c r="F1820" i="4"/>
  <c r="F1821" i="4"/>
  <c r="F1822" i="4"/>
  <c r="F1823" i="4"/>
  <c r="F1824" i="4"/>
  <c r="F1825" i="4"/>
  <c r="F1826" i="4"/>
  <c r="F1827" i="4"/>
  <c r="F1828" i="4"/>
  <c r="F1829" i="4"/>
  <c r="F1830" i="4"/>
  <c r="F1831" i="4"/>
  <c r="F1832" i="4"/>
  <c r="F1833" i="4"/>
  <c r="F1834" i="4"/>
  <c r="F1835" i="4"/>
  <c r="F1836" i="4"/>
  <c r="F1837" i="4"/>
  <c r="F1838" i="4"/>
  <c r="F1839" i="4"/>
  <c r="F1840" i="4"/>
  <c r="F1841" i="4"/>
  <c r="F1842" i="4"/>
  <c r="F1843" i="4"/>
  <c r="F1844" i="4"/>
  <c r="F1845" i="4"/>
  <c r="F1846" i="4"/>
  <c r="F1847" i="4"/>
  <c r="F1848" i="4"/>
  <c r="F1849" i="4"/>
  <c r="F1850" i="4"/>
  <c r="F1851" i="4"/>
  <c r="F1852" i="4"/>
  <c r="F1853" i="4"/>
  <c r="F1854" i="4"/>
  <c r="F1855" i="4"/>
  <c r="F1856" i="4"/>
  <c r="F1857" i="4"/>
  <c r="F1858" i="4"/>
  <c r="F1859" i="4"/>
  <c r="F1860" i="4"/>
  <c r="F1861" i="4"/>
  <c r="F1862" i="4"/>
  <c r="F1863" i="4"/>
  <c r="F1864" i="4"/>
  <c r="F1865" i="4"/>
  <c r="F1866" i="4"/>
  <c r="F1867" i="4"/>
  <c r="F1868" i="4"/>
  <c r="F1869" i="4"/>
  <c r="F1870" i="4"/>
  <c r="F1871" i="4"/>
  <c r="F1872" i="4"/>
  <c r="F1873" i="4"/>
  <c r="F1874" i="4"/>
  <c r="F1875" i="4"/>
  <c r="F1876" i="4"/>
  <c r="F1877" i="4"/>
  <c r="F1878" i="4"/>
  <c r="F1879" i="4"/>
  <c r="F1880" i="4"/>
  <c r="F1881" i="4"/>
  <c r="F1882" i="4"/>
  <c r="F1883" i="4"/>
  <c r="F1884" i="4"/>
  <c r="F1885" i="4"/>
  <c r="F1886" i="4"/>
  <c r="F1887" i="4"/>
  <c r="F1888" i="4"/>
  <c r="F1889" i="4"/>
  <c r="F1890" i="4"/>
  <c r="F1891" i="4"/>
  <c r="F1892" i="4"/>
  <c r="F1893" i="4"/>
  <c r="F1894" i="4"/>
  <c r="F1895" i="4"/>
  <c r="F1896" i="4"/>
  <c r="F1897" i="4"/>
  <c r="F1898" i="4"/>
  <c r="F1899" i="4"/>
  <c r="F1900" i="4"/>
  <c r="F1901" i="4"/>
  <c r="F1902" i="4"/>
  <c r="F1903" i="4"/>
  <c r="F1904" i="4"/>
  <c r="F1905" i="4"/>
  <c r="F1906" i="4"/>
  <c r="F1907" i="4"/>
  <c r="F1908" i="4"/>
  <c r="F1909" i="4"/>
  <c r="F1910" i="4"/>
  <c r="F1911" i="4"/>
  <c r="F1912" i="4"/>
  <c r="F1913" i="4"/>
  <c r="F1914" i="4"/>
  <c r="F1915" i="4"/>
  <c r="F1916" i="4"/>
  <c r="F1917" i="4"/>
  <c r="F1918" i="4"/>
  <c r="F1919" i="4"/>
  <c r="F1920" i="4"/>
  <c r="F1921" i="4"/>
  <c r="F1922" i="4"/>
  <c r="F1923" i="4"/>
  <c r="F1924" i="4"/>
  <c r="F1925" i="4"/>
  <c r="F1926" i="4"/>
  <c r="F1927" i="4"/>
  <c r="F1928" i="4"/>
  <c r="F1929" i="4"/>
  <c r="F1930" i="4"/>
  <c r="F1931" i="4"/>
  <c r="F1932" i="4"/>
  <c r="F1933" i="4"/>
  <c r="F1934" i="4"/>
  <c r="F1935" i="4"/>
  <c r="F1936" i="4"/>
  <c r="F1937" i="4"/>
  <c r="F1938" i="4"/>
  <c r="F1939" i="4"/>
  <c r="F1940" i="4"/>
  <c r="F1941" i="4"/>
  <c r="F1942" i="4"/>
  <c r="F1943" i="4"/>
  <c r="F1944" i="4"/>
  <c r="F1945" i="4"/>
  <c r="F1946" i="4"/>
  <c r="F1947" i="4"/>
  <c r="F1948" i="4"/>
  <c r="F1949" i="4"/>
  <c r="F1950" i="4"/>
  <c r="F1951" i="4"/>
  <c r="F1952" i="4"/>
  <c r="F1953" i="4"/>
  <c r="F1954" i="4"/>
  <c r="F1955" i="4"/>
  <c r="F1956" i="4"/>
  <c r="F1957" i="4"/>
  <c r="F1958" i="4"/>
  <c r="F1959" i="4"/>
  <c r="F1960" i="4"/>
  <c r="F1961" i="4"/>
  <c r="F1962" i="4"/>
  <c r="F1963" i="4"/>
  <c r="F1964" i="4"/>
  <c r="F1965" i="4"/>
  <c r="F1966" i="4"/>
  <c r="F1967" i="4"/>
  <c r="F1968" i="4"/>
  <c r="F1969" i="4"/>
  <c r="F1970" i="4"/>
  <c r="F1971" i="4"/>
  <c r="F1972" i="4"/>
  <c r="F1973" i="4"/>
  <c r="F1974" i="4"/>
  <c r="F1975" i="4"/>
  <c r="F1976" i="4"/>
  <c r="F1977" i="4"/>
  <c r="F1978" i="4"/>
  <c r="F1979" i="4"/>
  <c r="F1980" i="4"/>
  <c r="F1981" i="4"/>
  <c r="F1982" i="4"/>
  <c r="F1983" i="4"/>
  <c r="F1984" i="4"/>
  <c r="F1985" i="4"/>
  <c r="F1986" i="4"/>
  <c r="F1987" i="4"/>
  <c r="F1988" i="4"/>
  <c r="F1989" i="4"/>
  <c r="F1990" i="4"/>
  <c r="F1991" i="4"/>
  <c r="F1992" i="4"/>
  <c r="F1993" i="4"/>
  <c r="F1994" i="4"/>
  <c r="F1995" i="4"/>
  <c r="F1996" i="4"/>
  <c r="F1997" i="4"/>
  <c r="F1998" i="4"/>
  <c r="F1999" i="4"/>
  <c r="F2000" i="4"/>
  <c r="F2001" i="4"/>
  <c r="F2002" i="4"/>
  <c r="F2003" i="4"/>
  <c r="F2004" i="4"/>
  <c r="F2005" i="4"/>
  <c r="F2006" i="4"/>
  <c r="F2007" i="4"/>
  <c r="F2008" i="4"/>
  <c r="F2009" i="4"/>
  <c r="F2010" i="4"/>
  <c r="F2011" i="4"/>
  <c r="F2012" i="4"/>
  <c r="F2013" i="4"/>
  <c r="F2014" i="4"/>
  <c r="F2015" i="4"/>
  <c r="F2016" i="4"/>
  <c r="F2017" i="4"/>
  <c r="F2018" i="4"/>
  <c r="F2019" i="4"/>
  <c r="F2020" i="4"/>
  <c r="F2021" i="4"/>
  <c r="F2022" i="4"/>
  <c r="F2023" i="4"/>
  <c r="F2024" i="4"/>
  <c r="F2025" i="4"/>
  <c r="F2026" i="4"/>
  <c r="F2027" i="4"/>
  <c r="F2028" i="4"/>
  <c r="F2029" i="4"/>
  <c r="F2030" i="4"/>
  <c r="F2031" i="4"/>
  <c r="F2032" i="4"/>
  <c r="F2033" i="4"/>
  <c r="F2034" i="4"/>
  <c r="F2035" i="4"/>
  <c r="F2036" i="4"/>
  <c r="F2037" i="4"/>
  <c r="F2038" i="4"/>
  <c r="F2039" i="4"/>
  <c r="F2040" i="4"/>
  <c r="F2041" i="4"/>
  <c r="F2042" i="4"/>
  <c r="F2043" i="4"/>
  <c r="F2044" i="4"/>
  <c r="F2045" i="4"/>
  <c r="F2046" i="4"/>
  <c r="F2047" i="4"/>
  <c r="F2048" i="4"/>
  <c r="F2049" i="4"/>
  <c r="F2050" i="4"/>
  <c r="F2051" i="4"/>
  <c r="F2052" i="4"/>
  <c r="F2053" i="4"/>
  <c r="F2054" i="4"/>
  <c r="F2055" i="4"/>
  <c r="F2056" i="4"/>
  <c r="F2057" i="4"/>
  <c r="F2058" i="4"/>
  <c r="F2059" i="4"/>
  <c r="F2060" i="4"/>
  <c r="F2061" i="4"/>
  <c r="F2062" i="4"/>
  <c r="F2063" i="4"/>
  <c r="F2064" i="4"/>
  <c r="F2065" i="4"/>
  <c r="F2066" i="4"/>
  <c r="F2067" i="4"/>
  <c r="F2068" i="4"/>
  <c r="F2069" i="4"/>
  <c r="F2070" i="4"/>
  <c r="F2071" i="4"/>
  <c r="F2072" i="4"/>
  <c r="F2073" i="4"/>
  <c r="F2074" i="4"/>
  <c r="F2075" i="4"/>
  <c r="F2076" i="4"/>
  <c r="F2077" i="4"/>
  <c r="F2078" i="4"/>
  <c r="F2079" i="4"/>
  <c r="F2080" i="4"/>
  <c r="F2081" i="4"/>
  <c r="F2082" i="4"/>
  <c r="F2083" i="4"/>
  <c r="F2084" i="4"/>
  <c r="F2085" i="4"/>
  <c r="F2086" i="4"/>
  <c r="F2087" i="4"/>
  <c r="F2088" i="4"/>
  <c r="F2089" i="4"/>
  <c r="F2090" i="4"/>
  <c r="F2091" i="4"/>
  <c r="F2092" i="4"/>
  <c r="F2093" i="4"/>
  <c r="F2094" i="4"/>
  <c r="F2095" i="4"/>
  <c r="F2096" i="4"/>
  <c r="F2097" i="4"/>
  <c r="F2098" i="4"/>
  <c r="F2099" i="4"/>
  <c r="F2100" i="4"/>
  <c r="F2101" i="4"/>
  <c r="F2102" i="4"/>
  <c r="F2103" i="4"/>
  <c r="F2104" i="4"/>
  <c r="F2105" i="4"/>
  <c r="F2106" i="4"/>
  <c r="F2107" i="4"/>
  <c r="F2108" i="4"/>
  <c r="F2109" i="4"/>
  <c r="F2110" i="4"/>
  <c r="F2111" i="4"/>
  <c r="F2112" i="4"/>
  <c r="F2113" i="4"/>
  <c r="F2114" i="4"/>
  <c r="F2115" i="4"/>
  <c r="F2116" i="4"/>
  <c r="F2117" i="4"/>
  <c r="F2118" i="4"/>
  <c r="F2119" i="4"/>
  <c r="F2120" i="4"/>
  <c r="F2121" i="4"/>
  <c r="F2122" i="4"/>
  <c r="F2123" i="4"/>
  <c r="F2124" i="4"/>
  <c r="F2125" i="4"/>
  <c r="F2126" i="4"/>
  <c r="F2127" i="4"/>
  <c r="F2128" i="4"/>
  <c r="F2129" i="4"/>
  <c r="F2130" i="4"/>
  <c r="F2131" i="4"/>
  <c r="F2132" i="4"/>
  <c r="F2133" i="4"/>
  <c r="F2134" i="4"/>
  <c r="F2135" i="4"/>
  <c r="F2136" i="4"/>
  <c r="F2137" i="4"/>
  <c r="F2138" i="4"/>
  <c r="F2139" i="4"/>
  <c r="F2140" i="4"/>
  <c r="F2141" i="4"/>
  <c r="F2142" i="4"/>
  <c r="F2143" i="4"/>
  <c r="F2144" i="4"/>
  <c r="F2145" i="4"/>
  <c r="F2146" i="4"/>
  <c r="F2147" i="4"/>
  <c r="F2148" i="4"/>
  <c r="F2149" i="4"/>
  <c r="F2150" i="4"/>
  <c r="F2151" i="4"/>
  <c r="F2152" i="4"/>
  <c r="F2153" i="4"/>
  <c r="F2154" i="4"/>
  <c r="F2155" i="4"/>
  <c r="F2156" i="4"/>
  <c r="F2157" i="4"/>
  <c r="F2158" i="4"/>
  <c r="F2159" i="4"/>
  <c r="F2160" i="4"/>
  <c r="F2161" i="4"/>
  <c r="F2162" i="4"/>
  <c r="F2163" i="4"/>
  <c r="F2164" i="4"/>
  <c r="F2165" i="4"/>
  <c r="F2166" i="4"/>
  <c r="F2167" i="4"/>
  <c r="F2168" i="4"/>
  <c r="F2169" i="4"/>
  <c r="F2170" i="4"/>
  <c r="F2171" i="4"/>
  <c r="F2172" i="4"/>
  <c r="F2173" i="4"/>
  <c r="F2174" i="4"/>
  <c r="F2175" i="4"/>
  <c r="F2176" i="4"/>
  <c r="F2177" i="4"/>
  <c r="F2178" i="4"/>
  <c r="F2179" i="4"/>
  <c r="F2180" i="4"/>
  <c r="F2181" i="4"/>
  <c r="F2182" i="4"/>
  <c r="F2183" i="4"/>
  <c r="F2184" i="4"/>
  <c r="F2185" i="4"/>
  <c r="F2186" i="4"/>
  <c r="F2187" i="4"/>
  <c r="F2188" i="4"/>
  <c r="F2189" i="4"/>
  <c r="F2190" i="4"/>
  <c r="F2191" i="4"/>
  <c r="F2192" i="4"/>
  <c r="F2193" i="4"/>
  <c r="F2194" i="4"/>
  <c r="F2195" i="4"/>
  <c r="F2196" i="4"/>
  <c r="F2197" i="4"/>
  <c r="F2198" i="4"/>
  <c r="F2199" i="4"/>
  <c r="F2200" i="4"/>
  <c r="F2201" i="4"/>
  <c r="F2202" i="4"/>
  <c r="F2203" i="4"/>
  <c r="F2204" i="4"/>
  <c r="F2205" i="4"/>
  <c r="F2206" i="4"/>
  <c r="F2207" i="4"/>
  <c r="F2208" i="4"/>
  <c r="F2209" i="4"/>
  <c r="F2210" i="4"/>
  <c r="F2211" i="4"/>
  <c r="F2212" i="4"/>
  <c r="F2213" i="4"/>
  <c r="F2214" i="4"/>
  <c r="F2215" i="4"/>
  <c r="F2216" i="4"/>
  <c r="F2217" i="4"/>
  <c r="F2218" i="4"/>
  <c r="F2219" i="4"/>
  <c r="F2220" i="4"/>
  <c r="F2221" i="4"/>
  <c r="F2222" i="4"/>
  <c r="F2223" i="4"/>
  <c r="F2224" i="4"/>
  <c r="F2225" i="4"/>
  <c r="F2226" i="4"/>
  <c r="F2227" i="4"/>
  <c r="F2228" i="4"/>
  <c r="F2229" i="4"/>
  <c r="F2230" i="4"/>
  <c r="F2231" i="4"/>
  <c r="F2232" i="4"/>
  <c r="F2233" i="4"/>
  <c r="F2234" i="4"/>
  <c r="F2235" i="4"/>
  <c r="F2236" i="4"/>
  <c r="F2237" i="4"/>
  <c r="F2238" i="4"/>
  <c r="F2239" i="4"/>
  <c r="F2240" i="4"/>
  <c r="F2241" i="4"/>
  <c r="F2242" i="4"/>
  <c r="F2243" i="4"/>
  <c r="F2244" i="4"/>
  <c r="F2245" i="4"/>
  <c r="F2246" i="4"/>
  <c r="F2247" i="4"/>
  <c r="F2248" i="4"/>
  <c r="F2249" i="4"/>
  <c r="F2250" i="4"/>
  <c r="F2251" i="4"/>
  <c r="F2252" i="4"/>
  <c r="F2253" i="4"/>
  <c r="F2254" i="4"/>
  <c r="F2255" i="4"/>
  <c r="F2256" i="4"/>
  <c r="F2257" i="4"/>
  <c r="F2258" i="4"/>
  <c r="F2259" i="4"/>
  <c r="F2260" i="4"/>
  <c r="F2261" i="4"/>
  <c r="F2262" i="4"/>
  <c r="F2263" i="4"/>
  <c r="F2264" i="4"/>
  <c r="F2265" i="4"/>
  <c r="F2266" i="4"/>
  <c r="F2267" i="4"/>
  <c r="F2268" i="4"/>
  <c r="F2269" i="4"/>
  <c r="F2270" i="4"/>
  <c r="F2271" i="4"/>
  <c r="F2272" i="4"/>
  <c r="F2273" i="4"/>
  <c r="F2274" i="4"/>
  <c r="F2275" i="4"/>
  <c r="F2276" i="4"/>
  <c r="F2277" i="4"/>
  <c r="F2278" i="4"/>
  <c r="F2279" i="4"/>
  <c r="F2280" i="4"/>
  <c r="F2281" i="4"/>
  <c r="F2282" i="4"/>
  <c r="F2283" i="4"/>
  <c r="F2284" i="4"/>
  <c r="F2285" i="4"/>
  <c r="F2286" i="4"/>
  <c r="F2287" i="4"/>
  <c r="F2288" i="4"/>
  <c r="F2289" i="4"/>
  <c r="F2290" i="4"/>
  <c r="F2291" i="4"/>
  <c r="F2292" i="4"/>
  <c r="F2293" i="4"/>
  <c r="F2294" i="4"/>
  <c r="F2295" i="4"/>
  <c r="F2296" i="4"/>
  <c r="F2297" i="4"/>
  <c r="F2298" i="4"/>
  <c r="F2299" i="4"/>
  <c r="F2300" i="4"/>
  <c r="F2301" i="4"/>
  <c r="F2302" i="4"/>
  <c r="F2303" i="4"/>
  <c r="F2304" i="4"/>
  <c r="F2305" i="4"/>
  <c r="F2306" i="4"/>
  <c r="F2307" i="4"/>
  <c r="F2308" i="4"/>
  <c r="F2309" i="4"/>
  <c r="F2310" i="4"/>
  <c r="F2311" i="4"/>
  <c r="F2312" i="4"/>
  <c r="F2313" i="4"/>
  <c r="F2314" i="4"/>
  <c r="F2315" i="4"/>
  <c r="F2316" i="4"/>
  <c r="F2317" i="4"/>
  <c r="F2318" i="4"/>
  <c r="F2319" i="4"/>
  <c r="F2320" i="4"/>
  <c r="F2321" i="4"/>
  <c r="F2322" i="4"/>
  <c r="F2323" i="4"/>
  <c r="F2324" i="4"/>
  <c r="F2325" i="4"/>
  <c r="F2326" i="4"/>
  <c r="F2327" i="4"/>
  <c r="F2328" i="4"/>
  <c r="F2329" i="4"/>
  <c r="F2330" i="4"/>
  <c r="F2331" i="4"/>
  <c r="F2332" i="4"/>
  <c r="F2333" i="4"/>
  <c r="F2334" i="4"/>
  <c r="F2335" i="4"/>
  <c r="F2336" i="4"/>
  <c r="F2337" i="4"/>
  <c r="F2338" i="4"/>
  <c r="F2339" i="4"/>
  <c r="F2340" i="4"/>
  <c r="F2341" i="4"/>
  <c r="F2342" i="4"/>
  <c r="F2343" i="4"/>
  <c r="F2344" i="4"/>
  <c r="F2345" i="4"/>
  <c r="F2346" i="4"/>
  <c r="F2347" i="4"/>
  <c r="F2348" i="4"/>
  <c r="F2349" i="4"/>
  <c r="F2350" i="4"/>
  <c r="F2351" i="4"/>
  <c r="F2352" i="4"/>
  <c r="F2353" i="4"/>
  <c r="F2354" i="4"/>
  <c r="F2355" i="4"/>
  <c r="F2356" i="4"/>
  <c r="F2357" i="4"/>
  <c r="F2358" i="4"/>
  <c r="F2359" i="4"/>
  <c r="F2360" i="4"/>
  <c r="F2361" i="4"/>
  <c r="F2362" i="4"/>
  <c r="F2363" i="4"/>
  <c r="F2364" i="4"/>
  <c r="F2365" i="4"/>
  <c r="F2366" i="4"/>
  <c r="F2367" i="4"/>
  <c r="F2368" i="4"/>
  <c r="F2369" i="4"/>
  <c r="F2370" i="4"/>
  <c r="F2371" i="4"/>
  <c r="F2372" i="4"/>
  <c r="F2373" i="4"/>
  <c r="F2374" i="4"/>
  <c r="F2375" i="4"/>
  <c r="F2376" i="4"/>
  <c r="F2377" i="4"/>
  <c r="F2378" i="4"/>
  <c r="F2379" i="4"/>
  <c r="F2380" i="4"/>
  <c r="F2381" i="4"/>
  <c r="F2382" i="4"/>
  <c r="F2383" i="4"/>
  <c r="F2384" i="4"/>
  <c r="F2385" i="4"/>
  <c r="F2386" i="4"/>
  <c r="F2387" i="4"/>
  <c r="F2388" i="4"/>
  <c r="F2389" i="4"/>
  <c r="F2390" i="4"/>
  <c r="F2391" i="4"/>
  <c r="F2392" i="4"/>
  <c r="F2393" i="4"/>
  <c r="F2394" i="4"/>
  <c r="F2395" i="4"/>
  <c r="F2396" i="4"/>
  <c r="F2397" i="4"/>
  <c r="F2398" i="4"/>
  <c r="F2399" i="4"/>
  <c r="F2400" i="4"/>
  <c r="F2401" i="4"/>
  <c r="F2402" i="4"/>
  <c r="F2403" i="4"/>
  <c r="F2404" i="4"/>
  <c r="F2405" i="4"/>
  <c r="F2406" i="4"/>
  <c r="F2407" i="4"/>
  <c r="F2408" i="4"/>
  <c r="F2409" i="4"/>
  <c r="F2410" i="4"/>
  <c r="F2411" i="4"/>
  <c r="F2412" i="4"/>
  <c r="F2413" i="4"/>
  <c r="F2414" i="4"/>
  <c r="F2415" i="4"/>
  <c r="F2416" i="4"/>
  <c r="F2417" i="4"/>
  <c r="F2418" i="4"/>
  <c r="F2419" i="4"/>
  <c r="F2420" i="4"/>
  <c r="F2421" i="4"/>
  <c r="F2422" i="4"/>
  <c r="F2423" i="4"/>
  <c r="F2424" i="4"/>
  <c r="F2425" i="4"/>
  <c r="F2426" i="4"/>
  <c r="F2427" i="4"/>
  <c r="F2428" i="4"/>
  <c r="F2429" i="4"/>
  <c r="F2430" i="4"/>
  <c r="F2431" i="4"/>
  <c r="F2432" i="4"/>
  <c r="F2433" i="4"/>
  <c r="F2434" i="4"/>
  <c r="F2435" i="4"/>
  <c r="F2436" i="4"/>
  <c r="F2437" i="4"/>
  <c r="F2438" i="4"/>
  <c r="F2439" i="4"/>
  <c r="F2440" i="4"/>
  <c r="F2441" i="4"/>
  <c r="F2442" i="4"/>
  <c r="F2443" i="4"/>
  <c r="F2444" i="4"/>
  <c r="F2445" i="4"/>
  <c r="F2446" i="4"/>
  <c r="F2447" i="4"/>
  <c r="F2448" i="4"/>
  <c r="F2449" i="4"/>
  <c r="F2450" i="4"/>
  <c r="F2451" i="4"/>
  <c r="F2452" i="4"/>
  <c r="F2453" i="4"/>
  <c r="F2454" i="4"/>
  <c r="F2455" i="4"/>
  <c r="F2456" i="4"/>
  <c r="F2457" i="4"/>
  <c r="F2458" i="4"/>
  <c r="F2459" i="4"/>
  <c r="F2460" i="4"/>
  <c r="F2461" i="4"/>
  <c r="F2462" i="4"/>
  <c r="F2463" i="4"/>
  <c r="F2464" i="4"/>
  <c r="F2465" i="4"/>
  <c r="F2466" i="4"/>
  <c r="F2467" i="4"/>
  <c r="F2468" i="4"/>
  <c r="F2469" i="4"/>
  <c r="F2470" i="4"/>
  <c r="F2471" i="4"/>
  <c r="F2472" i="4"/>
  <c r="F2473" i="4"/>
  <c r="F2474" i="4"/>
  <c r="F2475" i="4"/>
  <c r="F2476" i="4"/>
  <c r="F2477" i="4"/>
  <c r="F2478" i="4"/>
  <c r="F2479" i="4"/>
  <c r="F2480" i="4"/>
  <c r="F2481" i="4"/>
  <c r="F2482" i="4"/>
  <c r="F2483" i="4"/>
  <c r="F2484" i="4"/>
  <c r="F2485" i="4"/>
  <c r="F2486" i="4"/>
  <c r="F2487" i="4"/>
  <c r="F2488" i="4"/>
  <c r="F2489" i="4"/>
  <c r="F2490" i="4"/>
  <c r="F2491" i="4"/>
  <c r="F2492" i="4"/>
  <c r="F2493" i="4"/>
  <c r="F2494" i="4"/>
  <c r="F2495" i="4"/>
  <c r="F2496" i="4"/>
  <c r="F2497" i="4"/>
  <c r="F2498" i="4"/>
  <c r="F2499" i="4"/>
  <c r="F2500" i="4"/>
  <c r="F2501" i="4"/>
  <c r="F2502" i="4"/>
  <c r="F2503" i="4"/>
  <c r="F2504" i="4"/>
  <c r="F2505" i="4"/>
  <c r="F2506" i="4"/>
  <c r="F2507" i="4"/>
  <c r="F2508" i="4"/>
  <c r="F2509" i="4"/>
  <c r="F2510" i="4"/>
  <c r="F2511" i="4"/>
  <c r="F2512" i="4"/>
  <c r="F2513" i="4"/>
  <c r="F2514" i="4"/>
  <c r="F2515" i="4"/>
  <c r="F2516" i="4"/>
  <c r="F2517" i="4"/>
  <c r="F2518" i="4"/>
  <c r="F2519" i="4"/>
  <c r="F2520" i="4"/>
  <c r="F2521" i="4"/>
  <c r="F2522" i="4"/>
  <c r="F2523" i="4"/>
  <c r="F2524" i="4"/>
  <c r="F2525" i="4"/>
  <c r="F2526" i="4"/>
  <c r="F2527" i="4"/>
  <c r="F2528" i="4"/>
  <c r="F2529" i="4"/>
  <c r="F2530" i="4"/>
  <c r="F2531" i="4"/>
  <c r="F2532" i="4"/>
  <c r="F2533" i="4"/>
  <c r="F2534" i="4"/>
  <c r="F2535" i="4"/>
  <c r="F2536" i="4"/>
  <c r="F2537" i="4"/>
  <c r="F2538" i="4"/>
  <c r="F2539" i="4"/>
  <c r="F2540" i="4"/>
  <c r="F2541" i="4"/>
  <c r="F2542" i="4"/>
  <c r="F2543" i="4"/>
  <c r="F2544" i="4"/>
  <c r="F2545" i="4"/>
  <c r="F2546" i="4"/>
  <c r="F2547" i="4"/>
  <c r="F2548" i="4"/>
  <c r="F2549" i="4"/>
  <c r="F2550" i="4"/>
  <c r="F2551" i="4"/>
  <c r="F2552" i="4"/>
  <c r="F2553" i="4"/>
  <c r="F2554" i="4"/>
  <c r="F2555" i="4"/>
  <c r="F2556" i="4"/>
  <c r="F2557" i="4"/>
  <c r="F2558" i="4"/>
  <c r="F2559" i="4"/>
  <c r="F2560" i="4"/>
  <c r="F2561" i="4"/>
  <c r="F2562" i="4"/>
  <c r="F2563" i="4"/>
  <c r="F2564" i="4"/>
  <c r="F2565" i="4"/>
  <c r="F2566" i="4"/>
  <c r="F2567" i="4"/>
  <c r="F2568" i="4"/>
  <c r="F2569" i="4"/>
  <c r="F2570" i="4"/>
  <c r="F2571" i="4"/>
  <c r="F2572" i="4"/>
  <c r="F2573" i="4"/>
  <c r="F2574" i="4"/>
  <c r="F2575" i="4"/>
  <c r="F2576" i="4"/>
  <c r="F2577" i="4"/>
  <c r="F2578" i="4"/>
  <c r="F2579" i="4"/>
  <c r="F2580" i="4"/>
  <c r="F2581" i="4"/>
  <c r="F2582" i="4"/>
  <c r="F2583" i="4"/>
  <c r="F2584" i="4"/>
  <c r="F2585" i="4"/>
  <c r="F2586" i="4"/>
  <c r="F2587" i="4"/>
  <c r="F2588" i="4"/>
  <c r="F2589" i="4"/>
  <c r="F2590" i="4"/>
  <c r="F2591" i="4"/>
  <c r="F2592" i="4"/>
  <c r="F2593" i="4"/>
  <c r="F2594" i="4"/>
  <c r="F2595" i="4"/>
  <c r="F2596" i="4"/>
  <c r="F2597" i="4"/>
  <c r="F2598" i="4"/>
  <c r="F2599" i="4"/>
  <c r="F2600" i="4"/>
  <c r="F2601" i="4"/>
  <c r="F2602" i="4"/>
  <c r="F2603" i="4"/>
  <c r="F2604" i="4"/>
  <c r="F2605" i="4"/>
  <c r="F2606" i="4"/>
  <c r="F2607" i="4"/>
  <c r="F2608" i="4"/>
  <c r="F2609" i="4"/>
  <c r="F2610" i="4"/>
  <c r="F2611" i="4"/>
  <c r="F2612" i="4"/>
  <c r="F2613" i="4"/>
  <c r="F2614" i="4"/>
  <c r="F2615" i="4"/>
  <c r="F2616" i="4"/>
  <c r="F2617" i="4"/>
  <c r="F2618" i="4"/>
  <c r="F2619" i="4"/>
  <c r="F2620" i="4"/>
  <c r="F2621" i="4"/>
  <c r="F2622" i="4"/>
  <c r="F2623" i="4"/>
  <c r="F2624" i="4"/>
  <c r="F2625" i="4"/>
  <c r="F2626" i="4"/>
  <c r="F2627" i="4"/>
  <c r="F2628" i="4"/>
  <c r="F2629" i="4"/>
  <c r="F2630" i="4"/>
  <c r="F2631" i="4"/>
  <c r="F2632" i="4"/>
  <c r="F2633" i="4"/>
  <c r="F2634" i="4"/>
  <c r="F2635" i="4"/>
  <c r="F2636" i="4"/>
  <c r="F2637" i="4"/>
  <c r="F2638" i="4"/>
  <c r="F2639" i="4"/>
  <c r="F2640" i="4"/>
  <c r="F2641" i="4"/>
  <c r="F2642" i="4"/>
  <c r="F2643" i="4"/>
  <c r="F2644" i="4"/>
  <c r="F2645" i="4"/>
  <c r="F2646" i="4"/>
  <c r="F2647" i="4"/>
  <c r="F2648" i="4"/>
  <c r="F2649" i="4"/>
  <c r="F2650" i="4"/>
  <c r="F2651" i="4"/>
  <c r="F2652" i="4"/>
  <c r="F2653" i="4"/>
  <c r="F2654" i="4"/>
  <c r="F2655" i="4"/>
  <c r="F2656" i="4"/>
  <c r="F2657" i="4"/>
  <c r="F2658" i="4"/>
  <c r="F2659" i="4"/>
  <c r="F2660" i="4"/>
  <c r="F2661" i="4"/>
  <c r="F2662" i="4"/>
  <c r="F2663" i="4"/>
  <c r="F2664" i="4"/>
  <c r="F2665" i="4"/>
  <c r="F2666" i="4"/>
  <c r="F2667" i="4"/>
  <c r="F2668" i="4"/>
  <c r="F2669" i="4"/>
  <c r="F2670" i="4"/>
  <c r="F2671" i="4"/>
  <c r="F2672" i="4"/>
  <c r="F2673" i="4"/>
  <c r="F2674" i="4"/>
  <c r="F2675" i="4"/>
  <c r="F2676" i="4"/>
  <c r="F2677" i="4"/>
  <c r="F2678" i="4"/>
  <c r="F2679" i="4"/>
  <c r="F2680" i="4"/>
  <c r="F2681" i="4"/>
  <c r="F2682" i="4"/>
  <c r="F2683" i="4"/>
  <c r="F2684" i="4"/>
  <c r="F2685" i="4"/>
  <c r="F2686" i="4"/>
  <c r="F2687" i="4"/>
  <c r="F2688" i="4"/>
  <c r="F2689" i="4"/>
  <c r="F2690" i="4"/>
  <c r="F2691" i="4"/>
  <c r="F2692" i="4"/>
  <c r="F2693" i="4"/>
  <c r="F2694" i="4"/>
  <c r="F2695" i="4"/>
  <c r="F2696" i="4"/>
  <c r="F2697" i="4"/>
  <c r="F2698" i="4"/>
  <c r="F2699" i="4"/>
  <c r="F2700" i="4"/>
  <c r="F2701" i="4"/>
  <c r="F2702" i="4"/>
  <c r="F2703" i="4"/>
  <c r="F2704" i="4"/>
  <c r="F2705" i="4"/>
  <c r="F2706" i="4"/>
  <c r="F2707" i="4"/>
  <c r="F2708" i="4"/>
  <c r="F2709" i="4"/>
  <c r="F2710" i="4"/>
  <c r="F2711" i="4"/>
  <c r="F2712" i="4"/>
  <c r="F2713" i="4"/>
  <c r="F2714" i="4"/>
  <c r="F2715" i="4"/>
  <c r="F2716" i="4"/>
  <c r="F2717" i="4"/>
  <c r="F2718" i="4"/>
  <c r="F2719" i="4"/>
  <c r="F2720" i="4"/>
  <c r="F2721" i="4"/>
  <c r="F2722" i="4"/>
  <c r="F2723" i="4"/>
  <c r="F2724" i="4"/>
  <c r="F2725" i="4"/>
  <c r="F2726" i="4"/>
  <c r="F2727" i="4"/>
  <c r="F2728" i="4"/>
  <c r="F2729" i="4"/>
  <c r="F2730" i="4"/>
  <c r="F2731" i="4"/>
  <c r="F2732" i="4"/>
  <c r="F2733" i="4"/>
  <c r="F2734" i="4"/>
  <c r="F2735" i="4"/>
  <c r="F2736" i="4"/>
  <c r="F2737" i="4"/>
  <c r="F2738" i="4"/>
  <c r="F2739" i="4"/>
  <c r="F2740" i="4"/>
  <c r="F2741" i="4"/>
  <c r="F2742" i="4"/>
  <c r="F2743" i="4"/>
  <c r="F2744" i="4"/>
  <c r="F2745" i="4"/>
  <c r="F2746" i="4"/>
  <c r="F2747" i="4"/>
  <c r="F2748" i="4"/>
  <c r="F2749" i="4"/>
  <c r="F2750" i="4"/>
  <c r="F2751" i="4"/>
  <c r="F2752" i="4"/>
  <c r="F2753" i="4"/>
  <c r="F2754" i="4"/>
  <c r="F2755" i="4"/>
  <c r="F2756" i="4"/>
  <c r="F2757" i="4"/>
  <c r="F2758" i="4"/>
  <c r="F2759" i="4"/>
  <c r="F2760" i="4"/>
  <c r="F2761" i="4"/>
  <c r="F2762" i="4"/>
  <c r="F2763" i="4"/>
  <c r="F2764" i="4"/>
  <c r="F2765" i="4"/>
  <c r="F2766" i="4"/>
  <c r="F2767" i="4"/>
  <c r="F2768" i="4"/>
  <c r="F2769" i="4"/>
  <c r="F2770" i="4"/>
  <c r="F2771" i="4"/>
  <c r="F2772" i="4"/>
  <c r="F2773" i="4"/>
  <c r="F2774" i="4"/>
  <c r="F2775" i="4"/>
  <c r="F2776" i="4"/>
  <c r="F2777" i="4"/>
  <c r="F2778" i="4"/>
  <c r="F2779" i="4"/>
  <c r="F2780" i="4"/>
  <c r="F2781" i="4"/>
  <c r="F2782" i="4"/>
  <c r="F2783" i="4"/>
  <c r="F2784" i="4"/>
  <c r="F2785" i="4"/>
  <c r="F2786" i="4"/>
  <c r="F2787" i="4"/>
  <c r="F2788" i="4"/>
  <c r="F2789" i="4"/>
  <c r="F2790" i="4"/>
  <c r="F2791" i="4"/>
  <c r="F2792" i="4"/>
  <c r="F2793" i="4"/>
  <c r="F2794" i="4"/>
  <c r="F2795" i="4"/>
  <c r="F2796" i="4"/>
  <c r="F2797" i="4"/>
  <c r="F2798" i="4"/>
  <c r="F2799" i="4"/>
  <c r="F2800" i="4"/>
  <c r="F2801" i="4"/>
  <c r="F2802" i="4"/>
  <c r="F2803" i="4"/>
  <c r="F2804" i="4"/>
  <c r="F2805" i="4"/>
  <c r="F2806" i="4"/>
  <c r="F2807" i="4"/>
  <c r="F2808" i="4"/>
  <c r="F2809" i="4"/>
  <c r="F2810" i="4"/>
  <c r="F2811" i="4"/>
  <c r="F2812" i="4"/>
  <c r="F2813" i="4"/>
  <c r="F2814" i="4"/>
  <c r="F2815" i="4"/>
  <c r="F2816" i="4"/>
  <c r="F2817" i="4"/>
  <c r="F2818" i="4"/>
  <c r="F2819" i="4"/>
  <c r="F2820" i="4"/>
  <c r="F2821" i="4"/>
  <c r="F2822" i="4"/>
  <c r="F2823" i="4"/>
  <c r="F2824" i="4"/>
  <c r="F2" i="4"/>
  <c r="K3" i="2"/>
  <c r="K4" i="2"/>
  <c r="K5" i="2"/>
  <c r="K6" i="2"/>
  <c r="K7" i="2"/>
  <c r="K2" i="2"/>
  <c r="N20" i="2"/>
  <c r="N21" i="2"/>
  <c r="N22" i="2"/>
  <c r="N23" i="2"/>
  <c r="N19" i="2"/>
  <c r="M20" i="2"/>
  <c r="M21" i="2"/>
  <c r="M22" i="2"/>
  <c r="M23" i="2"/>
  <c r="M19" i="2"/>
  <c r="L20" i="2"/>
  <c r="L21" i="2"/>
  <c r="L22" i="2"/>
  <c r="L23" i="2"/>
  <c r="L19" i="2"/>
  <c r="K20" i="2"/>
  <c r="K21" i="2"/>
  <c r="K22" i="2"/>
  <c r="K23" i="2"/>
  <c r="K19" i="2"/>
  <c r="E3" i="2"/>
  <c r="E4" i="2"/>
  <c r="E5" i="2"/>
  <c r="E6" i="2"/>
  <c r="E7" i="2"/>
  <c r="E2" i="2"/>
  <c r="L77" i="1"/>
  <c r="L76" i="1"/>
  <c r="M75" i="1"/>
  <c r="M68" i="1"/>
  <c r="M69" i="1"/>
  <c r="M70" i="1"/>
  <c r="M71" i="1"/>
  <c r="M67" i="1"/>
  <c r="L63" i="1"/>
  <c r="L62" i="1"/>
  <c r="L61" i="1"/>
  <c r="L57" i="1"/>
  <c r="L56" i="1"/>
  <c r="L53" i="1"/>
  <c r="L52" i="1"/>
  <c r="N48" i="1"/>
  <c r="M48" i="1"/>
  <c r="F18" i="1"/>
  <c r="F17" i="1"/>
  <c r="G18" i="1"/>
  <c r="G17" i="1"/>
  <c r="F47" i="1"/>
  <c r="G47" i="1"/>
  <c r="F34" i="1"/>
  <c r="E34" i="1"/>
  <c r="E33" i="1"/>
  <c r="A16" i="1"/>
  <c r="A15" i="1"/>
  <c r="A14" i="1"/>
  <c r="A13" i="1"/>
  <c r="E2824" i="4"/>
  <c r="D2824" i="4"/>
  <c r="C2824" i="4"/>
  <c r="E2823" i="4"/>
  <c r="D2823" i="4"/>
  <c r="C2823" i="4"/>
  <c r="E2822" i="4"/>
  <c r="D2822" i="4"/>
  <c r="C2822" i="4"/>
  <c r="E2821" i="4"/>
  <c r="D2821" i="4"/>
  <c r="C2821" i="4"/>
  <c r="E2820" i="4"/>
  <c r="D2820" i="4"/>
  <c r="C2820" i="4"/>
  <c r="E2819" i="4"/>
  <c r="D2819" i="4"/>
  <c r="C2819" i="4"/>
  <c r="E2818" i="4"/>
  <c r="D2818" i="4"/>
  <c r="C2818" i="4"/>
  <c r="E2817" i="4"/>
  <c r="D2817" i="4"/>
  <c r="C2817" i="4"/>
  <c r="E2816" i="4"/>
  <c r="D2816" i="4"/>
  <c r="C2816" i="4"/>
  <c r="E2815" i="4"/>
  <c r="D2815" i="4"/>
  <c r="C2815" i="4"/>
  <c r="E2814" i="4"/>
  <c r="D2814" i="4"/>
  <c r="C2814" i="4"/>
  <c r="E2813" i="4"/>
  <c r="D2813" i="4"/>
  <c r="C2813" i="4"/>
  <c r="E2812" i="4"/>
  <c r="D2812" i="4"/>
  <c r="C2812" i="4"/>
  <c r="E2811" i="4"/>
  <c r="D2811" i="4"/>
  <c r="C2811" i="4"/>
  <c r="E2810" i="4"/>
  <c r="D2810" i="4"/>
  <c r="C2810" i="4"/>
  <c r="E2809" i="4"/>
  <c r="D2809" i="4"/>
  <c r="C2809" i="4"/>
  <c r="E2808" i="4"/>
  <c r="D2808" i="4"/>
  <c r="C2808" i="4"/>
  <c r="E2807" i="4"/>
  <c r="D2807" i="4"/>
  <c r="C2807" i="4"/>
  <c r="E2806" i="4"/>
  <c r="D2806" i="4"/>
  <c r="C2806" i="4"/>
  <c r="E2805" i="4"/>
  <c r="D2805" i="4"/>
  <c r="C2805" i="4"/>
  <c r="E2804" i="4"/>
  <c r="D2804" i="4"/>
  <c r="C2804" i="4"/>
  <c r="E2803" i="4"/>
  <c r="D2803" i="4"/>
  <c r="C2803" i="4"/>
  <c r="E2802" i="4"/>
  <c r="D2802" i="4"/>
  <c r="C2802" i="4"/>
  <c r="E2801" i="4"/>
  <c r="D2801" i="4"/>
  <c r="C2801" i="4"/>
  <c r="E2800" i="4"/>
  <c r="D2800" i="4"/>
  <c r="C2800" i="4"/>
  <c r="E2799" i="4"/>
  <c r="D2799" i="4"/>
  <c r="C2799" i="4"/>
  <c r="E2798" i="4"/>
  <c r="D2798" i="4"/>
  <c r="C2798" i="4"/>
  <c r="E2797" i="4"/>
  <c r="D2797" i="4"/>
  <c r="C2797" i="4"/>
  <c r="E2796" i="4"/>
  <c r="D2796" i="4"/>
  <c r="C2796" i="4"/>
  <c r="E2795" i="4"/>
  <c r="D2795" i="4"/>
  <c r="C2795" i="4"/>
  <c r="E2794" i="4"/>
  <c r="D2794" i="4"/>
  <c r="C2794" i="4"/>
  <c r="E2793" i="4"/>
  <c r="D2793" i="4"/>
  <c r="C2793" i="4"/>
  <c r="E2792" i="4"/>
  <c r="D2792" i="4"/>
  <c r="C2792" i="4"/>
  <c r="E2791" i="4"/>
  <c r="D2791" i="4"/>
  <c r="C2791" i="4"/>
  <c r="E2790" i="4"/>
  <c r="D2790" i="4"/>
  <c r="C2790" i="4"/>
  <c r="E2789" i="4"/>
  <c r="D2789" i="4"/>
  <c r="C2789" i="4"/>
  <c r="E2788" i="4"/>
  <c r="D2788" i="4"/>
  <c r="C2788" i="4"/>
  <c r="E2787" i="4"/>
  <c r="D2787" i="4"/>
  <c r="C2787" i="4"/>
  <c r="E2786" i="4"/>
  <c r="D2786" i="4"/>
  <c r="C2786" i="4"/>
  <c r="E2785" i="4"/>
  <c r="D2785" i="4"/>
  <c r="C2785" i="4"/>
  <c r="E2784" i="4"/>
  <c r="D2784" i="4"/>
  <c r="C2784" i="4"/>
  <c r="E2783" i="4"/>
  <c r="D2783" i="4"/>
  <c r="C2783" i="4"/>
  <c r="E2782" i="4"/>
  <c r="D2782" i="4"/>
  <c r="C2782" i="4"/>
  <c r="E2781" i="4"/>
  <c r="D2781" i="4"/>
  <c r="C2781" i="4"/>
  <c r="E2780" i="4"/>
  <c r="D2780" i="4"/>
  <c r="C2780" i="4"/>
  <c r="E2779" i="4"/>
  <c r="D2779" i="4"/>
  <c r="C2779" i="4"/>
  <c r="E2778" i="4"/>
  <c r="D2778" i="4"/>
  <c r="C2778" i="4"/>
  <c r="E2777" i="4"/>
  <c r="D2777" i="4"/>
  <c r="C2777" i="4"/>
  <c r="E2776" i="4"/>
  <c r="D2776" i="4"/>
  <c r="C2776" i="4"/>
  <c r="E2775" i="4"/>
  <c r="D2775" i="4"/>
  <c r="C2775" i="4"/>
  <c r="E2774" i="4"/>
  <c r="D2774" i="4"/>
  <c r="C2774" i="4"/>
  <c r="E2773" i="4"/>
  <c r="D2773" i="4"/>
  <c r="C2773" i="4"/>
  <c r="E2772" i="4"/>
  <c r="D2772" i="4"/>
  <c r="C2772" i="4"/>
  <c r="E2771" i="4"/>
  <c r="D2771" i="4"/>
  <c r="C2771" i="4"/>
  <c r="E2770" i="4"/>
  <c r="D2770" i="4"/>
  <c r="C2770" i="4"/>
  <c r="E2769" i="4"/>
  <c r="D2769" i="4"/>
  <c r="C2769" i="4"/>
  <c r="E2768" i="4"/>
  <c r="D2768" i="4"/>
  <c r="C2768" i="4"/>
  <c r="E2767" i="4"/>
  <c r="D2767" i="4"/>
  <c r="C2767" i="4"/>
  <c r="E2766" i="4"/>
  <c r="D2766" i="4"/>
  <c r="C2766" i="4"/>
  <c r="E2765" i="4"/>
  <c r="D2765" i="4"/>
  <c r="C2765" i="4"/>
  <c r="E2764" i="4"/>
  <c r="D2764" i="4"/>
  <c r="C2764" i="4"/>
  <c r="E2763" i="4"/>
  <c r="D2763" i="4"/>
  <c r="C2763" i="4"/>
  <c r="E2762" i="4"/>
  <c r="D2762" i="4"/>
  <c r="C2762" i="4"/>
  <c r="E2761" i="4"/>
  <c r="D2761" i="4"/>
  <c r="C2761" i="4"/>
  <c r="E2760" i="4"/>
  <c r="D2760" i="4"/>
  <c r="C2760" i="4"/>
  <c r="E2759" i="4"/>
  <c r="D2759" i="4"/>
  <c r="C2759" i="4"/>
  <c r="E2758" i="4"/>
  <c r="D2758" i="4"/>
  <c r="C2758" i="4"/>
  <c r="E2757" i="4"/>
  <c r="D2757" i="4"/>
  <c r="C2757" i="4"/>
  <c r="E2756" i="4"/>
  <c r="D2756" i="4"/>
  <c r="C2756" i="4"/>
  <c r="E2755" i="4"/>
  <c r="D2755" i="4"/>
  <c r="C2755" i="4"/>
  <c r="E2754" i="4"/>
  <c r="D2754" i="4"/>
  <c r="C2754" i="4"/>
  <c r="E2753" i="4"/>
  <c r="D2753" i="4"/>
  <c r="C2753" i="4"/>
  <c r="E2752" i="4"/>
  <c r="D2752" i="4"/>
  <c r="C2752" i="4"/>
  <c r="E2751" i="4"/>
  <c r="D2751" i="4"/>
  <c r="C2751" i="4"/>
  <c r="E2750" i="4"/>
  <c r="D2750" i="4"/>
  <c r="C2750" i="4"/>
  <c r="E2749" i="4"/>
  <c r="D2749" i="4"/>
  <c r="C2749" i="4"/>
  <c r="E2748" i="4"/>
  <c r="D2748" i="4"/>
  <c r="C2748" i="4"/>
  <c r="E2747" i="4"/>
  <c r="D2747" i="4"/>
  <c r="C2747" i="4"/>
  <c r="E2746" i="4"/>
  <c r="D2746" i="4"/>
  <c r="C2746" i="4"/>
  <c r="E2745" i="4"/>
  <c r="D2745" i="4"/>
  <c r="C2745" i="4"/>
  <c r="E2744" i="4"/>
  <c r="D2744" i="4"/>
  <c r="C2744" i="4"/>
  <c r="E2743" i="4"/>
  <c r="D2743" i="4"/>
  <c r="C2743" i="4"/>
  <c r="E2742" i="4"/>
  <c r="D2742" i="4"/>
  <c r="C2742" i="4"/>
  <c r="E2741" i="4"/>
  <c r="D2741" i="4"/>
  <c r="C2741" i="4"/>
  <c r="E2740" i="4"/>
  <c r="D2740" i="4"/>
  <c r="C2740" i="4"/>
  <c r="E2739" i="4"/>
  <c r="D2739" i="4"/>
  <c r="C2739" i="4"/>
  <c r="E2738" i="4"/>
  <c r="D2738" i="4"/>
  <c r="C2738" i="4"/>
  <c r="E2737" i="4"/>
  <c r="D2737" i="4"/>
  <c r="C2737" i="4"/>
  <c r="E2736" i="4"/>
  <c r="D2736" i="4"/>
  <c r="C2736" i="4"/>
  <c r="E2735" i="4"/>
  <c r="D2735" i="4"/>
  <c r="C2735" i="4"/>
  <c r="E2734" i="4"/>
  <c r="D2734" i="4"/>
  <c r="C2734" i="4"/>
  <c r="E2733" i="4"/>
  <c r="D2733" i="4"/>
  <c r="C2733" i="4"/>
  <c r="E2732" i="4"/>
  <c r="D2732" i="4"/>
  <c r="C2732" i="4"/>
  <c r="E2731" i="4"/>
  <c r="D2731" i="4"/>
  <c r="C2731" i="4"/>
  <c r="E2730" i="4"/>
  <c r="D2730" i="4"/>
  <c r="C2730" i="4"/>
  <c r="E2729" i="4"/>
  <c r="D2729" i="4"/>
  <c r="C2729" i="4"/>
  <c r="E2728" i="4"/>
  <c r="D2728" i="4"/>
  <c r="C2728" i="4"/>
  <c r="E2727" i="4"/>
  <c r="D2727" i="4"/>
  <c r="C2727" i="4"/>
  <c r="E2726" i="4"/>
  <c r="D2726" i="4"/>
  <c r="C2726" i="4"/>
  <c r="E2725" i="4"/>
  <c r="D2725" i="4"/>
  <c r="C2725" i="4"/>
  <c r="E2724" i="4"/>
  <c r="D2724" i="4"/>
  <c r="C2724" i="4"/>
  <c r="E2723" i="4"/>
  <c r="D2723" i="4"/>
  <c r="C2723" i="4"/>
  <c r="E2722" i="4"/>
  <c r="D2722" i="4"/>
  <c r="C2722" i="4"/>
  <c r="E2721" i="4"/>
  <c r="D2721" i="4"/>
  <c r="C2721" i="4"/>
  <c r="E2720" i="4"/>
  <c r="D2720" i="4"/>
  <c r="C2720" i="4"/>
  <c r="E2719" i="4"/>
  <c r="D2719" i="4"/>
  <c r="C2719" i="4"/>
  <c r="E2718" i="4"/>
  <c r="D2718" i="4"/>
  <c r="C2718" i="4"/>
  <c r="E2717" i="4"/>
  <c r="D2717" i="4"/>
  <c r="C2717" i="4"/>
  <c r="E2716" i="4"/>
  <c r="D2716" i="4"/>
  <c r="C2716" i="4"/>
  <c r="E2715" i="4"/>
  <c r="D2715" i="4"/>
  <c r="C2715" i="4"/>
  <c r="E2714" i="4"/>
  <c r="D2714" i="4"/>
  <c r="C2714" i="4"/>
  <c r="E2713" i="4"/>
  <c r="D2713" i="4"/>
  <c r="C2713" i="4"/>
  <c r="E2712" i="4"/>
  <c r="D2712" i="4"/>
  <c r="C2712" i="4"/>
  <c r="E2711" i="4"/>
  <c r="D2711" i="4"/>
  <c r="C2711" i="4"/>
  <c r="E2710" i="4"/>
  <c r="D2710" i="4"/>
  <c r="C2710" i="4"/>
  <c r="E2709" i="4"/>
  <c r="D2709" i="4"/>
  <c r="C2709" i="4"/>
  <c r="E2708" i="4"/>
  <c r="D2708" i="4"/>
  <c r="C2708" i="4"/>
  <c r="E2707" i="4"/>
  <c r="D2707" i="4"/>
  <c r="C2707" i="4"/>
  <c r="E2706" i="4"/>
  <c r="D2706" i="4"/>
  <c r="C2706" i="4"/>
  <c r="E2705" i="4"/>
  <c r="D2705" i="4"/>
  <c r="C2705" i="4"/>
  <c r="E2704" i="4"/>
  <c r="D2704" i="4"/>
  <c r="C2704" i="4"/>
  <c r="E2703" i="4"/>
  <c r="D2703" i="4"/>
  <c r="C2703" i="4"/>
  <c r="E2702" i="4"/>
  <c r="D2702" i="4"/>
  <c r="C2702" i="4"/>
  <c r="E2701" i="4"/>
  <c r="D2701" i="4"/>
  <c r="C2701" i="4"/>
  <c r="E2700" i="4"/>
  <c r="D2700" i="4"/>
  <c r="C2700" i="4"/>
  <c r="E2699" i="4"/>
  <c r="D2699" i="4"/>
  <c r="C2699" i="4"/>
  <c r="E2698" i="4"/>
  <c r="D2698" i="4"/>
  <c r="C2698" i="4"/>
  <c r="E2697" i="4"/>
  <c r="D2697" i="4"/>
  <c r="C2697" i="4"/>
  <c r="E2696" i="4"/>
  <c r="D2696" i="4"/>
  <c r="C2696" i="4"/>
  <c r="E2695" i="4"/>
  <c r="D2695" i="4"/>
  <c r="C2695" i="4"/>
  <c r="E2694" i="4"/>
  <c r="D2694" i="4"/>
  <c r="C2694" i="4"/>
  <c r="E2693" i="4"/>
  <c r="D2693" i="4"/>
  <c r="C2693" i="4"/>
  <c r="E2692" i="4"/>
  <c r="D2692" i="4"/>
  <c r="C2692" i="4"/>
  <c r="E2691" i="4"/>
  <c r="D2691" i="4"/>
  <c r="C2691" i="4"/>
  <c r="E2690" i="4"/>
  <c r="D2690" i="4"/>
  <c r="C2690" i="4"/>
  <c r="E2689" i="4"/>
  <c r="D2689" i="4"/>
  <c r="C2689" i="4"/>
  <c r="E2688" i="4"/>
  <c r="D2688" i="4"/>
  <c r="C2688" i="4"/>
  <c r="E2687" i="4"/>
  <c r="D2687" i="4"/>
  <c r="C2687" i="4"/>
  <c r="E2686" i="4"/>
  <c r="D2686" i="4"/>
  <c r="C2686" i="4"/>
  <c r="E2685" i="4"/>
  <c r="D2685" i="4"/>
  <c r="C2685" i="4"/>
  <c r="E2684" i="4"/>
  <c r="D2684" i="4"/>
  <c r="C2684" i="4"/>
  <c r="E2683" i="4"/>
  <c r="D2683" i="4"/>
  <c r="C2683" i="4"/>
  <c r="E2682" i="4"/>
  <c r="D2682" i="4"/>
  <c r="C2682" i="4"/>
  <c r="E2681" i="4"/>
  <c r="D2681" i="4"/>
  <c r="C2681" i="4"/>
  <c r="E2680" i="4"/>
  <c r="D2680" i="4"/>
  <c r="C2680" i="4"/>
  <c r="E2679" i="4"/>
  <c r="D2679" i="4"/>
  <c r="C2679" i="4"/>
  <c r="E2678" i="4"/>
  <c r="D2678" i="4"/>
  <c r="C2678" i="4"/>
  <c r="E2677" i="4"/>
  <c r="D2677" i="4"/>
  <c r="C2677" i="4"/>
  <c r="E2676" i="4"/>
  <c r="D2676" i="4"/>
  <c r="C2676" i="4"/>
  <c r="E2675" i="4"/>
  <c r="D2675" i="4"/>
  <c r="C2675" i="4"/>
  <c r="E2674" i="4"/>
  <c r="D2674" i="4"/>
  <c r="C2674" i="4"/>
  <c r="E2673" i="4"/>
  <c r="D2673" i="4"/>
  <c r="C2673" i="4"/>
  <c r="E2672" i="4"/>
  <c r="D2672" i="4"/>
  <c r="C2672" i="4"/>
  <c r="E2671" i="4"/>
  <c r="D2671" i="4"/>
  <c r="C2671" i="4"/>
  <c r="E2670" i="4"/>
  <c r="D2670" i="4"/>
  <c r="C2670" i="4"/>
  <c r="E2669" i="4"/>
  <c r="D2669" i="4"/>
  <c r="C2669" i="4"/>
  <c r="E2668" i="4"/>
  <c r="D2668" i="4"/>
  <c r="C2668" i="4"/>
  <c r="E2667" i="4"/>
  <c r="D2667" i="4"/>
  <c r="C2667" i="4"/>
  <c r="E2666" i="4"/>
  <c r="D2666" i="4"/>
  <c r="C2666" i="4"/>
  <c r="E2665" i="4"/>
  <c r="D2665" i="4"/>
  <c r="C2665" i="4"/>
  <c r="E2664" i="4"/>
  <c r="D2664" i="4"/>
  <c r="C2664" i="4"/>
  <c r="E2663" i="4"/>
  <c r="D2663" i="4"/>
  <c r="C2663" i="4"/>
  <c r="E2662" i="4"/>
  <c r="D2662" i="4"/>
  <c r="C2662" i="4"/>
  <c r="E2661" i="4"/>
  <c r="D2661" i="4"/>
  <c r="C2661" i="4"/>
  <c r="E2660" i="4"/>
  <c r="D2660" i="4"/>
  <c r="C2660" i="4"/>
  <c r="E2659" i="4"/>
  <c r="D2659" i="4"/>
  <c r="C2659" i="4"/>
  <c r="E2658" i="4"/>
  <c r="D2658" i="4"/>
  <c r="C2658" i="4"/>
  <c r="E2657" i="4"/>
  <c r="D2657" i="4"/>
  <c r="C2657" i="4"/>
  <c r="E2656" i="4"/>
  <c r="D2656" i="4"/>
  <c r="C2656" i="4"/>
  <c r="E2655" i="4"/>
  <c r="D2655" i="4"/>
  <c r="C2655" i="4"/>
  <c r="E2654" i="4"/>
  <c r="D2654" i="4"/>
  <c r="C2654" i="4"/>
  <c r="E2653" i="4"/>
  <c r="D2653" i="4"/>
  <c r="C2653" i="4"/>
  <c r="E2652" i="4"/>
  <c r="D2652" i="4"/>
  <c r="C2652" i="4"/>
  <c r="E2651" i="4"/>
  <c r="D2651" i="4"/>
  <c r="C2651" i="4"/>
  <c r="E2650" i="4"/>
  <c r="D2650" i="4"/>
  <c r="C2650" i="4"/>
  <c r="E2649" i="4"/>
  <c r="D2649" i="4"/>
  <c r="C2649" i="4"/>
  <c r="E2648" i="4"/>
  <c r="D2648" i="4"/>
  <c r="C2648" i="4"/>
  <c r="E2647" i="4"/>
  <c r="D2647" i="4"/>
  <c r="C2647" i="4"/>
  <c r="E2646" i="4"/>
  <c r="D2646" i="4"/>
  <c r="C2646" i="4"/>
  <c r="E2645" i="4"/>
  <c r="D2645" i="4"/>
  <c r="C2645" i="4"/>
  <c r="E2644" i="4"/>
  <c r="D2644" i="4"/>
  <c r="C2644" i="4"/>
  <c r="E2643" i="4"/>
  <c r="D2643" i="4"/>
  <c r="C2643" i="4"/>
  <c r="E2642" i="4"/>
  <c r="D2642" i="4"/>
  <c r="C2642" i="4"/>
  <c r="E2641" i="4"/>
  <c r="D2641" i="4"/>
  <c r="C2641" i="4"/>
  <c r="E2640" i="4"/>
  <c r="D2640" i="4"/>
  <c r="C2640" i="4"/>
  <c r="E2639" i="4"/>
  <c r="D2639" i="4"/>
  <c r="C2639" i="4"/>
  <c r="E2638" i="4"/>
  <c r="D2638" i="4"/>
  <c r="C2638" i="4"/>
  <c r="E2637" i="4"/>
  <c r="D2637" i="4"/>
  <c r="C2637" i="4"/>
  <c r="E2636" i="4"/>
  <c r="D2636" i="4"/>
  <c r="C2636" i="4"/>
  <c r="E2635" i="4"/>
  <c r="D2635" i="4"/>
  <c r="C2635" i="4"/>
  <c r="E2634" i="4"/>
  <c r="D2634" i="4"/>
  <c r="C2634" i="4"/>
  <c r="E2633" i="4"/>
  <c r="D2633" i="4"/>
  <c r="C2633" i="4"/>
  <c r="E2632" i="4"/>
  <c r="D2632" i="4"/>
  <c r="C2632" i="4"/>
  <c r="E2631" i="4"/>
  <c r="D2631" i="4"/>
  <c r="C2631" i="4"/>
  <c r="E2630" i="4"/>
  <c r="D2630" i="4"/>
  <c r="C2630" i="4"/>
  <c r="E2629" i="4"/>
  <c r="D2629" i="4"/>
  <c r="C2629" i="4"/>
  <c r="E2628" i="4"/>
  <c r="D2628" i="4"/>
  <c r="C2628" i="4"/>
  <c r="E2627" i="4"/>
  <c r="D2627" i="4"/>
  <c r="C2627" i="4"/>
  <c r="E2626" i="4"/>
  <c r="D2626" i="4"/>
  <c r="C2626" i="4"/>
  <c r="E2625" i="4"/>
  <c r="D2625" i="4"/>
  <c r="C2625" i="4"/>
  <c r="E2624" i="4"/>
  <c r="D2624" i="4"/>
  <c r="C2624" i="4"/>
  <c r="E2623" i="4"/>
  <c r="D2623" i="4"/>
  <c r="C2623" i="4"/>
  <c r="E2622" i="4"/>
  <c r="D2622" i="4"/>
  <c r="C2622" i="4"/>
  <c r="E2621" i="4"/>
  <c r="D2621" i="4"/>
  <c r="C2621" i="4"/>
  <c r="E2620" i="4"/>
  <c r="D2620" i="4"/>
  <c r="C2620" i="4"/>
  <c r="E2619" i="4"/>
  <c r="D2619" i="4"/>
  <c r="C2619" i="4"/>
  <c r="E2618" i="4"/>
  <c r="D2618" i="4"/>
  <c r="C2618" i="4"/>
  <c r="E2617" i="4"/>
  <c r="D2617" i="4"/>
  <c r="C2617" i="4"/>
  <c r="E2616" i="4"/>
  <c r="D2616" i="4"/>
  <c r="C2616" i="4"/>
  <c r="E2615" i="4"/>
  <c r="D2615" i="4"/>
  <c r="C2615" i="4"/>
  <c r="E2614" i="4"/>
  <c r="D2614" i="4"/>
  <c r="C2614" i="4"/>
  <c r="E2613" i="4"/>
  <c r="D2613" i="4"/>
  <c r="C2613" i="4"/>
  <c r="E2612" i="4"/>
  <c r="D2612" i="4"/>
  <c r="C2612" i="4"/>
  <c r="E2611" i="4"/>
  <c r="D2611" i="4"/>
  <c r="C2611" i="4"/>
  <c r="E2610" i="4"/>
  <c r="D2610" i="4"/>
  <c r="C2610" i="4"/>
  <c r="E2609" i="4"/>
  <c r="D2609" i="4"/>
  <c r="C2609" i="4"/>
  <c r="E2608" i="4"/>
  <c r="D2608" i="4"/>
  <c r="C2608" i="4"/>
  <c r="E2607" i="4"/>
  <c r="D2607" i="4"/>
  <c r="C2607" i="4"/>
  <c r="E2606" i="4"/>
  <c r="D2606" i="4"/>
  <c r="C2606" i="4"/>
  <c r="E2605" i="4"/>
  <c r="D2605" i="4"/>
  <c r="C2605" i="4"/>
  <c r="E2604" i="4"/>
  <c r="D2604" i="4"/>
  <c r="C2604" i="4"/>
  <c r="E2603" i="4"/>
  <c r="D2603" i="4"/>
  <c r="C2603" i="4"/>
  <c r="E2602" i="4"/>
  <c r="D2602" i="4"/>
  <c r="C2602" i="4"/>
  <c r="E2601" i="4"/>
  <c r="D2601" i="4"/>
  <c r="C2601" i="4"/>
  <c r="E2600" i="4"/>
  <c r="D2600" i="4"/>
  <c r="C2600" i="4"/>
  <c r="E2599" i="4"/>
  <c r="D2599" i="4"/>
  <c r="C2599" i="4"/>
  <c r="E2598" i="4"/>
  <c r="D2598" i="4"/>
  <c r="C2598" i="4"/>
  <c r="E2597" i="4"/>
  <c r="D2597" i="4"/>
  <c r="C2597" i="4"/>
  <c r="E2596" i="4"/>
  <c r="D2596" i="4"/>
  <c r="C2596" i="4"/>
  <c r="E2595" i="4"/>
  <c r="D2595" i="4"/>
  <c r="C2595" i="4"/>
  <c r="E2594" i="4"/>
  <c r="D2594" i="4"/>
  <c r="C2594" i="4"/>
  <c r="E2593" i="4"/>
  <c r="D2593" i="4"/>
  <c r="C2593" i="4"/>
  <c r="E2592" i="4"/>
  <c r="D2592" i="4"/>
  <c r="C2592" i="4"/>
  <c r="E2591" i="4"/>
  <c r="D2591" i="4"/>
  <c r="C2591" i="4"/>
  <c r="E2590" i="4"/>
  <c r="D2590" i="4"/>
  <c r="C2590" i="4"/>
  <c r="E2589" i="4"/>
  <c r="D2589" i="4"/>
  <c r="C2589" i="4"/>
  <c r="E2588" i="4"/>
  <c r="D2588" i="4"/>
  <c r="C2588" i="4"/>
  <c r="E2587" i="4"/>
  <c r="D2587" i="4"/>
  <c r="C2587" i="4"/>
  <c r="E2586" i="4"/>
  <c r="D2586" i="4"/>
  <c r="C2586" i="4"/>
  <c r="E2585" i="4"/>
  <c r="D2585" i="4"/>
  <c r="C2585" i="4"/>
  <c r="E2584" i="4"/>
  <c r="D2584" i="4"/>
  <c r="C2584" i="4"/>
  <c r="E2583" i="4"/>
  <c r="D2583" i="4"/>
  <c r="C2583" i="4"/>
  <c r="E2582" i="4"/>
  <c r="D2582" i="4"/>
  <c r="C2582" i="4"/>
  <c r="E2581" i="4"/>
  <c r="D2581" i="4"/>
  <c r="C2581" i="4"/>
  <c r="E2580" i="4"/>
  <c r="D2580" i="4"/>
  <c r="C2580" i="4"/>
  <c r="E2579" i="4"/>
  <c r="D2579" i="4"/>
  <c r="C2579" i="4"/>
  <c r="E2578" i="4"/>
  <c r="D2578" i="4"/>
  <c r="C2578" i="4"/>
  <c r="E2577" i="4"/>
  <c r="D2577" i="4"/>
  <c r="C2577" i="4"/>
  <c r="E2576" i="4"/>
  <c r="D2576" i="4"/>
  <c r="C2576" i="4"/>
  <c r="E2575" i="4"/>
  <c r="D2575" i="4"/>
  <c r="C2575" i="4"/>
  <c r="E2574" i="4"/>
  <c r="D2574" i="4"/>
  <c r="C2574" i="4"/>
  <c r="E2573" i="4"/>
  <c r="D2573" i="4"/>
  <c r="C2573" i="4"/>
  <c r="E2572" i="4"/>
  <c r="D2572" i="4"/>
  <c r="C2572" i="4"/>
  <c r="E2571" i="4"/>
  <c r="D2571" i="4"/>
  <c r="C2571" i="4"/>
  <c r="E2570" i="4"/>
  <c r="D2570" i="4"/>
  <c r="C2570" i="4"/>
  <c r="E2569" i="4"/>
  <c r="D2569" i="4"/>
  <c r="C2569" i="4"/>
  <c r="E2568" i="4"/>
  <c r="D2568" i="4"/>
  <c r="C2568" i="4"/>
  <c r="E2567" i="4"/>
  <c r="D2567" i="4"/>
  <c r="C2567" i="4"/>
  <c r="E2566" i="4"/>
  <c r="D2566" i="4"/>
  <c r="C2566" i="4"/>
  <c r="E2565" i="4"/>
  <c r="D2565" i="4"/>
  <c r="C2565" i="4"/>
  <c r="E2564" i="4"/>
  <c r="D2564" i="4"/>
  <c r="C2564" i="4"/>
  <c r="E2563" i="4"/>
  <c r="D2563" i="4"/>
  <c r="C2563" i="4"/>
  <c r="E2562" i="4"/>
  <c r="D2562" i="4"/>
  <c r="C2562" i="4"/>
  <c r="E2561" i="4"/>
  <c r="D2561" i="4"/>
  <c r="C2561" i="4"/>
  <c r="E2560" i="4"/>
  <c r="D2560" i="4"/>
  <c r="C2560" i="4"/>
  <c r="E2559" i="4"/>
  <c r="D2559" i="4"/>
  <c r="C2559" i="4"/>
  <c r="E2558" i="4"/>
  <c r="D2558" i="4"/>
  <c r="C2558" i="4"/>
  <c r="E2557" i="4"/>
  <c r="D2557" i="4"/>
  <c r="C2557" i="4"/>
  <c r="E2556" i="4"/>
  <c r="D2556" i="4"/>
  <c r="C2556" i="4"/>
  <c r="E2555" i="4"/>
  <c r="D2555" i="4"/>
  <c r="C2555" i="4"/>
  <c r="E2554" i="4"/>
  <c r="D2554" i="4"/>
  <c r="C2554" i="4"/>
  <c r="E2553" i="4"/>
  <c r="D2553" i="4"/>
  <c r="C2553" i="4"/>
  <c r="E2552" i="4"/>
  <c r="D2552" i="4"/>
  <c r="C2552" i="4"/>
  <c r="E2551" i="4"/>
  <c r="D2551" i="4"/>
  <c r="C2551" i="4"/>
  <c r="E2550" i="4"/>
  <c r="D2550" i="4"/>
  <c r="C2550" i="4"/>
  <c r="E2549" i="4"/>
  <c r="D2549" i="4"/>
  <c r="C2549" i="4"/>
  <c r="E2548" i="4"/>
  <c r="D2548" i="4"/>
  <c r="C2548" i="4"/>
  <c r="E2547" i="4"/>
  <c r="D2547" i="4"/>
  <c r="C2547" i="4"/>
  <c r="E2546" i="4"/>
  <c r="D2546" i="4"/>
  <c r="C2546" i="4"/>
  <c r="E2545" i="4"/>
  <c r="D2545" i="4"/>
  <c r="C2545" i="4"/>
  <c r="E2544" i="4"/>
  <c r="D2544" i="4"/>
  <c r="C2544" i="4"/>
  <c r="E2543" i="4"/>
  <c r="D2543" i="4"/>
  <c r="C2543" i="4"/>
  <c r="E2542" i="4"/>
  <c r="D2542" i="4"/>
  <c r="C2542" i="4"/>
  <c r="E2541" i="4"/>
  <c r="D2541" i="4"/>
  <c r="C2541" i="4"/>
  <c r="E2540" i="4"/>
  <c r="D2540" i="4"/>
  <c r="C2540" i="4"/>
  <c r="E2539" i="4"/>
  <c r="D2539" i="4"/>
  <c r="C2539" i="4"/>
  <c r="E2538" i="4"/>
  <c r="D2538" i="4"/>
  <c r="C2538" i="4"/>
  <c r="E2537" i="4"/>
  <c r="D2537" i="4"/>
  <c r="C2537" i="4"/>
  <c r="E2536" i="4"/>
  <c r="D2536" i="4"/>
  <c r="C2536" i="4"/>
  <c r="E2535" i="4"/>
  <c r="D2535" i="4"/>
  <c r="C2535" i="4"/>
  <c r="E2534" i="4"/>
  <c r="D2534" i="4"/>
  <c r="C2534" i="4"/>
  <c r="E2533" i="4"/>
  <c r="D2533" i="4"/>
  <c r="C2533" i="4"/>
  <c r="E2532" i="4"/>
  <c r="D2532" i="4"/>
  <c r="C2532" i="4"/>
  <c r="E2531" i="4"/>
  <c r="D2531" i="4"/>
  <c r="C2531" i="4"/>
  <c r="E2530" i="4"/>
  <c r="D2530" i="4"/>
  <c r="C2530" i="4"/>
  <c r="E2529" i="4"/>
  <c r="D2529" i="4"/>
  <c r="C2529" i="4"/>
  <c r="E2528" i="4"/>
  <c r="D2528" i="4"/>
  <c r="C2528" i="4"/>
  <c r="E2527" i="4"/>
  <c r="D2527" i="4"/>
  <c r="C2527" i="4"/>
  <c r="E2526" i="4"/>
  <c r="D2526" i="4"/>
  <c r="C2526" i="4"/>
  <c r="E2525" i="4"/>
  <c r="D2525" i="4"/>
  <c r="C2525" i="4"/>
  <c r="E2524" i="4"/>
  <c r="D2524" i="4"/>
  <c r="C2524" i="4"/>
  <c r="E2523" i="4"/>
  <c r="D2523" i="4"/>
  <c r="C2523" i="4"/>
  <c r="E2522" i="4"/>
  <c r="D2522" i="4"/>
  <c r="C2522" i="4"/>
  <c r="E2521" i="4"/>
  <c r="D2521" i="4"/>
  <c r="C2521" i="4"/>
  <c r="E2520" i="4"/>
  <c r="D2520" i="4"/>
  <c r="C2520" i="4"/>
  <c r="E2519" i="4"/>
  <c r="D2519" i="4"/>
  <c r="C2519" i="4"/>
  <c r="E2518" i="4"/>
  <c r="D2518" i="4"/>
  <c r="C2518" i="4"/>
  <c r="E2517" i="4"/>
  <c r="D2517" i="4"/>
  <c r="C2517" i="4"/>
  <c r="E2516" i="4"/>
  <c r="D2516" i="4"/>
  <c r="C2516" i="4"/>
  <c r="E2515" i="4"/>
  <c r="D2515" i="4"/>
  <c r="C2515" i="4"/>
  <c r="E2514" i="4"/>
  <c r="D2514" i="4"/>
  <c r="C2514" i="4"/>
  <c r="E2513" i="4"/>
  <c r="D2513" i="4"/>
  <c r="C2513" i="4"/>
  <c r="E2512" i="4"/>
  <c r="D2512" i="4"/>
  <c r="C2512" i="4"/>
  <c r="E2511" i="4"/>
  <c r="D2511" i="4"/>
  <c r="C2511" i="4"/>
  <c r="E2510" i="4"/>
  <c r="D2510" i="4"/>
  <c r="C2510" i="4"/>
  <c r="E2509" i="4"/>
  <c r="D2509" i="4"/>
  <c r="C2509" i="4"/>
  <c r="E2508" i="4"/>
  <c r="D2508" i="4"/>
  <c r="C2508" i="4"/>
  <c r="E2507" i="4"/>
  <c r="D2507" i="4"/>
  <c r="C2507" i="4"/>
  <c r="E2506" i="4"/>
  <c r="D2506" i="4"/>
  <c r="C2506" i="4"/>
  <c r="E2505" i="4"/>
  <c r="D2505" i="4"/>
  <c r="C2505" i="4"/>
  <c r="E2504" i="4"/>
  <c r="D2504" i="4"/>
  <c r="C2504" i="4"/>
  <c r="E2503" i="4"/>
  <c r="D2503" i="4"/>
  <c r="C2503" i="4"/>
  <c r="E2502" i="4"/>
  <c r="D2502" i="4"/>
  <c r="C2502" i="4"/>
  <c r="E2501" i="4"/>
  <c r="D2501" i="4"/>
  <c r="C2501" i="4"/>
  <c r="E2500" i="4"/>
  <c r="D2500" i="4"/>
  <c r="C2500" i="4"/>
  <c r="E2499" i="4"/>
  <c r="D2499" i="4"/>
  <c r="C2499" i="4"/>
  <c r="E2498" i="4"/>
  <c r="D2498" i="4"/>
  <c r="C2498" i="4"/>
  <c r="E2497" i="4"/>
  <c r="D2497" i="4"/>
  <c r="C2497" i="4"/>
  <c r="E2496" i="4"/>
  <c r="D2496" i="4"/>
  <c r="C2496" i="4"/>
  <c r="E2495" i="4"/>
  <c r="D2495" i="4"/>
  <c r="C2495" i="4"/>
  <c r="E2494" i="4"/>
  <c r="D2494" i="4"/>
  <c r="C2494" i="4"/>
  <c r="E2493" i="4"/>
  <c r="D2493" i="4"/>
  <c r="C2493" i="4"/>
  <c r="E2492" i="4"/>
  <c r="D2492" i="4"/>
  <c r="C2492" i="4"/>
  <c r="E2491" i="4"/>
  <c r="D2491" i="4"/>
  <c r="C2491" i="4"/>
  <c r="E2490" i="4"/>
  <c r="D2490" i="4"/>
  <c r="C2490" i="4"/>
  <c r="E2489" i="4"/>
  <c r="D2489" i="4"/>
  <c r="C2489" i="4"/>
  <c r="E2488" i="4"/>
  <c r="D2488" i="4"/>
  <c r="C2488" i="4"/>
  <c r="E2487" i="4"/>
  <c r="D2487" i="4"/>
  <c r="C2487" i="4"/>
  <c r="E2486" i="4"/>
  <c r="D2486" i="4"/>
  <c r="C2486" i="4"/>
  <c r="E2485" i="4"/>
  <c r="D2485" i="4"/>
  <c r="C2485" i="4"/>
  <c r="E2484" i="4"/>
  <c r="D2484" i="4"/>
  <c r="C2484" i="4"/>
  <c r="E2483" i="4"/>
  <c r="D2483" i="4"/>
  <c r="C2483" i="4"/>
  <c r="E2482" i="4"/>
  <c r="D2482" i="4"/>
  <c r="C2482" i="4"/>
  <c r="E2481" i="4"/>
  <c r="D2481" i="4"/>
  <c r="C2481" i="4"/>
  <c r="E2480" i="4"/>
  <c r="D2480" i="4"/>
  <c r="C2480" i="4"/>
  <c r="E2479" i="4"/>
  <c r="D2479" i="4"/>
  <c r="C2479" i="4"/>
  <c r="E2478" i="4"/>
  <c r="D2478" i="4"/>
  <c r="C2478" i="4"/>
  <c r="E2477" i="4"/>
  <c r="D2477" i="4"/>
  <c r="C2477" i="4"/>
  <c r="E2476" i="4"/>
  <c r="D2476" i="4"/>
  <c r="C2476" i="4"/>
  <c r="E2475" i="4"/>
  <c r="D2475" i="4"/>
  <c r="C2475" i="4"/>
  <c r="E2474" i="4"/>
  <c r="D2474" i="4"/>
  <c r="C2474" i="4"/>
  <c r="E2473" i="4"/>
  <c r="D2473" i="4"/>
  <c r="C2473" i="4"/>
  <c r="E2472" i="4"/>
  <c r="D2472" i="4"/>
  <c r="C2472" i="4"/>
  <c r="E2471" i="4"/>
  <c r="D2471" i="4"/>
  <c r="C2471" i="4"/>
  <c r="E2470" i="4"/>
  <c r="D2470" i="4"/>
  <c r="C2470" i="4"/>
  <c r="E2469" i="4"/>
  <c r="D2469" i="4"/>
  <c r="C2469" i="4"/>
  <c r="E2468" i="4"/>
  <c r="D2468" i="4"/>
  <c r="C2468" i="4"/>
  <c r="E2467" i="4"/>
  <c r="D2467" i="4"/>
  <c r="C2467" i="4"/>
  <c r="E2466" i="4"/>
  <c r="D2466" i="4"/>
  <c r="C2466" i="4"/>
  <c r="E2465" i="4"/>
  <c r="D2465" i="4"/>
  <c r="C2465" i="4"/>
  <c r="E2464" i="4"/>
  <c r="D2464" i="4"/>
  <c r="C2464" i="4"/>
  <c r="E2463" i="4"/>
  <c r="D2463" i="4"/>
  <c r="C2463" i="4"/>
  <c r="E2462" i="4"/>
  <c r="D2462" i="4"/>
  <c r="C2462" i="4"/>
  <c r="E2461" i="4"/>
  <c r="D2461" i="4"/>
  <c r="C2461" i="4"/>
  <c r="E2460" i="4"/>
  <c r="D2460" i="4"/>
  <c r="C2460" i="4"/>
  <c r="E2459" i="4"/>
  <c r="D2459" i="4"/>
  <c r="C2459" i="4"/>
  <c r="E2458" i="4"/>
  <c r="D2458" i="4"/>
  <c r="C2458" i="4"/>
  <c r="E2457" i="4"/>
  <c r="D2457" i="4"/>
  <c r="C2457" i="4"/>
  <c r="E2456" i="4"/>
  <c r="D2456" i="4"/>
  <c r="C2456" i="4"/>
  <c r="E2455" i="4"/>
  <c r="D2455" i="4"/>
  <c r="C2455" i="4"/>
  <c r="E2454" i="4"/>
  <c r="D2454" i="4"/>
  <c r="C2454" i="4"/>
  <c r="E2453" i="4"/>
  <c r="D2453" i="4"/>
  <c r="C2453" i="4"/>
  <c r="E2452" i="4"/>
  <c r="D2452" i="4"/>
  <c r="C2452" i="4"/>
  <c r="E2451" i="4"/>
  <c r="D2451" i="4"/>
  <c r="C2451" i="4"/>
  <c r="E2450" i="4"/>
  <c r="D2450" i="4"/>
  <c r="C2450" i="4"/>
  <c r="E2449" i="4"/>
  <c r="D2449" i="4"/>
  <c r="C2449" i="4"/>
  <c r="E2448" i="4"/>
  <c r="D2448" i="4"/>
  <c r="C2448" i="4"/>
  <c r="E2447" i="4"/>
  <c r="D2447" i="4"/>
  <c r="C2447" i="4"/>
  <c r="E2446" i="4"/>
  <c r="D2446" i="4"/>
  <c r="C2446" i="4"/>
  <c r="E2445" i="4"/>
  <c r="D2445" i="4"/>
  <c r="C2445" i="4"/>
  <c r="E2444" i="4"/>
  <c r="D2444" i="4"/>
  <c r="C2444" i="4"/>
  <c r="E2443" i="4"/>
  <c r="D2443" i="4"/>
  <c r="C2443" i="4"/>
  <c r="E2442" i="4"/>
  <c r="D2442" i="4"/>
  <c r="C2442" i="4"/>
  <c r="E2441" i="4"/>
  <c r="D2441" i="4"/>
  <c r="C2441" i="4"/>
  <c r="E2440" i="4"/>
  <c r="D2440" i="4"/>
  <c r="C2440" i="4"/>
  <c r="E2439" i="4"/>
  <c r="D2439" i="4"/>
  <c r="C2439" i="4"/>
  <c r="E2438" i="4"/>
  <c r="D2438" i="4"/>
  <c r="C2438" i="4"/>
  <c r="E2437" i="4"/>
  <c r="D2437" i="4"/>
  <c r="C2437" i="4"/>
  <c r="E2436" i="4"/>
  <c r="D2436" i="4"/>
  <c r="C2436" i="4"/>
  <c r="E2435" i="4"/>
  <c r="D2435" i="4"/>
  <c r="C2435" i="4"/>
  <c r="E2434" i="4"/>
  <c r="D2434" i="4"/>
  <c r="C2434" i="4"/>
  <c r="E2433" i="4"/>
  <c r="D2433" i="4"/>
  <c r="C2433" i="4"/>
  <c r="E2432" i="4"/>
  <c r="D2432" i="4"/>
  <c r="C2432" i="4"/>
  <c r="E2431" i="4"/>
  <c r="D2431" i="4"/>
  <c r="C2431" i="4"/>
  <c r="E2430" i="4"/>
  <c r="D2430" i="4"/>
  <c r="C2430" i="4"/>
  <c r="E2429" i="4"/>
  <c r="D2429" i="4"/>
  <c r="C2429" i="4"/>
  <c r="E2428" i="4"/>
  <c r="D2428" i="4"/>
  <c r="C2428" i="4"/>
  <c r="E2427" i="4"/>
  <c r="D2427" i="4"/>
  <c r="C2427" i="4"/>
  <c r="E2426" i="4"/>
  <c r="D2426" i="4"/>
  <c r="C2426" i="4"/>
  <c r="E2425" i="4"/>
  <c r="D2425" i="4"/>
  <c r="C2425" i="4"/>
  <c r="E2424" i="4"/>
  <c r="D2424" i="4"/>
  <c r="C2424" i="4"/>
  <c r="E2423" i="4"/>
  <c r="D2423" i="4"/>
  <c r="C2423" i="4"/>
  <c r="E2422" i="4"/>
  <c r="D2422" i="4"/>
  <c r="C2422" i="4"/>
  <c r="E2421" i="4"/>
  <c r="D2421" i="4"/>
  <c r="C2421" i="4"/>
  <c r="E2420" i="4"/>
  <c r="D2420" i="4"/>
  <c r="C2420" i="4"/>
  <c r="E2419" i="4"/>
  <c r="D2419" i="4"/>
  <c r="C2419" i="4"/>
  <c r="E2418" i="4"/>
  <c r="D2418" i="4"/>
  <c r="C2418" i="4"/>
  <c r="E2417" i="4"/>
  <c r="D2417" i="4"/>
  <c r="C2417" i="4"/>
  <c r="E2416" i="4"/>
  <c r="D2416" i="4"/>
  <c r="C2416" i="4"/>
  <c r="E2415" i="4"/>
  <c r="D2415" i="4"/>
  <c r="C2415" i="4"/>
  <c r="E2414" i="4"/>
  <c r="D2414" i="4"/>
  <c r="C2414" i="4"/>
  <c r="E2413" i="4"/>
  <c r="D2413" i="4"/>
  <c r="C2413" i="4"/>
  <c r="E2412" i="4"/>
  <c r="D2412" i="4"/>
  <c r="C2412" i="4"/>
  <c r="E2411" i="4"/>
  <c r="D2411" i="4"/>
  <c r="C2411" i="4"/>
  <c r="E2410" i="4"/>
  <c r="D2410" i="4"/>
  <c r="C2410" i="4"/>
  <c r="E2409" i="4"/>
  <c r="D2409" i="4"/>
  <c r="C2409" i="4"/>
  <c r="E2408" i="4"/>
  <c r="D2408" i="4"/>
  <c r="C2408" i="4"/>
  <c r="E2407" i="4"/>
  <c r="D2407" i="4"/>
  <c r="C2407" i="4"/>
  <c r="E2406" i="4"/>
  <c r="D2406" i="4"/>
  <c r="C2406" i="4"/>
  <c r="E2405" i="4"/>
  <c r="D2405" i="4"/>
  <c r="C2405" i="4"/>
  <c r="E2404" i="4"/>
  <c r="D2404" i="4"/>
  <c r="C2404" i="4"/>
  <c r="E2403" i="4"/>
  <c r="D2403" i="4"/>
  <c r="C2403" i="4"/>
  <c r="E2402" i="4"/>
  <c r="D2402" i="4"/>
  <c r="C2402" i="4"/>
  <c r="E2401" i="4"/>
  <c r="D2401" i="4"/>
  <c r="C2401" i="4"/>
  <c r="E2400" i="4"/>
  <c r="D2400" i="4"/>
  <c r="C2400" i="4"/>
  <c r="E2399" i="4"/>
  <c r="D2399" i="4"/>
  <c r="C2399" i="4"/>
  <c r="E2398" i="4"/>
  <c r="D2398" i="4"/>
  <c r="C2398" i="4"/>
  <c r="E2397" i="4"/>
  <c r="D2397" i="4"/>
  <c r="C2397" i="4"/>
  <c r="E2396" i="4"/>
  <c r="D2396" i="4"/>
  <c r="C2396" i="4"/>
  <c r="E2395" i="4"/>
  <c r="D2395" i="4"/>
  <c r="C2395" i="4"/>
  <c r="E2394" i="4"/>
  <c r="D2394" i="4"/>
  <c r="C2394" i="4"/>
  <c r="E2393" i="4"/>
  <c r="D2393" i="4"/>
  <c r="C2393" i="4"/>
  <c r="E2392" i="4"/>
  <c r="D2392" i="4"/>
  <c r="C2392" i="4"/>
  <c r="E2391" i="4"/>
  <c r="D2391" i="4"/>
  <c r="C2391" i="4"/>
  <c r="E2390" i="4"/>
  <c r="D2390" i="4"/>
  <c r="C2390" i="4"/>
  <c r="E2389" i="4"/>
  <c r="D2389" i="4"/>
  <c r="C2389" i="4"/>
  <c r="E2388" i="4"/>
  <c r="D2388" i="4"/>
  <c r="C2388" i="4"/>
  <c r="E2387" i="4"/>
  <c r="D2387" i="4"/>
  <c r="C2387" i="4"/>
  <c r="E2386" i="4"/>
  <c r="D2386" i="4"/>
  <c r="C2386" i="4"/>
  <c r="E2385" i="4"/>
  <c r="D2385" i="4"/>
  <c r="C2385" i="4"/>
  <c r="E2384" i="4"/>
  <c r="D2384" i="4"/>
  <c r="C2384" i="4"/>
  <c r="E2383" i="4"/>
  <c r="D2383" i="4"/>
  <c r="C2383" i="4"/>
  <c r="E2382" i="4"/>
  <c r="D2382" i="4"/>
  <c r="C2382" i="4"/>
  <c r="E2381" i="4"/>
  <c r="D2381" i="4"/>
  <c r="C2381" i="4"/>
  <c r="E2380" i="4"/>
  <c r="D2380" i="4"/>
  <c r="C2380" i="4"/>
  <c r="E2379" i="4"/>
  <c r="D2379" i="4"/>
  <c r="C2379" i="4"/>
  <c r="E2378" i="4"/>
  <c r="D2378" i="4"/>
  <c r="C2378" i="4"/>
  <c r="E2377" i="4"/>
  <c r="D2377" i="4"/>
  <c r="C2377" i="4"/>
  <c r="E2376" i="4"/>
  <c r="D2376" i="4"/>
  <c r="C2376" i="4"/>
  <c r="E2375" i="4"/>
  <c r="D2375" i="4"/>
  <c r="C2375" i="4"/>
  <c r="E2374" i="4"/>
  <c r="D2374" i="4"/>
  <c r="C2374" i="4"/>
  <c r="E2373" i="4"/>
  <c r="D2373" i="4"/>
  <c r="C2373" i="4"/>
  <c r="E2372" i="4"/>
  <c r="D2372" i="4"/>
  <c r="C2372" i="4"/>
  <c r="E2371" i="4"/>
  <c r="D2371" i="4"/>
  <c r="C2371" i="4"/>
  <c r="E2370" i="4"/>
  <c r="D2370" i="4"/>
  <c r="C2370" i="4"/>
  <c r="E2369" i="4"/>
  <c r="D2369" i="4"/>
  <c r="C2369" i="4"/>
  <c r="E2368" i="4"/>
  <c r="D2368" i="4"/>
  <c r="C2368" i="4"/>
  <c r="E2367" i="4"/>
  <c r="D2367" i="4"/>
  <c r="C2367" i="4"/>
  <c r="E2366" i="4"/>
  <c r="D2366" i="4"/>
  <c r="C2366" i="4"/>
  <c r="E2365" i="4"/>
  <c r="D2365" i="4"/>
  <c r="C2365" i="4"/>
  <c r="E2364" i="4"/>
  <c r="D2364" i="4"/>
  <c r="C2364" i="4"/>
  <c r="E2363" i="4"/>
  <c r="D2363" i="4"/>
  <c r="C2363" i="4"/>
  <c r="E2362" i="4"/>
  <c r="D2362" i="4"/>
  <c r="C2362" i="4"/>
  <c r="E2361" i="4"/>
  <c r="D2361" i="4"/>
  <c r="C2361" i="4"/>
  <c r="E2360" i="4"/>
  <c r="D2360" i="4"/>
  <c r="C2360" i="4"/>
  <c r="E2359" i="4"/>
  <c r="D2359" i="4"/>
  <c r="C2359" i="4"/>
  <c r="E2358" i="4"/>
  <c r="D2358" i="4"/>
  <c r="C2358" i="4"/>
  <c r="E2357" i="4"/>
  <c r="D2357" i="4"/>
  <c r="C2357" i="4"/>
  <c r="E2356" i="4"/>
  <c r="D2356" i="4"/>
  <c r="C2356" i="4"/>
  <c r="E2355" i="4"/>
  <c r="D2355" i="4"/>
  <c r="C2355" i="4"/>
  <c r="E2354" i="4"/>
  <c r="D2354" i="4"/>
  <c r="C2354" i="4"/>
  <c r="E2353" i="4"/>
  <c r="D2353" i="4"/>
  <c r="C2353" i="4"/>
  <c r="E2352" i="4"/>
  <c r="D2352" i="4"/>
  <c r="C2352" i="4"/>
  <c r="E2351" i="4"/>
  <c r="D2351" i="4"/>
  <c r="C2351" i="4"/>
  <c r="E2350" i="4"/>
  <c r="D2350" i="4"/>
  <c r="C2350" i="4"/>
  <c r="E2349" i="4"/>
  <c r="D2349" i="4"/>
  <c r="C2349" i="4"/>
  <c r="E2348" i="4"/>
  <c r="D2348" i="4"/>
  <c r="C2348" i="4"/>
  <c r="E2347" i="4"/>
  <c r="D2347" i="4"/>
  <c r="C2347" i="4"/>
  <c r="E2346" i="4"/>
  <c r="D2346" i="4"/>
  <c r="C2346" i="4"/>
  <c r="E2345" i="4"/>
  <c r="D2345" i="4"/>
  <c r="C2345" i="4"/>
  <c r="E2344" i="4"/>
  <c r="D2344" i="4"/>
  <c r="C2344" i="4"/>
  <c r="E2343" i="4"/>
  <c r="D2343" i="4"/>
  <c r="C2343" i="4"/>
  <c r="E2342" i="4"/>
  <c r="D2342" i="4"/>
  <c r="C2342" i="4"/>
  <c r="E2341" i="4"/>
  <c r="D2341" i="4"/>
  <c r="C2341" i="4"/>
  <c r="E2340" i="4"/>
  <c r="D2340" i="4"/>
  <c r="C2340" i="4"/>
  <c r="E2339" i="4"/>
  <c r="D2339" i="4"/>
  <c r="C2339" i="4"/>
  <c r="E2338" i="4"/>
  <c r="D2338" i="4"/>
  <c r="C2338" i="4"/>
  <c r="E2337" i="4"/>
  <c r="D2337" i="4"/>
  <c r="C2337" i="4"/>
  <c r="E2336" i="4"/>
  <c r="D2336" i="4"/>
  <c r="C2336" i="4"/>
  <c r="E2335" i="4"/>
  <c r="D2335" i="4"/>
  <c r="C2335" i="4"/>
  <c r="E2334" i="4"/>
  <c r="D2334" i="4"/>
  <c r="C2334" i="4"/>
  <c r="E2333" i="4"/>
  <c r="D2333" i="4"/>
  <c r="C2333" i="4"/>
  <c r="E2332" i="4"/>
  <c r="D2332" i="4"/>
  <c r="C2332" i="4"/>
  <c r="E2331" i="4"/>
  <c r="D2331" i="4"/>
  <c r="C2331" i="4"/>
  <c r="E2330" i="4"/>
  <c r="D2330" i="4"/>
  <c r="C2330" i="4"/>
  <c r="E2329" i="4"/>
  <c r="D2329" i="4"/>
  <c r="C2329" i="4"/>
  <c r="E2328" i="4"/>
  <c r="D2328" i="4"/>
  <c r="C2328" i="4"/>
  <c r="E2327" i="4"/>
  <c r="D2327" i="4"/>
  <c r="C2327" i="4"/>
  <c r="E2326" i="4"/>
  <c r="D2326" i="4"/>
  <c r="C2326" i="4"/>
  <c r="E2325" i="4"/>
  <c r="D2325" i="4"/>
  <c r="C2325" i="4"/>
  <c r="E2324" i="4"/>
  <c r="D2324" i="4"/>
  <c r="C2324" i="4"/>
  <c r="E2323" i="4"/>
  <c r="D2323" i="4"/>
  <c r="C2323" i="4"/>
  <c r="E2322" i="4"/>
  <c r="D2322" i="4"/>
  <c r="C2322" i="4"/>
  <c r="E2321" i="4"/>
  <c r="D2321" i="4"/>
  <c r="C2321" i="4"/>
  <c r="E2320" i="4"/>
  <c r="D2320" i="4"/>
  <c r="C2320" i="4"/>
  <c r="E2319" i="4"/>
  <c r="D2319" i="4"/>
  <c r="C2319" i="4"/>
  <c r="E2318" i="4"/>
  <c r="D2318" i="4"/>
  <c r="C2318" i="4"/>
  <c r="E2317" i="4"/>
  <c r="D2317" i="4"/>
  <c r="C2317" i="4"/>
  <c r="E2316" i="4"/>
  <c r="D2316" i="4"/>
  <c r="C2316" i="4"/>
  <c r="E2315" i="4"/>
  <c r="D2315" i="4"/>
  <c r="C2315" i="4"/>
  <c r="E2314" i="4"/>
  <c r="D2314" i="4"/>
  <c r="C2314" i="4"/>
  <c r="E2313" i="4"/>
  <c r="D2313" i="4"/>
  <c r="C2313" i="4"/>
  <c r="E2312" i="4"/>
  <c r="D2312" i="4"/>
  <c r="C2312" i="4"/>
  <c r="E2311" i="4"/>
  <c r="D2311" i="4"/>
  <c r="C2311" i="4"/>
  <c r="E2310" i="4"/>
  <c r="D2310" i="4"/>
  <c r="C2310" i="4"/>
  <c r="E2309" i="4"/>
  <c r="D2309" i="4"/>
  <c r="C2309" i="4"/>
  <c r="E2308" i="4"/>
  <c r="D2308" i="4"/>
  <c r="C2308" i="4"/>
  <c r="E2307" i="4"/>
  <c r="D2307" i="4"/>
  <c r="C2307" i="4"/>
  <c r="E2306" i="4"/>
  <c r="D2306" i="4"/>
  <c r="C2306" i="4"/>
  <c r="E2305" i="4"/>
  <c r="D2305" i="4"/>
  <c r="C2305" i="4"/>
  <c r="E2304" i="4"/>
  <c r="D2304" i="4"/>
  <c r="C2304" i="4"/>
  <c r="E2303" i="4"/>
  <c r="D2303" i="4"/>
  <c r="C2303" i="4"/>
  <c r="E2302" i="4"/>
  <c r="D2302" i="4"/>
  <c r="C2302" i="4"/>
  <c r="E2301" i="4"/>
  <c r="D2301" i="4"/>
  <c r="C2301" i="4"/>
  <c r="E2300" i="4"/>
  <c r="D2300" i="4"/>
  <c r="C2300" i="4"/>
  <c r="E2299" i="4"/>
  <c r="D2299" i="4"/>
  <c r="C2299" i="4"/>
  <c r="E2298" i="4"/>
  <c r="D2298" i="4"/>
  <c r="C2298" i="4"/>
  <c r="E2297" i="4"/>
  <c r="D2297" i="4"/>
  <c r="C2297" i="4"/>
  <c r="E2296" i="4"/>
  <c r="D2296" i="4"/>
  <c r="C2296" i="4"/>
  <c r="E2295" i="4"/>
  <c r="D2295" i="4"/>
  <c r="C2295" i="4"/>
  <c r="E2294" i="4"/>
  <c r="D2294" i="4"/>
  <c r="C2294" i="4"/>
  <c r="E2293" i="4"/>
  <c r="D2293" i="4"/>
  <c r="C2293" i="4"/>
  <c r="E2292" i="4"/>
  <c r="D2292" i="4"/>
  <c r="C2292" i="4"/>
  <c r="E2291" i="4"/>
  <c r="D2291" i="4"/>
  <c r="C2291" i="4"/>
  <c r="E2290" i="4"/>
  <c r="D2290" i="4"/>
  <c r="C2290" i="4"/>
  <c r="E2289" i="4"/>
  <c r="D2289" i="4"/>
  <c r="C2289" i="4"/>
  <c r="E2288" i="4"/>
  <c r="D2288" i="4"/>
  <c r="C2288" i="4"/>
  <c r="E2287" i="4"/>
  <c r="D2287" i="4"/>
  <c r="C2287" i="4"/>
  <c r="E2286" i="4"/>
  <c r="D2286" i="4"/>
  <c r="C2286" i="4"/>
  <c r="E2285" i="4"/>
  <c r="D2285" i="4"/>
  <c r="C2285" i="4"/>
  <c r="E2284" i="4"/>
  <c r="D2284" i="4"/>
  <c r="C2284" i="4"/>
  <c r="E2283" i="4"/>
  <c r="D2283" i="4"/>
  <c r="C2283" i="4"/>
  <c r="E2282" i="4"/>
  <c r="D2282" i="4"/>
  <c r="C2282" i="4"/>
  <c r="E2281" i="4"/>
  <c r="D2281" i="4"/>
  <c r="C2281" i="4"/>
  <c r="E2280" i="4"/>
  <c r="D2280" i="4"/>
  <c r="C2280" i="4"/>
  <c r="E2279" i="4"/>
  <c r="D2279" i="4"/>
  <c r="C2279" i="4"/>
  <c r="E2278" i="4"/>
  <c r="D2278" i="4"/>
  <c r="C2278" i="4"/>
  <c r="E2277" i="4"/>
  <c r="D2277" i="4"/>
  <c r="C2277" i="4"/>
  <c r="E2276" i="4"/>
  <c r="D2276" i="4"/>
  <c r="C2276" i="4"/>
  <c r="E2275" i="4"/>
  <c r="D2275" i="4"/>
  <c r="C2275" i="4"/>
  <c r="E2274" i="4"/>
  <c r="D2274" i="4"/>
  <c r="C2274" i="4"/>
  <c r="E2273" i="4"/>
  <c r="D2273" i="4"/>
  <c r="C2273" i="4"/>
  <c r="E2272" i="4"/>
  <c r="D2272" i="4"/>
  <c r="C2272" i="4"/>
  <c r="E2271" i="4"/>
  <c r="D2271" i="4"/>
  <c r="C2271" i="4"/>
  <c r="E2270" i="4"/>
  <c r="D2270" i="4"/>
  <c r="C2270" i="4"/>
  <c r="E2269" i="4"/>
  <c r="D2269" i="4"/>
  <c r="C2269" i="4"/>
  <c r="E2268" i="4"/>
  <c r="D2268" i="4"/>
  <c r="C2268" i="4"/>
  <c r="E2267" i="4"/>
  <c r="D2267" i="4"/>
  <c r="C2267" i="4"/>
  <c r="E2266" i="4"/>
  <c r="D2266" i="4"/>
  <c r="C2266" i="4"/>
  <c r="E2265" i="4"/>
  <c r="D2265" i="4"/>
  <c r="C2265" i="4"/>
  <c r="E2264" i="4"/>
  <c r="D2264" i="4"/>
  <c r="C2264" i="4"/>
  <c r="E2263" i="4"/>
  <c r="D2263" i="4"/>
  <c r="C2263" i="4"/>
  <c r="E2262" i="4"/>
  <c r="D2262" i="4"/>
  <c r="C2262" i="4"/>
  <c r="E2261" i="4"/>
  <c r="D2261" i="4"/>
  <c r="C2261" i="4"/>
  <c r="E2260" i="4"/>
  <c r="D2260" i="4"/>
  <c r="C2260" i="4"/>
  <c r="E2259" i="4"/>
  <c r="D2259" i="4"/>
  <c r="C2259" i="4"/>
  <c r="E2258" i="4"/>
  <c r="D2258" i="4"/>
  <c r="C2258" i="4"/>
  <c r="E2257" i="4"/>
  <c r="D2257" i="4"/>
  <c r="C2257" i="4"/>
  <c r="E2256" i="4"/>
  <c r="D2256" i="4"/>
  <c r="C2256" i="4"/>
  <c r="E2255" i="4"/>
  <c r="D2255" i="4"/>
  <c r="C2255" i="4"/>
  <c r="E2254" i="4"/>
  <c r="D2254" i="4"/>
  <c r="C2254" i="4"/>
  <c r="E2253" i="4"/>
  <c r="D2253" i="4"/>
  <c r="C2253" i="4"/>
  <c r="E2252" i="4"/>
  <c r="D2252" i="4"/>
  <c r="C2252" i="4"/>
  <c r="E2251" i="4"/>
  <c r="D2251" i="4"/>
  <c r="C2251" i="4"/>
  <c r="E2250" i="4"/>
  <c r="D2250" i="4"/>
  <c r="C2250" i="4"/>
  <c r="E2249" i="4"/>
  <c r="D2249" i="4"/>
  <c r="C2249" i="4"/>
  <c r="E2248" i="4"/>
  <c r="D2248" i="4"/>
  <c r="C2248" i="4"/>
  <c r="E2247" i="4"/>
  <c r="D2247" i="4"/>
  <c r="C2247" i="4"/>
  <c r="E2246" i="4"/>
  <c r="D2246" i="4"/>
  <c r="C2246" i="4"/>
  <c r="E2245" i="4"/>
  <c r="D2245" i="4"/>
  <c r="C2245" i="4"/>
  <c r="E2244" i="4"/>
  <c r="D2244" i="4"/>
  <c r="C2244" i="4"/>
  <c r="E2243" i="4"/>
  <c r="D2243" i="4"/>
  <c r="C2243" i="4"/>
  <c r="E2242" i="4"/>
  <c r="D2242" i="4"/>
  <c r="C2242" i="4"/>
  <c r="E2241" i="4"/>
  <c r="D2241" i="4"/>
  <c r="C2241" i="4"/>
  <c r="E2240" i="4"/>
  <c r="D2240" i="4"/>
  <c r="C2240" i="4"/>
  <c r="E2239" i="4"/>
  <c r="D2239" i="4"/>
  <c r="C2239" i="4"/>
  <c r="E2238" i="4"/>
  <c r="D2238" i="4"/>
  <c r="C2238" i="4"/>
  <c r="E2237" i="4"/>
  <c r="D2237" i="4"/>
  <c r="C2237" i="4"/>
  <c r="E2236" i="4"/>
  <c r="D2236" i="4"/>
  <c r="C2236" i="4"/>
  <c r="E2235" i="4"/>
  <c r="D2235" i="4"/>
  <c r="C2235" i="4"/>
  <c r="E2234" i="4"/>
  <c r="D2234" i="4"/>
  <c r="C2234" i="4"/>
  <c r="E2233" i="4"/>
  <c r="D2233" i="4"/>
  <c r="C2233" i="4"/>
  <c r="E2232" i="4"/>
  <c r="D2232" i="4"/>
  <c r="C2232" i="4"/>
  <c r="E2231" i="4"/>
  <c r="D2231" i="4"/>
  <c r="C2231" i="4"/>
  <c r="E2230" i="4"/>
  <c r="D2230" i="4"/>
  <c r="C2230" i="4"/>
  <c r="E2229" i="4"/>
  <c r="D2229" i="4"/>
  <c r="C2229" i="4"/>
  <c r="E2228" i="4"/>
  <c r="D2228" i="4"/>
  <c r="C2228" i="4"/>
  <c r="E2227" i="4"/>
  <c r="D2227" i="4"/>
  <c r="C2227" i="4"/>
  <c r="E2226" i="4"/>
  <c r="D2226" i="4"/>
  <c r="C2226" i="4"/>
  <c r="E2225" i="4"/>
  <c r="D2225" i="4"/>
  <c r="C2225" i="4"/>
  <c r="E2224" i="4"/>
  <c r="D2224" i="4"/>
  <c r="C2224" i="4"/>
  <c r="E2223" i="4"/>
  <c r="D2223" i="4"/>
  <c r="C2223" i="4"/>
  <c r="E2222" i="4"/>
  <c r="D2222" i="4"/>
  <c r="C2222" i="4"/>
  <c r="E2221" i="4"/>
  <c r="D2221" i="4"/>
  <c r="C2221" i="4"/>
  <c r="E2220" i="4"/>
  <c r="D2220" i="4"/>
  <c r="C2220" i="4"/>
  <c r="E2219" i="4"/>
  <c r="D2219" i="4"/>
  <c r="C2219" i="4"/>
  <c r="E2218" i="4"/>
  <c r="D2218" i="4"/>
  <c r="C2218" i="4"/>
  <c r="E2217" i="4"/>
  <c r="D2217" i="4"/>
  <c r="C2217" i="4"/>
  <c r="E2216" i="4"/>
  <c r="D2216" i="4"/>
  <c r="C2216" i="4"/>
  <c r="E2215" i="4"/>
  <c r="D2215" i="4"/>
  <c r="C2215" i="4"/>
  <c r="E2214" i="4"/>
  <c r="D2214" i="4"/>
  <c r="C2214" i="4"/>
  <c r="E2213" i="4"/>
  <c r="D2213" i="4"/>
  <c r="C2213" i="4"/>
  <c r="E2212" i="4"/>
  <c r="D2212" i="4"/>
  <c r="C2212" i="4"/>
  <c r="E2211" i="4"/>
  <c r="D2211" i="4"/>
  <c r="C2211" i="4"/>
  <c r="E2210" i="4"/>
  <c r="D2210" i="4"/>
  <c r="C2210" i="4"/>
  <c r="E2209" i="4"/>
  <c r="D2209" i="4"/>
  <c r="C2209" i="4"/>
  <c r="E2208" i="4"/>
  <c r="D2208" i="4"/>
  <c r="C2208" i="4"/>
  <c r="E2207" i="4"/>
  <c r="D2207" i="4"/>
  <c r="C2207" i="4"/>
  <c r="E2206" i="4"/>
  <c r="D2206" i="4"/>
  <c r="C2206" i="4"/>
  <c r="E2205" i="4"/>
  <c r="D2205" i="4"/>
  <c r="C2205" i="4"/>
  <c r="E2204" i="4"/>
  <c r="D2204" i="4"/>
  <c r="C2204" i="4"/>
  <c r="E2203" i="4"/>
  <c r="D2203" i="4"/>
  <c r="C2203" i="4"/>
  <c r="E2202" i="4"/>
  <c r="D2202" i="4"/>
  <c r="C2202" i="4"/>
  <c r="E2201" i="4"/>
  <c r="D2201" i="4"/>
  <c r="C2201" i="4"/>
  <c r="E2200" i="4"/>
  <c r="D2200" i="4"/>
  <c r="C2200" i="4"/>
  <c r="E2199" i="4"/>
  <c r="D2199" i="4"/>
  <c r="C2199" i="4"/>
  <c r="E2198" i="4"/>
  <c r="D2198" i="4"/>
  <c r="C2198" i="4"/>
  <c r="E2197" i="4"/>
  <c r="D2197" i="4"/>
  <c r="C2197" i="4"/>
  <c r="E2196" i="4"/>
  <c r="D2196" i="4"/>
  <c r="C2196" i="4"/>
  <c r="E2195" i="4"/>
  <c r="D2195" i="4"/>
  <c r="C2195" i="4"/>
  <c r="E2194" i="4"/>
  <c r="D2194" i="4"/>
  <c r="C2194" i="4"/>
  <c r="E2193" i="4"/>
  <c r="D2193" i="4"/>
  <c r="C2193" i="4"/>
  <c r="E2192" i="4"/>
  <c r="D2192" i="4"/>
  <c r="C2192" i="4"/>
  <c r="E2191" i="4"/>
  <c r="D2191" i="4"/>
  <c r="C2191" i="4"/>
  <c r="E2190" i="4"/>
  <c r="D2190" i="4"/>
  <c r="C2190" i="4"/>
  <c r="E2189" i="4"/>
  <c r="D2189" i="4"/>
  <c r="C2189" i="4"/>
  <c r="E2188" i="4"/>
  <c r="D2188" i="4"/>
  <c r="C2188" i="4"/>
  <c r="E2187" i="4"/>
  <c r="D2187" i="4"/>
  <c r="C2187" i="4"/>
  <c r="E2186" i="4"/>
  <c r="D2186" i="4"/>
  <c r="C2186" i="4"/>
  <c r="E2185" i="4"/>
  <c r="D2185" i="4"/>
  <c r="C2185" i="4"/>
  <c r="E2184" i="4"/>
  <c r="D2184" i="4"/>
  <c r="C2184" i="4"/>
  <c r="E2183" i="4"/>
  <c r="D2183" i="4"/>
  <c r="C2183" i="4"/>
  <c r="E2182" i="4"/>
  <c r="D2182" i="4"/>
  <c r="C2182" i="4"/>
  <c r="E2181" i="4"/>
  <c r="D2181" i="4"/>
  <c r="C2181" i="4"/>
  <c r="E2180" i="4"/>
  <c r="D2180" i="4"/>
  <c r="C2180" i="4"/>
  <c r="E2179" i="4"/>
  <c r="D2179" i="4"/>
  <c r="C2179" i="4"/>
  <c r="E2178" i="4"/>
  <c r="D2178" i="4"/>
  <c r="C2178" i="4"/>
  <c r="E2177" i="4"/>
  <c r="D2177" i="4"/>
  <c r="C2177" i="4"/>
  <c r="E2176" i="4"/>
  <c r="D2176" i="4"/>
  <c r="C2176" i="4"/>
  <c r="E2175" i="4"/>
  <c r="D2175" i="4"/>
  <c r="C2175" i="4"/>
  <c r="E2174" i="4"/>
  <c r="D2174" i="4"/>
  <c r="C2174" i="4"/>
  <c r="E2173" i="4"/>
  <c r="D2173" i="4"/>
  <c r="C2173" i="4"/>
  <c r="E2172" i="4"/>
  <c r="D2172" i="4"/>
  <c r="C2172" i="4"/>
  <c r="E2171" i="4"/>
  <c r="D2171" i="4"/>
  <c r="C2171" i="4"/>
  <c r="E2170" i="4"/>
  <c r="D2170" i="4"/>
  <c r="C2170" i="4"/>
  <c r="E2169" i="4"/>
  <c r="D2169" i="4"/>
  <c r="C2169" i="4"/>
  <c r="E2168" i="4"/>
  <c r="D2168" i="4"/>
  <c r="C2168" i="4"/>
  <c r="E2167" i="4"/>
  <c r="D2167" i="4"/>
  <c r="C2167" i="4"/>
  <c r="E2166" i="4"/>
  <c r="D2166" i="4"/>
  <c r="C2166" i="4"/>
  <c r="E2165" i="4"/>
  <c r="D2165" i="4"/>
  <c r="C2165" i="4"/>
  <c r="E2164" i="4"/>
  <c r="D2164" i="4"/>
  <c r="C2164" i="4"/>
  <c r="E2163" i="4"/>
  <c r="D2163" i="4"/>
  <c r="C2163" i="4"/>
  <c r="E2162" i="4"/>
  <c r="D2162" i="4"/>
  <c r="C2162" i="4"/>
  <c r="E2161" i="4"/>
  <c r="D2161" i="4"/>
  <c r="C2161" i="4"/>
  <c r="E2160" i="4"/>
  <c r="D2160" i="4"/>
  <c r="C2160" i="4"/>
  <c r="E2159" i="4"/>
  <c r="D2159" i="4"/>
  <c r="C2159" i="4"/>
  <c r="E2158" i="4"/>
  <c r="D2158" i="4"/>
  <c r="C2158" i="4"/>
  <c r="E2157" i="4"/>
  <c r="D2157" i="4"/>
  <c r="C2157" i="4"/>
  <c r="E2156" i="4"/>
  <c r="D2156" i="4"/>
  <c r="C2156" i="4"/>
  <c r="E2155" i="4"/>
  <c r="D2155" i="4"/>
  <c r="C2155" i="4"/>
  <c r="E2154" i="4"/>
  <c r="D2154" i="4"/>
  <c r="C2154" i="4"/>
  <c r="E2153" i="4"/>
  <c r="D2153" i="4"/>
  <c r="C2153" i="4"/>
  <c r="E2152" i="4"/>
  <c r="D2152" i="4"/>
  <c r="C2152" i="4"/>
  <c r="E2151" i="4"/>
  <c r="D2151" i="4"/>
  <c r="C2151" i="4"/>
  <c r="E2150" i="4"/>
  <c r="D2150" i="4"/>
  <c r="C2150" i="4"/>
  <c r="E2149" i="4"/>
  <c r="D2149" i="4"/>
  <c r="C2149" i="4"/>
  <c r="E2148" i="4"/>
  <c r="D2148" i="4"/>
  <c r="C2148" i="4"/>
  <c r="E2147" i="4"/>
  <c r="D2147" i="4"/>
  <c r="C2147" i="4"/>
  <c r="E2146" i="4"/>
  <c r="D2146" i="4"/>
  <c r="C2146" i="4"/>
  <c r="E2145" i="4"/>
  <c r="D2145" i="4"/>
  <c r="C2145" i="4"/>
  <c r="E2144" i="4"/>
  <c r="D2144" i="4"/>
  <c r="C2144" i="4"/>
  <c r="E2143" i="4"/>
  <c r="D2143" i="4"/>
  <c r="C2143" i="4"/>
  <c r="E2142" i="4"/>
  <c r="D2142" i="4"/>
  <c r="C2142" i="4"/>
  <c r="E2141" i="4"/>
  <c r="D2141" i="4"/>
  <c r="C2141" i="4"/>
  <c r="E2140" i="4"/>
  <c r="D2140" i="4"/>
  <c r="C2140" i="4"/>
  <c r="E2139" i="4"/>
  <c r="D2139" i="4"/>
  <c r="C2139" i="4"/>
  <c r="E2138" i="4"/>
  <c r="D2138" i="4"/>
  <c r="C2138" i="4"/>
  <c r="E2137" i="4"/>
  <c r="D2137" i="4"/>
  <c r="C2137" i="4"/>
  <c r="E2136" i="4"/>
  <c r="D2136" i="4"/>
  <c r="C2136" i="4"/>
  <c r="E2135" i="4"/>
  <c r="D2135" i="4"/>
  <c r="C2135" i="4"/>
  <c r="E2134" i="4"/>
  <c r="D2134" i="4"/>
  <c r="C2134" i="4"/>
  <c r="E2133" i="4"/>
  <c r="D2133" i="4"/>
  <c r="C2133" i="4"/>
  <c r="E2132" i="4"/>
  <c r="D2132" i="4"/>
  <c r="C2132" i="4"/>
  <c r="E2131" i="4"/>
  <c r="D2131" i="4"/>
  <c r="C2131" i="4"/>
  <c r="E2130" i="4"/>
  <c r="D2130" i="4"/>
  <c r="C2130" i="4"/>
  <c r="E2129" i="4"/>
  <c r="D2129" i="4"/>
  <c r="C2129" i="4"/>
  <c r="E2128" i="4"/>
  <c r="D2128" i="4"/>
  <c r="C2128" i="4"/>
  <c r="E2127" i="4"/>
  <c r="D2127" i="4"/>
  <c r="C2127" i="4"/>
  <c r="E2126" i="4"/>
  <c r="D2126" i="4"/>
  <c r="C2126" i="4"/>
  <c r="E2125" i="4"/>
  <c r="D2125" i="4"/>
  <c r="C2125" i="4"/>
  <c r="E2124" i="4"/>
  <c r="D2124" i="4"/>
  <c r="C2124" i="4"/>
  <c r="E2123" i="4"/>
  <c r="D2123" i="4"/>
  <c r="C2123" i="4"/>
  <c r="E2122" i="4"/>
  <c r="D2122" i="4"/>
  <c r="C2122" i="4"/>
  <c r="E2121" i="4"/>
  <c r="D2121" i="4"/>
  <c r="C2121" i="4"/>
  <c r="E2120" i="4"/>
  <c r="D2120" i="4"/>
  <c r="C2120" i="4"/>
  <c r="E2119" i="4"/>
  <c r="D2119" i="4"/>
  <c r="C2119" i="4"/>
  <c r="E2118" i="4"/>
  <c r="D2118" i="4"/>
  <c r="C2118" i="4"/>
  <c r="E2117" i="4"/>
  <c r="D2117" i="4"/>
  <c r="C2117" i="4"/>
  <c r="E2116" i="4"/>
  <c r="D2116" i="4"/>
  <c r="C2116" i="4"/>
  <c r="E2115" i="4"/>
  <c r="D2115" i="4"/>
  <c r="C2115" i="4"/>
  <c r="E2114" i="4"/>
  <c r="D2114" i="4"/>
  <c r="C2114" i="4"/>
  <c r="E2113" i="4"/>
  <c r="D2113" i="4"/>
  <c r="C2113" i="4"/>
  <c r="E2112" i="4"/>
  <c r="D2112" i="4"/>
  <c r="C2112" i="4"/>
  <c r="E2111" i="4"/>
  <c r="D2111" i="4"/>
  <c r="C2111" i="4"/>
  <c r="E2110" i="4"/>
  <c r="D2110" i="4"/>
  <c r="C2110" i="4"/>
  <c r="E2109" i="4"/>
  <c r="D2109" i="4"/>
  <c r="C2109" i="4"/>
  <c r="E2108" i="4"/>
  <c r="D2108" i="4"/>
  <c r="C2108" i="4"/>
  <c r="E2107" i="4"/>
  <c r="D2107" i="4"/>
  <c r="C2107" i="4"/>
  <c r="E2106" i="4"/>
  <c r="D2106" i="4"/>
  <c r="C2106" i="4"/>
  <c r="E2105" i="4"/>
  <c r="D2105" i="4"/>
  <c r="C2105" i="4"/>
  <c r="E2104" i="4"/>
  <c r="D2104" i="4"/>
  <c r="C2104" i="4"/>
  <c r="E2103" i="4"/>
  <c r="D2103" i="4"/>
  <c r="C2103" i="4"/>
  <c r="E2102" i="4"/>
  <c r="D2102" i="4"/>
  <c r="C2102" i="4"/>
  <c r="E2101" i="4"/>
  <c r="D2101" i="4"/>
  <c r="C2101" i="4"/>
  <c r="E2100" i="4"/>
  <c r="D2100" i="4"/>
  <c r="C2100" i="4"/>
  <c r="E2099" i="4"/>
  <c r="D2099" i="4"/>
  <c r="C2099" i="4"/>
  <c r="E2098" i="4"/>
  <c r="D2098" i="4"/>
  <c r="C2098" i="4"/>
  <c r="E2097" i="4"/>
  <c r="D2097" i="4"/>
  <c r="C2097" i="4"/>
  <c r="E2096" i="4"/>
  <c r="D2096" i="4"/>
  <c r="C2096" i="4"/>
  <c r="E2095" i="4"/>
  <c r="D2095" i="4"/>
  <c r="C2095" i="4"/>
  <c r="E2094" i="4"/>
  <c r="D2094" i="4"/>
  <c r="C2094" i="4"/>
  <c r="E2093" i="4"/>
  <c r="D2093" i="4"/>
  <c r="C2093" i="4"/>
  <c r="E2092" i="4"/>
  <c r="D2092" i="4"/>
  <c r="C2092" i="4"/>
  <c r="E2091" i="4"/>
  <c r="D2091" i="4"/>
  <c r="C2091" i="4"/>
  <c r="E2090" i="4"/>
  <c r="D2090" i="4"/>
  <c r="C2090" i="4"/>
  <c r="E2089" i="4"/>
  <c r="D2089" i="4"/>
  <c r="C2089" i="4"/>
  <c r="E2088" i="4"/>
  <c r="D2088" i="4"/>
  <c r="C2088" i="4"/>
  <c r="E2087" i="4"/>
  <c r="D2087" i="4"/>
  <c r="C2087" i="4"/>
  <c r="E2086" i="4"/>
  <c r="D2086" i="4"/>
  <c r="C2086" i="4"/>
  <c r="E2085" i="4"/>
  <c r="D2085" i="4"/>
  <c r="C2085" i="4"/>
  <c r="E2084" i="4"/>
  <c r="D2084" i="4"/>
  <c r="C2084" i="4"/>
  <c r="E2083" i="4"/>
  <c r="D2083" i="4"/>
  <c r="C2083" i="4"/>
  <c r="E2082" i="4"/>
  <c r="D2082" i="4"/>
  <c r="C2082" i="4"/>
  <c r="E2081" i="4"/>
  <c r="D2081" i="4"/>
  <c r="C2081" i="4"/>
  <c r="E2080" i="4"/>
  <c r="D2080" i="4"/>
  <c r="C2080" i="4"/>
  <c r="E2079" i="4"/>
  <c r="D2079" i="4"/>
  <c r="C2079" i="4"/>
  <c r="E2078" i="4"/>
  <c r="D2078" i="4"/>
  <c r="C2078" i="4"/>
  <c r="E2077" i="4"/>
  <c r="D2077" i="4"/>
  <c r="C2077" i="4"/>
  <c r="E2076" i="4"/>
  <c r="D2076" i="4"/>
  <c r="C2076" i="4"/>
  <c r="E2075" i="4"/>
  <c r="D2075" i="4"/>
  <c r="C2075" i="4"/>
  <c r="E2074" i="4"/>
  <c r="D2074" i="4"/>
  <c r="C2074" i="4"/>
  <c r="E2073" i="4"/>
  <c r="D2073" i="4"/>
  <c r="C2073" i="4"/>
  <c r="E2072" i="4"/>
  <c r="D2072" i="4"/>
  <c r="C2072" i="4"/>
  <c r="E2071" i="4"/>
  <c r="D2071" i="4"/>
  <c r="C2071" i="4"/>
  <c r="E2070" i="4"/>
  <c r="D2070" i="4"/>
  <c r="C2070" i="4"/>
  <c r="E2069" i="4"/>
  <c r="D2069" i="4"/>
  <c r="C2069" i="4"/>
  <c r="E2068" i="4"/>
  <c r="D2068" i="4"/>
  <c r="C2068" i="4"/>
  <c r="E2067" i="4"/>
  <c r="D2067" i="4"/>
  <c r="C2067" i="4"/>
  <c r="E2066" i="4"/>
  <c r="D2066" i="4"/>
  <c r="C2066" i="4"/>
  <c r="E2065" i="4"/>
  <c r="D2065" i="4"/>
  <c r="C2065" i="4"/>
  <c r="E2064" i="4"/>
  <c r="D2064" i="4"/>
  <c r="C2064" i="4"/>
  <c r="E2063" i="4"/>
  <c r="D2063" i="4"/>
  <c r="C2063" i="4"/>
  <c r="E2062" i="4"/>
  <c r="D2062" i="4"/>
  <c r="C2062" i="4"/>
  <c r="E2061" i="4"/>
  <c r="D2061" i="4"/>
  <c r="C2061" i="4"/>
  <c r="E2060" i="4"/>
  <c r="D2060" i="4"/>
  <c r="C2060" i="4"/>
  <c r="E2059" i="4"/>
  <c r="D2059" i="4"/>
  <c r="C2059" i="4"/>
  <c r="E2058" i="4"/>
  <c r="D2058" i="4"/>
  <c r="C2058" i="4"/>
  <c r="E2057" i="4"/>
  <c r="D2057" i="4"/>
  <c r="C2057" i="4"/>
  <c r="E2056" i="4"/>
  <c r="D2056" i="4"/>
  <c r="C2056" i="4"/>
  <c r="E2055" i="4"/>
  <c r="D2055" i="4"/>
  <c r="C2055" i="4"/>
  <c r="E2054" i="4"/>
  <c r="D2054" i="4"/>
  <c r="C2054" i="4"/>
  <c r="E2053" i="4"/>
  <c r="D2053" i="4"/>
  <c r="C2053" i="4"/>
  <c r="E2052" i="4"/>
  <c r="D2052" i="4"/>
  <c r="C2052" i="4"/>
  <c r="E2051" i="4"/>
  <c r="D2051" i="4"/>
  <c r="C2051" i="4"/>
  <c r="E2050" i="4"/>
  <c r="D2050" i="4"/>
  <c r="C2050" i="4"/>
  <c r="E2049" i="4"/>
  <c r="D2049" i="4"/>
  <c r="C2049" i="4"/>
  <c r="E2048" i="4"/>
  <c r="D2048" i="4"/>
  <c r="C2048" i="4"/>
  <c r="E2047" i="4"/>
  <c r="D2047" i="4"/>
  <c r="C2047" i="4"/>
  <c r="E2046" i="4"/>
  <c r="D2046" i="4"/>
  <c r="C2046" i="4"/>
  <c r="E2045" i="4"/>
  <c r="D2045" i="4"/>
  <c r="C2045" i="4"/>
  <c r="E2044" i="4"/>
  <c r="D2044" i="4"/>
  <c r="C2044" i="4"/>
  <c r="E2043" i="4"/>
  <c r="D2043" i="4"/>
  <c r="C2043" i="4"/>
  <c r="E2042" i="4"/>
  <c r="D2042" i="4"/>
  <c r="C2042" i="4"/>
  <c r="E2041" i="4"/>
  <c r="D2041" i="4"/>
  <c r="C2041" i="4"/>
  <c r="E2040" i="4"/>
  <c r="D2040" i="4"/>
  <c r="C2040" i="4"/>
  <c r="E2039" i="4"/>
  <c r="D2039" i="4"/>
  <c r="C2039" i="4"/>
  <c r="E2038" i="4"/>
  <c r="D2038" i="4"/>
  <c r="C2038" i="4"/>
  <c r="E2037" i="4"/>
  <c r="D2037" i="4"/>
  <c r="C2037" i="4"/>
  <c r="E2036" i="4"/>
  <c r="D2036" i="4"/>
  <c r="C2036" i="4"/>
  <c r="E2035" i="4"/>
  <c r="D2035" i="4"/>
  <c r="C2035" i="4"/>
  <c r="E2034" i="4"/>
  <c r="D2034" i="4"/>
  <c r="C2034" i="4"/>
  <c r="E2033" i="4"/>
  <c r="D2033" i="4"/>
  <c r="C2033" i="4"/>
  <c r="E2032" i="4"/>
  <c r="D2032" i="4"/>
  <c r="C2032" i="4"/>
  <c r="E2031" i="4"/>
  <c r="D2031" i="4"/>
  <c r="C2031" i="4"/>
  <c r="E2030" i="4"/>
  <c r="D2030" i="4"/>
  <c r="C2030" i="4"/>
  <c r="E2029" i="4"/>
  <c r="D2029" i="4"/>
  <c r="C2029" i="4"/>
  <c r="E2028" i="4"/>
  <c r="D2028" i="4"/>
  <c r="C2028" i="4"/>
  <c r="E2027" i="4"/>
  <c r="D2027" i="4"/>
  <c r="C2027" i="4"/>
  <c r="E2026" i="4"/>
  <c r="D2026" i="4"/>
  <c r="C2026" i="4"/>
  <c r="E2025" i="4"/>
  <c r="D2025" i="4"/>
  <c r="C2025" i="4"/>
  <c r="E2024" i="4"/>
  <c r="D2024" i="4"/>
  <c r="C2024" i="4"/>
  <c r="E2023" i="4"/>
  <c r="D2023" i="4"/>
  <c r="C2023" i="4"/>
  <c r="E2022" i="4"/>
  <c r="D2022" i="4"/>
  <c r="C2022" i="4"/>
  <c r="E2021" i="4"/>
  <c r="D2021" i="4"/>
  <c r="C2021" i="4"/>
  <c r="E2020" i="4"/>
  <c r="D2020" i="4"/>
  <c r="C2020" i="4"/>
  <c r="E2019" i="4"/>
  <c r="D2019" i="4"/>
  <c r="C2019" i="4"/>
  <c r="E2018" i="4"/>
  <c r="D2018" i="4"/>
  <c r="C2018" i="4"/>
  <c r="E2017" i="4"/>
  <c r="D2017" i="4"/>
  <c r="C2017" i="4"/>
  <c r="E2016" i="4"/>
  <c r="D2016" i="4"/>
  <c r="C2016" i="4"/>
  <c r="E2015" i="4"/>
  <c r="D2015" i="4"/>
  <c r="C2015" i="4"/>
  <c r="E2014" i="4"/>
  <c r="D2014" i="4"/>
  <c r="C2014" i="4"/>
  <c r="E2013" i="4"/>
  <c r="D2013" i="4"/>
  <c r="C2013" i="4"/>
  <c r="E2012" i="4"/>
  <c r="D2012" i="4"/>
  <c r="C2012" i="4"/>
  <c r="E2011" i="4"/>
  <c r="D2011" i="4"/>
  <c r="C2011" i="4"/>
  <c r="E2010" i="4"/>
  <c r="D2010" i="4"/>
  <c r="C2010" i="4"/>
  <c r="E2009" i="4"/>
  <c r="D2009" i="4"/>
  <c r="C2009" i="4"/>
  <c r="E2008" i="4"/>
  <c r="D2008" i="4"/>
  <c r="C2008" i="4"/>
  <c r="E2007" i="4"/>
  <c r="D2007" i="4"/>
  <c r="C2007" i="4"/>
  <c r="E2006" i="4"/>
  <c r="D2006" i="4"/>
  <c r="C2006" i="4"/>
  <c r="E2005" i="4"/>
  <c r="D2005" i="4"/>
  <c r="C2005" i="4"/>
  <c r="E2004" i="4"/>
  <c r="D2004" i="4"/>
  <c r="C2004" i="4"/>
  <c r="E2003" i="4"/>
  <c r="D2003" i="4"/>
  <c r="C2003" i="4"/>
  <c r="E2002" i="4"/>
  <c r="D2002" i="4"/>
  <c r="C2002" i="4"/>
  <c r="E2001" i="4"/>
  <c r="D2001" i="4"/>
  <c r="C2001" i="4"/>
  <c r="E2000" i="4"/>
  <c r="D2000" i="4"/>
  <c r="C2000" i="4"/>
  <c r="E1999" i="4"/>
  <c r="D1999" i="4"/>
  <c r="C1999" i="4"/>
  <c r="E1998" i="4"/>
  <c r="D1998" i="4"/>
  <c r="C1998" i="4"/>
  <c r="E1997" i="4"/>
  <c r="D1997" i="4"/>
  <c r="C1997" i="4"/>
  <c r="E1996" i="4"/>
  <c r="D1996" i="4"/>
  <c r="C1996" i="4"/>
  <c r="E1995" i="4"/>
  <c r="D1995" i="4"/>
  <c r="C1995" i="4"/>
  <c r="E1994" i="4"/>
  <c r="D1994" i="4"/>
  <c r="C1994" i="4"/>
  <c r="E1993" i="4"/>
  <c r="D1993" i="4"/>
  <c r="C1993" i="4"/>
  <c r="E1992" i="4"/>
  <c r="D1992" i="4"/>
  <c r="C1992" i="4"/>
  <c r="E1991" i="4"/>
  <c r="D1991" i="4"/>
  <c r="C1991" i="4"/>
  <c r="E1990" i="4"/>
  <c r="D1990" i="4"/>
  <c r="C1990" i="4"/>
  <c r="E1989" i="4"/>
  <c r="D1989" i="4"/>
  <c r="C1989" i="4"/>
  <c r="E1988" i="4"/>
  <c r="D1988" i="4"/>
  <c r="C1988" i="4"/>
  <c r="E1987" i="4"/>
  <c r="D1987" i="4"/>
  <c r="C1987" i="4"/>
  <c r="E1986" i="4"/>
  <c r="D1986" i="4"/>
  <c r="C1986" i="4"/>
  <c r="E1985" i="4"/>
  <c r="D1985" i="4"/>
  <c r="C1985" i="4"/>
  <c r="E1984" i="4"/>
  <c r="D1984" i="4"/>
  <c r="C1984" i="4"/>
  <c r="E1983" i="4"/>
  <c r="D1983" i="4"/>
  <c r="C1983" i="4"/>
  <c r="E1982" i="4"/>
  <c r="D1982" i="4"/>
  <c r="C1982" i="4"/>
  <c r="E1981" i="4"/>
  <c r="D1981" i="4"/>
  <c r="C1981" i="4"/>
  <c r="E1980" i="4"/>
  <c r="D1980" i="4"/>
  <c r="C1980" i="4"/>
  <c r="E1979" i="4"/>
  <c r="D1979" i="4"/>
  <c r="C1979" i="4"/>
  <c r="E1978" i="4"/>
  <c r="D1978" i="4"/>
  <c r="C1978" i="4"/>
  <c r="E1977" i="4"/>
  <c r="D1977" i="4"/>
  <c r="C1977" i="4"/>
  <c r="E1976" i="4"/>
  <c r="D1976" i="4"/>
  <c r="C1976" i="4"/>
  <c r="E1975" i="4"/>
  <c r="D1975" i="4"/>
  <c r="C1975" i="4"/>
  <c r="E1974" i="4"/>
  <c r="D1974" i="4"/>
  <c r="C1974" i="4"/>
  <c r="E1973" i="4"/>
  <c r="D1973" i="4"/>
  <c r="C1973" i="4"/>
  <c r="E1972" i="4"/>
  <c r="D1972" i="4"/>
  <c r="C1972" i="4"/>
  <c r="E1971" i="4"/>
  <c r="D1971" i="4"/>
  <c r="C1971" i="4"/>
  <c r="E1970" i="4"/>
  <c r="D1970" i="4"/>
  <c r="C1970" i="4"/>
  <c r="E1969" i="4"/>
  <c r="D1969" i="4"/>
  <c r="C1969" i="4"/>
  <c r="E1968" i="4"/>
  <c r="D1968" i="4"/>
  <c r="C1968" i="4"/>
  <c r="E1967" i="4"/>
  <c r="D1967" i="4"/>
  <c r="C1967" i="4"/>
  <c r="E1966" i="4"/>
  <c r="D1966" i="4"/>
  <c r="C1966" i="4"/>
  <c r="E1965" i="4"/>
  <c r="D1965" i="4"/>
  <c r="C1965" i="4"/>
  <c r="E1964" i="4"/>
  <c r="D1964" i="4"/>
  <c r="C1964" i="4"/>
  <c r="E1963" i="4"/>
  <c r="D1963" i="4"/>
  <c r="C1963" i="4"/>
  <c r="E1962" i="4"/>
  <c r="D1962" i="4"/>
  <c r="C1962" i="4"/>
  <c r="E1961" i="4"/>
  <c r="D1961" i="4"/>
  <c r="C1961" i="4"/>
  <c r="E1960" i="4"/>
  <c r="D1960" i="4"/>
  <c r="C1960" i="4"/>
  <c r="E1959" i="4"/>
  <c r="D1959" i="4"/>
  <c r="C1959" i="4"/>
  <c r="E1958" i="4"/>
  <c r="D1958" i="4"/>
  <c r="C1958" i="4"/>
  <c r="E1957" i="4"/>
  <c r="D1957" i="4"/>
  <c r="C1957" i="4"/>
  <c r="E1956" i="4"/>
  <c r="D1956" i="4"/>
  <c r="C1956" i="4"/>
  <c r="E1955" i="4"/>
  <c r="D1955" i="4"/>
  <c r="C1955" i="4"/>
  <c r="E1954" i="4"/>
  <c r="D1954" i="4"/>
  <c r="C1954" i="4"/>
  <c r="E1953" i="4"/>
  <c r="D1953" i="4"/>
  <c r="C1953" i="4"/>
  <c r="E1952" i="4"/>
  <c r="D1952" i="4"/>
  <c r="C1952" i="4"/>
  <c r="E1951" i="4"/>
  <c r="D1951" i="4"/>
  <c r="C1951" i="4"/>
  <c r="E1950" i="4"/>
  <c r="D1950" i="4"/>
  <c r="C1950" i="4"/>
  <c r="E1949" i="4"/>
  <c r="D1949" i="4"/>
  <c r="C1949" i="4"/>
  <c r="E1948" i="4"/>
  <c r="D1948" i="4"/>
  <c r="C1948" i="4"/>
  <c r="E1947" i="4"/>
  <c r="D1947" i="4"/>
  <c r="C1947" i="4"/>
  <c r="E1946" i="4"/>
  <c r="D1946" i="4"/>
  <c r="C1946" i="4"/>
  <c r="E1945" i="4"/>
  <c r="D1945" i="4"/>
  <c r="C1945" i="4"/>
  <c r="E1944" i="4"/>
  <c r="D1944" i="4"/>
  <c r="C1944" i="4"/>
  <c r="E1943" i="4"/>
  <c r="D1943" i="4"/>
  <c r="C1943" i="4"/>
  <c r="E1942" i="4"/>
  <c r="D1942" i="4"/>
  <c r="C1942" i="4"/>
  <c r="E1941" i="4"/>
  <c r="D1941" i="4"/>
  <c r="C1941" i="4"/>
  <c r="E1940" i="4"/>
  <c r="D1940" i="4"/>
  <c r="C1940" i="4"/>
  <c r="E1939" i="4"/>
  <c r="D1939" i="4"/>
  <c r="C1939" i="4"/>
  <c r="E1938" i="4"/>
  <c r="D1938" i="4"/>
  <c r="C1938" i="4"/>
  <c r="E1937" i="4"/>
  <c r="D1937" i="4"/>
  <c r="C1937" i="4"/>
  <c r="E1936" i="4"/>
  <c r="D1936" i="4"/>
  <c r="C1936" i="4"/>
  <c r="E1935" i="4"/>
  <c r="D1935" i="4"/>
  <c r="C1935" i="4"/>
  <c r="E1934" i="4"/>
  <c r="D1934" i="4"/>
  <c r="C1934" i="4"/>
  <c r="E1933" i="4"/>
  <c r="D1933" i="4"/>
  <c r="C1933" i="4"/>
  <c r="E1932" i="4"/>
  <c r="D1932" i="4"/>
  <c r="C1932" i="4"/>
  <c r="E1931" i="4"/>
  <c r="D1931" i="4"/>
  <c r="C1931" i="4"/>
  <c r="E1930" i="4"/>
  <c r="D1930" i="4"/>
  <c r="C1930" i="4"/>
  <c r="E1929" i="4"/>
  <c r="D1929" i="4"/>
  <c r="C1929" i="4"/>
  <c r="E1928" i="4"/>
  <c r="D1928" i="4"/>
  <c r="C1928" i="4"/>
  <c r="E1927" i="4"/>
  <c r="D1927" i="4"/>
  <c r="C1927" i="4"/>
  <c r="E1926" i="4"/>
  <c r="D1926" i="4"/>
  <c r="C1926" i="4"/>
  <c r="E1925" i="4"/>
  <c r="D1925" i="4"/>
  <c r="C1925" i="4"/>
  <c r="E1924" i="4"/>
  <c r="D1924" i="4"/>
  <c r="C1924" i="4"/>
  <c r="E1923" i="4"/>
  <c r="D1923" i="4"/>
  <c r="C1923" i="4"/>
  <c r="E1922" i="4"/>
  <c r="D1922" i="4"/>
  <c r="C1922" i="4"/>
  <c r="E1921" i="4"/>
  <c r="D1921" i="4"/>
  <c r="C1921" i="4"/>
  <c r="E1920" i="4"/>
  <c r="D1920" i="4"/>
  <c r="C1920" i="4"/>
  <c r="E1919" i="4"/>
  <c r="D1919" i="4"/>
  <c r="C1919" i="4"/>
  <c r="E1918" i="4"/>
  <c r="D1918" i="4"/>
  <c r="C1918" i="4"/>
  <c r="E1917" i="4"/>
  <c r="D1917" i="4"/>
  <c r="C1917" i="4"/>
  <c r="E1916" i="4"/>
  <c r="D1916" i="4"/>
  <c r="C1916" i="4"/>
  <c r="E1915" i="4"/>
  <c r="D1915" i="4"/>
  <c r="C1915" i="4"/>
  <c r="E1914" i="4"/>
  <c r="D1914" i="4"/>
  <c r="C1914" i="4"/>
  <c r="E1913" i="4"/>
  <c r="D1913" i="4"/>
  <c r="C1913" i="4"/>
  <c r="E1912" i="4"/>
  <c r="D1912" i="4"/>
  <c r="C1912" i="4"/>
  <c r="E1911" i="4"/>
  <c r="D1911" i="4"/>
  <c r="C1911" i="4"/>
  <c r="E1910" i="4"/>
  <c r="D1910" i="4"/>
  <c r="C1910" i="4"/>
  <c r="E1909" i="4"/>
  <c r="D1909" i="4"/>
  <c r="C1909" i="4"/>
  <c r="E1908" i="4"/>
  <c r="D1908" i="4"/>
  <c r="C1908" i="4"/>
  <c r="E1907" i="4"/>
  <c r="D1907" i="4"/>
  <c r="C1907" i="4"/>
  <c r="E1906" i="4"/>
  <c r="D1906" i="4"/>
  <c r="C1906" i="4"/>
  <c r="E1905" i="4"/>
  <c r="D1905" i="4"/>
  <c r="C1905" i="4"/>
  <c r="E1904" i="4"/>
  <c r="D1904" i="4"/>
  <c r="C1904" i="4"/>
  <c r="E1903" i="4"/>
  <c r="D1903" i="4"/>
  <c r="C1903" i="4"/>
  <c r="E1902" i="4"/>
  <c r="D1902" i="4"/>
  <c r="C1902" i="4"/>
  <c r="E1901" i="4"/>
  <c r="D1901" i="4"/>
  <c r="C1901" i="4"/>
  <c r="E1900" i="4"/>
  <c r="D1900" i="4"/>
  <c r="C1900" i="4"/>
  <c r="E1899" i="4"/>
  <c r="D1899" i="4"/>
  <c r="C1899" i="4"/>
  <c r="E1898" i="4"/>
  <c r="D1898" i="4"/>
  <c r="C1898" i="4"/>
  <c r="E1897" i="4"/>
  <c r="D1897" i="4"/>
  <c r="C1897" i="4"/>
  <c r="E1896" i="4"/>
  <c r="D1896" i="4"/>
  <c r="C1896" i="4"/>
  <c r="E1895" i="4"/>
  <c r="D1895" i="4"/>
  <c r="C1895" i="4"/>
  <c r="E1894" i="4"/>
  <c r="D1894" i="4"/>
  <c r="C1894" i="4"/>
  <c r="E1893" i="4"/>
  <c r="D1893" i="4"/>
  <c r="C1893" i="4"/>
  <c r="E1892" i="4"/>
  <c r="D1892" i="4"/>
  <c r="C1892" i="4"/>
  <c r="E1891" i="4"/>
  <c r="D1891" i="4"/>
  <c r="C1891" i="4"/>
  <c r="E1890" i="4"/>
  <c r="D1890" i="4"/>
  <c r="C1890" i="4"/>
  <c r="E1889" i="4"/>
  <c r="D1889" i="4"/>
  <c r="C1889" i="4"/>
  <c r="E1888" i="4"/>
  <c r="D1888" i="4"/>
  <c r="C1888" i="4"/>
  <c r="E1887" i="4"/>
  <c r="D1887" i="4"/>
  <c r="C1887" i="4"/>
  <c r="E1886" i="4"/>
  <c r="D1886" i="4"/>
  <c r="C1886" i="4"/>
  <c r="E1885" i="4"/>
  <c r="D1885" i="4"/>
  <c r="C1885" i="4"/>
  <c r="E1884" i="4"/>
  <c r="D1884" i="4"/>
  <c r="C1884" i="4"/>
  <c r="E1883" i="4"/>
  <c r="D1883" i="4"/>
  <c r="C1883" i="4"/>
  <c r="E1882" i="4"/>
  <c r="D1882" i="4"/>
  <c r="C1882" i="4"/>
  <c r="E1881" i="4"/>
  <c r="D1881" i="4"/>
  <c r="C1881" i="4"/>
  <c r="E1880" i="4"/>
  <c r="D1880" i="4"/>
  <c r="C1880" i="4"/>
  <c r="E1879" i="4"/>
  <c r="D1879" i="4"/>
  <c r="C1879" i="4"/>
  <c r="E1878" i="4"/>
  <c r="D1878" i="4"/>
  <c r="C1878" i="4"/>
  <c r="E1877" i="4"/>
  <c r="D1877" i="4"/>
  <c r="C1877" i="4"/>
  <c r="E1876" i="4"/>
  <c r="D1876" i="4"/>
  <c r="C1876" i="4"/>
  <c r="E1875" i="4"/>
  <c r="D1875" i="4"/>
  <c r="C1875" i="4"/>
  <c r="E1874" i="4"/>
  <c r="D1874" i="4"/>
  <c r="C1874" i="4"/>
  <c r="E1873" i="4"/>
  <c r="D1873" i="4"/>
  <c r="C1873" i="4"/>
  <c r="E1872" i="4"/>
  <c r="D1872" i="4"/>
  <c r="C1872" i="4"/>
  <c r="E1871" i="4"/>
  <c r="D1871" i="4"/>
  <c r="C1871" i="4"/>
  <c r="E1870" i="4"/>
  <c r="D1870" i="4"/>
  <c r="C1870" i="4"/>
  <c r="E1869" i="4"/>
  <c r="D1869" i="4"/>
  <c r="C1869" i="4"/>
  <c r="E1868" i="4"/>
  <c r="D1868" i="4"/>
  <c r="C1868" i="4"/>
  <c r="E1867" i="4"/>
  <c r="D1867" i="4"/>
  <c r="C1867" i="4"/>
  <c r="E1866" i="4"/>
  <c r="D1866" i="4"/>
  <c r="C1866" i="4"/>
  <c r="E1865" i="4"/>
  <c r="D1865" i="4"/>
  <c r="C1865" i="4"/>
  <c r="E1864" i="4"/>
  <c r="D1864" i="4"/>
  <c r="C1864" i="4"/>
  <c r="E1863" i="4"/>
  <c r="D1863" i="4"/>
  <c r="C1863" i="4"/>
  <c r="E1862" i="4"/>
  <c r="D1862" i="4"/>
  <c r="C1862" i="4"/>
  <c r="E1861" i="4"/>
  <c r="D1861" i="4"/>
  <c r="C1861" i="4"/>
  <c r="E1860" i="4"/>
  <c r="D1860" i="4"/>
  <c r="C1860" i="4"/>
  <c r="E1859" i="4"/>
  <c r="D1859" i="4"/>
  <c r="C1859" i="4"/>
  <c r="E1858" i="4"/>
  <c r="D1858" i="4"/>
  <c r="C1858" i="4"/>
  <c r="E1857" i="4"/>
  <c r="D1857" i="4"/>
  <c r="C1857" i="4"/>
  <c r="E1856" i="4"/>
  <c r="D1856" i="4"/>
  <c r="C1856" i="4"/>
  <c r="E1855" i="4"/>
  <c r="D1855" i="4"/>
  <c r="C1855" i="4"/>
  <c r="E1854" i="4"/>
  <c r="D1854" i="4"/>
  <c r="C1854" i="4"/>
  <c r="E1853" i="4"/>
  <c r="D1853" i="4"/>
  <c r="C1853" i="4"/>
  <c r="E1852" i="4"/>
  <c r="D1852" i="4"/>
  <c r="C1852" i="4"/>
  <c r="E1851" i="4"/>
  <c r="D1851" i="4"/>
  <c r="C1851" i="4"/>
  <c r="E1850" i="4"/>
  <c r="D1850" i="4"/>
  <c r="C1850" i="4"/>
  <c r="E1849" i="4"/>
  <c r="D1849" i="4"/>
  <c r="C1849" i="4"/>
  <c r="E1848" i="4"/>
  <c r="D1848" i="4"/>
  <c r="C1848" i="4"/>
  <c r="E1847" i="4"/>
  <c r="D1847" i="4"/>
  <c r="C1847" i="4"/>
  <c r="E1846" i="4"/>
  <c r="D1846" i="4"/>
  <c r="C1846" i="4"/>
  <c r="E1845" i="4"/>
  <c r="D1845" i="4"/>
  <c r="C1845" i="4"/>
  <c r="E1844" i="4"/>
  <c r="D1844" i="4"/>
  <c r="C1844" i="4"/>
  <c r="E1843" i="4"/>
  <c r="D1843" i="4"/>
  <c r="C1843" i="4"/>
  <c r="E1842" i="4"/>
  <c r="D1842" i="4"/>
  <c r="C1842" i="4"/>
  <c r="E1841" i="4"/>
  <c r="D1841" i="4"/>
  <c r="C1841" i="4"/>
  <c r="E1840" i="4"/>
  <c r="D1840" i="4"/>
  <c r="C1840" i="4"/>
  <c r="E1839" i="4"/>
  <c r="D1839" i="4"/>
  <c r="C1839" i="4"/>
  <c r="E1838" i="4"/>
  <c r="D1838" i="4"/>
  <c r="C1838" i="4"/>
  <c r="E1837" i="4"/>
  <c r="D1837" i="4"/>
  <c r="C1837" i="4"/>
  <c r="E1836" i="4"/>
  <c r="D1836" i="4"/>
  <c r="C1836" i="4"/>
  <c r="E1835" i="4"/>
  <c r="D1835" i="4"/>
  <c r="C1835" i="4"/>
  <c r="E1834" i="4"/>
  <c r="D1834" i="4"/>
  <c r="C1834" i="4"/>
  <c r="E1833" i="4"/>
  <c r="D1833" i="4"/>
  <c r="C1833" i="4"/>
  <c r="E1832" i="4"/>
  <c r="D1832" i="4"/>
  <c r="C1832" i="4"/>
  <c r="E1831" i="4"/>
  <c r="D1831" i="4"/>
  <c r="C1831" i="4"/>
  <c r="E1830" i="4"/>
  <c r="D1830" i="4"/>
  <c r="C1830" i="4"/>
  <c r="E1829" i="4"/>
  <c r="D1829" i="4"/>
  <c r="C1829" i="4"/>
  <c r="E1828" i="4"/>
  <c r="D1828" i="4"/>
  <c r="C1828" i="4"/>
  <c r="E1827" i="4"/>
  <c r="D1827" i="4"/>
  <c r="C1827" i="4"/>
  <c r="E1826" i="4"/>
  <c r="D1826" i="4"/>
  <c r="C1826" i="4"/>
  <c r="E1825" i="4"/>
  <c r="D1825" i="4"/>
  <c r="C1825" i="4"/>
  <c r="E1824" i="4"/>
  <c r="D1824" i="4"/>
  <c r="C1824" i="4"/>
  <c r="E1823" i="4"/>
  <c r="D1823" i="4"/>
  <c r="C1823" i="4"/>
  <c r="E1822" i="4"/>
  <c r="D1822" i="4"/>
  <c r="C1822" i="4"/>
  <c r="E1821" i="4"/>
  <c r="D1821" i="4"/>
  <c r="C1821" i="4"/>
  <c r="E1820" i="4"/>
  <c r="D1820" i="4"/>
  <c r="C1820" i="4"/>
  <c r="E1819" i="4"/>
  <c r="D1819" i="4"/>
  <c r="C1819" i="4"/>
  <c r="E1818" i="4"/>
  <c r="D1818" i="4"/>
  <c r="C1818" i="4"/>
  <c r="E1817" i="4"/>
  <c r="D1817" i="4"/>
  <c r="C1817" i="4"/>
  <c r="E1816" i="4"/>
  <c r="D1816" i="4"/>
  <c r="C1816" i="4"/>
  <c r="E1815" i="4"/>
  <c r="D1815" i="4"/>
  <c r="C1815" i="4"/>
  <c r="E1814" i="4"/>
  <c r="D1814" i="4"/>
  <c r="C1814" i="4"/>
  <c r="E1813" i="4"/>
  <c r="D1813" i="4"/>
  <c r="C1813" i="4"/>
  <c r="E1812" i="4"/>
  <c r="D1812" i="4"/>
  <c r="C1812" i="4"/>
  <c r="E1811" i="4"/>
  <c r="D1811" i="4"/>
  <c r="C1811" i="4"/>
  <c r="E1810" i="4"/>
  <c r="D1810" i="4"/>
  <c r="C1810" i="4"/>
  <c r="E1809" i="4"/>
  <c r="D1809" i="4"/>
  <c r="C1809" i="4"/>
  <c r="E1808" i="4"/>
  <c r="D1808" i="4"/>
  <c r="C1808" i="4"/>
  <c r="E1807" i="4"/>
  <c r="D1807" i="4"/>
  <c r="C1807" i="4"/>
  <c r="E1806" i="4"/>
  <c r="D1806" i="4"/>
  <c r="C1806" i="4"/>
  <c r="E1805" i="4"/>
  <c r="D1805" i="4"/>
  <c r="C1805" i="4"/>
  <c r="E1804" i="4"/>
  <c r="D1804" i="4"/>
  <c r="C1804" i="4"/>
  <c r="E1803" i="4"/>
  <c r="D1803" i="4"/>
  <c r="C1803" i="4"/>
  <c r="E1802" i="4"/>
  <c r="D1802" i="4"/>
  <c r="C1802" i="4"/>
  <c r="E1801" i="4"/>
  <c r="D1801" i="4"/>
  <c r="C1801" i="4"/>
  <c r="E1800" i="4"/>
  <c r="D1800" i="4"/>
  <c r="C1800" i="4"/>
  <c r="E1799" i="4"/>
  <c r="D1799" i="4"/>
  <c r="C1799" i="4"/>
  <c r="E1798" i="4"/>
  <c r="D1798" i="4"/>
  <c r="C1798" i="4"/>
  <c r="E1797" i="4"/>
  <c r="D1797" i="4"/>
  <c r="C1797" i="4"/>
  <c r="E1796" i="4"/>
  <c r="D1796" i="4"/>
  <c r="C1796" i="4"/>
  <c r="E1795" i="4"/>
  <c r="D1795" i="4"/>
  <c r="C1795" i="4"/>
  <c r="E1794" i="4"/>
  <c r="D1794" i="4"/>
  <c r="C1794" i="4"/>
  <c r="E1793" i="4"/>
  <c r="D1793" i="4"/>
  <c r="C1793" i="4"/>
  <c r="E1792" i="4"/>
  <c r="D1792" i="4"/>
  <c r="C1792" i="4"/>
  <c r="E1791" i="4"/>
  <c r="D1791" i="4"/>
  <c r="C1791" i="4"/>
  <c r="E1790" i="4"/>
  <c r="D1790" i="4"/>
  <c r="C1790" i="4"/>
  <c r="E1789" i="4"/>
  <c r="D1789" i="4"/>
  <c r="C1789" i="4"/>
  <c r="E1788" i="4"/>
  <c r="D1788" i="4"/>
  <c r="C1788" i="4"/>
  <c r="E1787" i="4"/>
  <c r="D1787" i="4"/>
  <c r="C1787" i="4"/>
  <c r="E1786" i="4"/>
  <c r="D1786" i="4"/>
  <c r="C1786" i="4"/>
  <c r="E1785" i="4"/>
  <c r="D1785" i="4"/>
  <c r="C1785" i="4"/>
  <c r="E1784" i="4"/>
  <c r="D1784" i="4"/>
  <c r="C1784" i="4"/>
  <c r="E1783" i="4"/>
  <c r="D1783" i="4"/>
  <c r="C1783" i="4"/>
  <c r="E1782" i="4"/>
  <c r="D1782" i="4"/>
  <c r="C1782" i="4"/>
  <c r="E1781" i="4"/>
  <c r="D1781" i="4"/>
  <c r="C1781" i="4"/>
  <c r="E1780" i="4"/>
  <c r="D1780" i="4"/>
  <c r="C1780" i="4"/>
  <c r="E1779" i="4"/>
  <c r="D1779" i="4"/>
  <c r="C1779" i="4"/>
  <c r="E1778" i="4"/>
  <c r="D1778" i="4"/>
  <c r="C1778" i="4"/>
  <c r="E1777" i="4"/>
  <c r="D1777" i="4"/>
  <c r="C1777" i="4"/>
  <c r="E1776" i="4"/>
  <c r="D1776" i="4"/>
  <c r="C1776" i="4"/>
  <c r="E1775" i="4"/>
  <c r="D1775" i="4"/>
  <c r="C1775" i="4"/>
  <c r="E1774" i="4"/>
  <c r="D1774" i="4"/>
  <c r="C1774" i="4"/>
  <c r="E1773" i="4"/>
  <c r="D1773" i="4"/>
  <c r="C1773" i="4"/>
  <c r="E1772" i="4"/>
  <c r="D1772" i="4"/>
  <c r="C1772" i="4"/>
  <c r="E1771" i="4"/>
  <c r="D1771" i="4"/>
  <c r="C1771" i="4"/>
  <c r="E1770" i="4"/>
  <c r="D1770" i="4"/>
  <c r="C1770" i="4"/>
  <c r="E1769" i="4"/>
  <c r="D1769" i="4"/>
  <c r="C1769" i="4"/>
  <c r="E1768" i="4"/>
  <c r="D1768" i="4"/>
  <c r="C1768" i="4"/>
  <c r="E1767" i="4"/>
  <c r="D1767" i="4"/>
  <c r="C1767" i="4"/>
  <c r="E1766" i="4"/>
  <c r="D1766" i="4"/>
  <c r="C1766" i="4"/>
  <c r="E1765" i="4"/>
  <c r="D1765" i="4"/>
  <c r="C1765" i="4"/>
  <c r="E1764" i="4"/>
  <c r="D1764" i="4"/>
  <c r="C1764" i="4"/>
  <c r="E1763" i="4"/>
  <c r="D1763" i="4"/>
  <c r="C1763" i="4"/>
  <c r="E1762" i="4"/>
  <c r="D1762" i="4"/>
  <c r="C1762" i="4"/>
  <c r="E1761" i="4"/>
  <c r="D1761" i="4"/>
  <c r="C1761" i="4"/>
  <c r="E1760" i="4"/>
  <c r="D1760" i="4"/>
  <c r="C1760" i="4"/>
  <c r="E1759" i="4"/>
  <c r="D1759" i="4"/>
  <c r="C1759" i="4"/>
  <c r="E1758" i="4"/>
  <c r="D1758" i="4"/>
  <c r="C1758" i="4"/>
  <c r="E1757" i="4"/>
  <c r="D1757" i="4"/>
  <c r="C1757" i="4"/>
  <c r="E1756" i="4"/>
  <c r="D1756" i="4"/>
  <c r="C1756" i="4"/>
  <c r="E1755" i="4"/>
  <c r="D1755" i="4"/>
  <c r="C1755" i="4"/>
  <c r="E1754" i="4"/>
  <c r="D1754" i="4"/>
  <c r="C1754" i="4"/>
  <c r="E1753" i="4"/>
  <c r="D1753" i="4"/>
  <c r="C1753" i="4"/>
  <c r="E1752" i="4"/>
  <c r="D1752" i="4"/>
  <c r="C1752" i="4"/>
  <c r="E1751" i="4"/>
  <c r="D1751" i="4"/>
  <c r="C1751" i="4"/>
  <c r="E1750" i="4"/>
  <c r="D1750" i="4"/>
  <c r="C1750" i="4"/>
  <c r="E1749" i="4"/>
  <c r="D1749" i="4"/>
  <c r="C1749" i="4"/>
  <c r="E1748" i="4"/>
  <c r="D1748" i="4"/>
  <c r="C1748" i="4"/>
  <c r="E1747" i="4"/>
  <c r="D1747" i="4"/>
  <c r="C1747" i="4"/>
  <c r="E1746" i="4"/>
  <c r="D1746" i="4"/>
  <c r="C1746" i="4"/>
  <c r="E1745" i="4"/>
  <c r="D1745" i="4"/>
  <c r="C1745" i="4"/>
  <c r="E1744" i="4"/>
  <c r="D1744" i="4"/>
  <c r="C1744" i="4"/>
  <c r="E1743" i="4"/>
  <c r="D1743" i="4"/>
  <c r="C1743" i="4"/>
  <c r="E1742" i="4"/>
  <c r="D1742" i="4"/>
  <c r="C1742" i="4"/>
  <c r="E1741" i="4"/>
  <c r="D1741" i="4"/>
  <c r="C1741" i="4"/>
  <c r="E1740" i="4"/>
  <c r="D1740" i="4"/>
  <c r="C1740" i="4"/>
  <c r="E1739" i="4"/>
  <c r="D1739" i="4"/>
  <c r="C1739" i="4"/>
  <c r="E1738" i="4"/>
  <c r="D1738" i="4"/>
  <c r="C1738" i="4"/>
  <c r="E1737" i="4"/>
  <c r="D1737" i="4"/>
  <c r="C1737" i="4"/>
  <c r="E1736" i="4"/>
  <c r="D1736" i="4"/>
  <c r="C1736" i="4"/>
  <c r="E1735" i="4"/>
  <c r="D1735" i="4"/>
  <c r="C1735" i="4"/>
  <c r="E1734" i="4"/>
  <c r="D1734" i="4"/>
  <c r="C1734" i="4"/>
  <c r="E1733" i="4"/>
  <c r="D1733" i="4"/>
  <c r="C1733" i="4"/>
  <c r="E1732" i="4"/>
  <c r="D1732" i="4"/>
  <c r="C1732" i="4"/>
  <c r="E1731" i="4"/>
  <c r="D1731" i="4"/>
  <c r="C1731" i="4"/>
  <c r="E1730" i="4"/>
  <c r="D1730" i="4"/>
  <c r="C1730" i="4"/>
  <c r="E1729" i="4"/>
  <c r="D1729" i="4"/>
  <c r="C1729" i="4"/>
  <c r="E1728" i="4"/>
  <c r="D1728" i="4"/>
  <c r="C1728" i="4"/>
  <c r="E1727" i="4"/>
  <c r="D1727" i="4"/>
  <c r="C1727" i="4"/>
  <c r="E1726" i="4"/>
  <c r="D1726" i="4"/>
  <c r="C1726" i="4"/>
  <c r="E1725" i="4"/>
  <c r="D1725" i="4"/>
  <c r="C1725" i="4"/>
  <c r="E1724" i="4"/>
  <c r="D1724" i="4"/>
  <c r="C1724" i="4"/>
  <c r="E1723" i="4"/>
  <c r="D1723" i="4"/>
  <c r="C1723" i="4"/>
  <c r="E1722" i="4"/>
  <c r="D1722" i="4"/>
  <c r="C1722" i="4"/>
  <c r="E1721" i="4"/>
  <c r="D1721" i="4"/>
  <c r="C1721" i="4"/>
  <c r="E1720" i="4"/>
  <c r="D1720" i="4"/>
  <c r="C1720" i="4"/>
  <c r="E1719" i="4"/>
  <c r="D1719" i="4"/>
  <c r="C1719" i="4"/>
  <c r="E1718" i="4"/>
  <c r="D1718" i="4"/>
  <c r="C1718" i="4"/>
  <c r="E1717" i="4"/>
  <c r="D1717" i="4"/>
  <c r="C1717" i="4"/>
  <c r="E1716" i="4"/>
  <c r="D1716" i="4"/>
  <c r="C1716" i="4"/>
  <c r="E1715" i="4"/>
  <c r="D1715" i="4"/>
  <c r="C1715" i="4"/>
  <c r="E1714" i="4"/>
  <c r="D1714" i="4"/>
  <c r="C1714" i="4"/>
  <c r="E1713" i="4"/>
  <c r="D1713" i="4"/>
  <c r="C1713" i="4"/>
  <c r="E1712" i="4"/>
  <c r="D1712" i="4"/>
  <c r="C1712" i="4"/>
  <c r="E1711" i="4"/>
  <c r="D1711" i="4"/>
  <c r="C1711" i="4"/>
  <c r="E1710" i="4"/>
  <c r="D1710" i="4"/>
  <c r="C1710" i="4"/>
  <c r="E1709" i="4"/>
  <c r="D1709" i="4"/>
  <c r="C1709" i="4"/>
  <c r="E1708" i="4"/>
  <c r="D1708" i="4"/>
  <c r="C1708" i="4"/>
  <c r="E1707" i="4"/>
  <c r="D1707" i="4"/>
  <c r="C1707" i="4"/>
  <c r="E1706" i="4"/>
  <c r="D1706" i="4"/>
  <c r="C1706" i="4"/>
  <c r="E1705" i="4"/>
  <c r="D1705" i="4"/>
  <c r="C1705" i="4"/>
  <c r="E1704" i="4"/>
  <c r="D1704" i="4"/>
  <c r="C1704" i="4"/>
  <c r="E1703" i="4"/>
  <c r="D1703" i="4"/>
  <c r="C1703" i="4"/>
  <c r="E1702" i="4"/>
  <c r="D1702" i="4"/>
  <c r="C1702" i="4"/>
  <c r="E1701" i="4"/>
  <c r="D1701" i="4"/>
  <c r="C1701" i="4"/>
  <c r="E1700" i="4"/>
  <c r="D1700" i="4"/>
  <c r="C1700" i="4"/>
  <c r="E1699" i="4"/>
  <c r="D1699" i="4"/>
  <c r="C1699" i="4"/>
  <c r="E1698" i="4"/>
  <c r="D1698" i="4"/>
  <c r="C1698" i="4"/>
  <c r="E1697" i="4"/>
  <c r="D1697" i="4"/>
  <c r="C1697" i="4"/>
  <c r="E1696" i="4"/>
  <c r="D1696" i="4"/>
  <c r="C1696" i="4"/>
  <c r="E1695" i="4"/>
  <c r="D1695" i="4"/>
  <c r="C1695" i="4"/>
  <c r="E1694" i="4"/>
  <c r="D1694" i="4"/>
  <c r="C1694" i="4"/>
  <c r="E1693" i="4"/>
  <c r="D1693" i="4"/>
  <c r="C1693" i="4"/>
  <c r="E1692" i="4"/>
  <c r="D1692" i="4"/>
  <c r="C1692" i="4"/>
  <c r="E1691" i="4"/>
  <c r="D1691" i="4"/>
  <c r="C1691" i="4"/>
  <c r="E1690" i="4"/>
  <c r="D1690" i="4"/>
  <c r="C1690" i="4"/>
  <c r="E1689" i="4"/>
  <c r="D1689" i="4"/>
  <c r="C1689" i="4"/>
  <c r="E1688" i="4"/>
  <c r="D1688" i="4"/>
  <c r="C1688" i="4"/>
  <c r="E1687" i="4"/>
  <c r="D1687" i="4"/>
  <c r="C1687" i="4"/>
  <c r="E1686" i="4"/>
  <c r="D1686" i="4"/>
  <c r="C1686" i="4"/>
  <c r="E1685" i="4"/>
  <c r="D1685" i="4"/>
  <c r="C1685" i="4"/>
  <c r="E1684" i="4"/>
  <c r="D1684" i="4"/>
  <c r="C1684" i="4"/>
  <c r="E1683" i="4"/>
  <c r="D1683" i="4"/>
  <c r="C1683" i="4"/>
  <c r="E1682" i="4"/>
  <c r="D1682" i="4"/>
  <c r="C1682" i="4"/>
  <c r="E1681" i="4"/>
  <c r="D1681" i="4"/>
  <c r="C1681" i="4"/>
  <c r="E1680" i="4"/>
  <c r="D1680" i="4"/>
  <c r="C1680" i="4"/>
  <c r="E1679" i="4"/>
  <c r="D1679" i="4"/>
  <c r="C1679" i="4"/>
  <c r="E1678" i="4"/>
  <c r="D1678" i="4"/>
  <c r="C1678" i="4"/>
  <c r="E1677" i="4"/>
  <c r="D1677" i="4"/>
  <c r="C1677" i="4"/>
  <c r="E1676" i="4"/>
  <c r="D1676" i="4"/>
  <c r="C1676" i="4"/>
  <c r="E1675" i="4"/>
  <c r="D1675" i="4"/>
  <c r="C1675" i="4"/>
  <c r="E1674" i="4"/>
  <c r="D1674" i="4"/>
  <c r="C1674" i="4"/>
  <c r="E1673" i="4"/>
  <c r="D1673" i="4"/>
  <c r="C1673" i="4"/>
  <c r="E1672" i="4"/>
  <c r="D1672" i="4"/>
  <c r="C1672" i="4"/>
  <c r="E1671" i="4"/>
  <c r="D1671" i="4"/>
  <c r="C1671" i="4"/>
  <c r="E1670" i="4"/>
  <c r="D1670" i="4"/>
  <c r="C1670" i="4"/>
  <c r="E1669" i="4"/>
  <c r="D1669" i="4"/>
  <c r="C1669" i="4"/>
  <c r="E1668" i="4"/>
  <c r="D1668" i="4"/>
  <c r="C1668" i="4"/>
  <c r="E1667" i="4"/>
  <c r="D1667" i="4"/>
  <c r="C1667" i="4"/>
  <c r="E1666" i="4"/>
  <c r="D1666" i="4"/>
  <c r="C1666" i="4"/>
  <c r="E1665" i="4"/>
  <c r="D1665" i="4"/>
  <c r="C1665" i="4"/>
  <c r="E1664" i="4"/>
  <c r="D1664" i="4"/>
  <c r="C1664" i="4"/>
  <c r="E1663" i="4"/>
  <c r="D1663" i="4"/>
  <c r="C1663" i="4"/>
  <c r="E1662" i="4"/>
  <c r="D1662" i="4"/>
  <c r="C1662" i="4"/>
  <c r="E1661" i="4"/>
  <c r="D1661" i="4"/>
  <c r="C1661" i="4"/>
  <c r="E1660" i="4"/>
  <c r="D1660" i="4"/>
  <c r="C1660" i="4"/>
  <c r="E1659" i="4"/>
  <c r="D1659" i="4"/>
  <c r="C1659" i="4"/>
  <c r="E1658" i="4"/>
  <c r="D1658" i="4"/>
  <c r="C1658" i="4"/>
  <c r="E1657" i="4"/>
  <c r="D1657" i="4"/>
  <c r="C1657" i="4"/>
  <c r="E1656" i="4"/>
  <c r="D1656" i="4"/>
  <c r="C1656" i="4"/>
  <c r="E1655" i="4"/>
  <c r="D1655" i="4"/>
  <c r="C1655" i="4"/>
  <c r="E1654" i="4"/>
  <c r="D1654" i="4"/>
  <c r="C1654" i="4"/>
  <c r="E1653" i="4"/>
  <c r="D1653" i="4"/>
  <c r="C1653" i="4"/>
  <c r="E1652" i="4"/>
  <c r="D1652" i="4"/>
  <c r="C1652" i="4"/>
  <c r="E1651" i="4"/>
  <c r="D1651" i="4"/>
  <c r="C1651" i="4"/>
  <c r="E1650" i="4"/>
  <c r="D1650" i="4"/>
  <c r="C1650" i="4"/>
  <c r="E1649" i="4"/>
  <c r="D1649" i="4"/>
  <c r="C1649" i="4"/>
  <c r="E1648" i="4"/>
  <c r="D1648" i="4"/>
  <c r="C1648" i="4"/>
  <c r="E1647" i="4"/>
  <c r="D1647" i="4"/>
  <c r="C1647" i="4"/>
  <c r="E1646" i="4"/>
  <c r="D1646" i="4"/>
  <c r="C1646" i="4"/>
  <c r="E1645" i="4"/>
  <c r="D1645" i="4"/>
  <c r="C1645" i="4"/>
  <c r="E1644" i="4"/>
  <c r="D1644" i="4"/>
  <c r="C1644" i="4"/>
  <c r="E1643" i="4"/>
  <c r="D1643" i="4"/>
  <c r="C1643" i="4"/>
  <c r="E1642" i="4"/>
  <c r="D1642" i="4"/>
  <c r="C1642" i="4"/>
  <c r="E1641" i="4"/>
  <c r="D1641" i="4"/>
  <c r="C1641" i="4"/>
  <c r="E1640" i="4"/>
  <c r="D1640" i="4"/>
  <c r="C1640" i="4"/>
  <c r="E1639" i="4"/>
  <c r="D1639" i="4"/>
  <c r="C1639" i="4"/>
  <c r="E1638" i="4"/>
  <c r="D1638" i="4"/>
  <c r="C1638" i="4"/>
  <c r="E1637" i="4"/>
  <c r="D1637" i="4"/>
  <c r="C1637" i="4"/>
  <c r="E1636" i="4"/>
  <c r="D1636" i="4"/>
  <c r="C1636" i="4"/>
  <c r="E1635" i="4"/>
  <c r="D1635" i="4"/>
  <c r="C1635" i="4"/>
  <c r="E1634" i="4"/>
  <c r="D1634" i="4"/>
  <c r="C1634" i="4"/>
  <c r="E1633" i="4"/>
  <c r="D1633" i="4"/>
  <c r="C1633" i="4"/>
  <c r="E1632" i="4"/>
  <c r="D1632" i="4"/>
  <c r="C1632" i="4"/>
  <c r="E1631" i="4"/>
  <c r="D1631" i="4"/>
  <c r="C1631" i="4"/>
  <c r="E1630" i="4"/>
  <c r="D1630" i="4"/>
  <c r="C1630" i="4"/>
  <c r="E1629" i="4"/>
  <c r="D1629" i="4"/>
  <c r="C1629" i="4"/>
  <c r="E1628" i="4"/>
  <c r="D1628" i="4"/>
  <c r="C1628" i="4"/>
  <c r="E1627" i="4"/>
  <c r="D1627" i="4"/>
  <c r="C1627" i="4"/>
  <c r="E1626" i="4"/>
  <c r="D1626" i="4"/>
  <c r="C1626" i="4"/>
  <c r="E1625" i="4"/>
  <c r="D1625" i="4"/>
  <c r="C1625" i="4"/>
  <c r="E1624" i="4"/>
  <c r="D1624" i="4"/>
  <c r="C1624" i="4"/>
  <c r="E1623" i="4"/>
  <c r="D1623" i="4"/>
  <c r="C1623" i="4"/>
  <c r="E1622" i="4"/>
  <c r="D1622" i="4"/>
  <c r="C1622" i="4"/>
  <c r="E1621" i="4"/>
  <c r="D1621" i="4"/>
  <c r="C1621" i="4"/>
  <c r="E1620" i="4"/>
  <c r="D1620" i="4"/>
  <c r="C1620" i="4"/>
  <c r="E1619" i="4"/>
  <c r="D1619" i="4"/>
  <c r="C1619" i="4"/>
  <c r="E1618" i="4"/>
  <c r="D1618" i="4"/>
  <c r="C1618" i="4"/>
  <c r="E1617" i="4"/>
  <c r="D1617" i="4"/>
  <c r="C1617" i="4"/>
  <c r="E1616" i="4"/>
  <c r="D1616" i="4"/>
  <c r="C1616" i="4"/>
  <c r="E1615" i="4"/>
  <c r="D1615" i="4"/>
  <c r="C1615" i="4"/>
  <c r="E1614" i="4"/>
  <c r="D1614" i="4"/>
  <c r="C1614" i="4"/>
  <c r="E1613" i="4"/>
  <c r="D1613" i="4"/>
  <c r="C1613" i="4"/>
  <c r="E1612" i="4"/>
  <c r="D1612" i="4"/>
  <c r="C1612" i="4"/>
  <c r="E1611" i="4"/>
  <c r="D1611" i="4"/>
  <c r="C1611" i="4"/>
  <c r="E1610" i="4"/>
  <c r="D1610" i="4"/>
  <c r="C1610" i="4"/>
  <c r="E1609" i="4"/>
  <c r="D1609" i="4"/>
  <c r="C1609" i="4"/>
  <c r="E1608" i="4"/>
  <c r="D1608" i="4"/>
  <c r="C1608" i="4"/>
  <c r="E1607" i="4"/>
  <c r="D1607" i="4"/>
  <c r="C1607" i="4"/>
  <c r="E1606" i="4"/>
  <c r="D1606" i="4"/>
  <c r="C1606" i="4"/>
  <c r="E1605" i="4"/>
  <c r="D1605" i="4"/>
  <c r="C1605" i="4"/>
  <c r="E1604" i="4"/>
  <c r="D1604" i="4"/>
  <c r="C1604" i="4"/>
  <c r="E1603" i="4"/>
  <c r="D1603" i="4"/>
  <c r="C1603" i="4"/>
  <c r="E1602" i="4"/>
  <c r="D1602" i="4"/>
  <c r="C1602" i="4"/>
  <c r="E1601" i="4"/>
  <c r="D1601" i="4"/>
  <c r="C1601" i="4"/>
  <c r="E1600" i="4"/>
  <c r="D1600" i="4"/>
  <c r="C1600" i="4"/>
  <c r="E1599" i="4"/>
  <c r="D1599" i="4"/>
  <c r="C1599" i="4"/>
  <c r="E1598" i="4"/>
  <c r="D1598" i="4"/>
  <c r="C1598" i="4"/>
  <c r="E1597" i="4"/>
  <c r="D1597" i="4"/>
  <c r="C1597" i="4"/>
  <c r="E1596" i="4"/>
  <c r="D1596" i="4"/>
  <c r="C1596" i="4"/>
  <c r="E1595" i="4"/>
  <c r="D1595" i="4"/>
  <c r="C1595" i="4"/>
  <c r="E1594" i="4"/>
  <c r="D1594" i="4"/>
  <c r="C1594" i="4"/>
  <c r="E1593" i="4"/>
  <c r="D1593" i="4"/>
  <c r="C1593" i="4"/>
  <c r="E1592" i="4"/>
  <c r="D1592" i="4"/>
  <c r="C1592" i="4"/>
  <c r="E1591" i="4"/>
  <c r="D1591" i="4"/>
  <c r="C1591" i="4"/>
  <c r="E1590" i="4"/>
  <c r="D1590" i="4"/>
  <c r="C1590" i="4"/>
  <c r="E1589" i="4"/>
  <c r="D1589" i="4"/>
  <c r="C1589" i="4"/>
  <c r="E1588" i="4"/>
  <c r="D1588" i="4"/>
  <c r="C1588" i="4"/>
  <c r="E1587" i="4"/>
  <c r="D1587" i="4"/>
  <c r="C1587" i="4"/>
  <c r="E1586" i="4"/>
  <c r="D1586" i="4"/>
  <c r="C1586" i="4"/>
  <c r="E1585" i="4"/>
  <c r="D1585" i="4"/>
  <c r="C1585" i="4"/>
  <c r="E1584" i="4"/>
  <c r="D1584" i="4"/>
  <c r="C1584" i="4"/>
  <c r="E1583" i="4"/>
  <c r="D1583" i="4"/>
  <c r="C1583" i="4"/>
  <c r="E1582" i="4"/>
  <c r="D1582" i="4"/>
  <c r="C1582" i="4"/>
  <c r="E1581" i="4"/>
  <c r="D1581" i="4"/>
  <c r="C1581" i="4"/>
  <c r="E1580" i="4"/>
  <c r="D1580" i="4"/>
  <c r="C1580" i="4"/>
  <c r="E1579" i="4"/>
  <c r="D1579" i="4"/>
  <c r="C1579" i="4"/>
  <c r="E1578" i="4"/>
  <c r="D1578" i="4"/>
  <c r="C1578" i="4"/>
  <c r="E1577" i="4"/>
  <c r="D1577" i="4"/>
  <c r="C1577" i="4"/>
  <c r="E1576" i="4"/>
  <c r="D1576" i="4"/>
  <c r="C1576" i="4"/>
  <c r="E1575" i="4"/>
  <c r="D1575" i="4"/>
  <c r="C1575" i="4"/>
  <c r="E1574" i="4"/>
  <c r="D1574" i="4"/>
  <c r="C1574" i="4"/>
  <c r="E1573" i="4"/>
  <c r="D1573" i="4"/>
  <c r="C1573" i="4"/>
  <c r="E1572" i="4"/>
  <c r="D1572" i="4"/>
  <c r="C1572" i="4"/>
  <c r="E1571" i="4"/>
  <c r="D1571" i="4"/>
  <c r="C1571" i="4"/>
  <c r="E1570" i="4"/>
  <c r="D1570" i="4"/>
  <c r="C1570" i="4"/>
  <c r="E1569" i="4"/>
  <c r="D1569" i="4"/>
  <c r="C1569" i="4"/>
  <c r="E1568" i="4"/>
  <c r="D1568" i="4"/>
  <c r="C1568" i="4"/>
  <c r="E1567" i="4"/>
  <c r="D1567" i="4"/>
  <c r="C1567" i="4"/>
  <c r="E1566" i="4"/>
  <c r="D1566" i="4"/>
  <c r="C1566" i="4"/>
  <c r="E1565" i="4"/>
  <c r="D1565" i="4"/>
  <c r="C1565" i="4"/>
  <c r="E1564" i="4"/>
  <c r="D1564" i="4"/>
  <c r="C1564" i="4"/>
  <c r="E1563" i="4"/>
  <c r="D1563" i="4"/>
  <c r="C1563" i="4"/>
  <c r="E1562" i="4"/>
  <c r="D1562" i="4"/>
  <c r="C1562" i="4"/>
  <c r="E1561" i="4"/>
  <c r="D1561" i="4"/>
  <c r="C1561" i="4"/>
  <c r="E1560" i="4"/>
  <c r="D1560" i="4"/>
  <c r="C1560" i="4"/>
  <c r="E1559" i="4"/>
  <c r="D1559" i="4"/>
  <c r="C1559" i="4"/>
  <c r="E1558" i="4"/>
  <c r="D1558" i="4"/>
  <c r="C1558" i="4"/>
  <c r="E1557" i="4"/>
  <c r="D1557" i="4"/>
  <c r="C1557" i="4"/>
  <c r="E1556" i="4"/>
  <c r="D1556" i="4"/>
  <c r="C1556" i="4"/>
  <c r="E1555" i="4"/>
  <c r="D1555" i="4"/>
  <c r="C1555" i="4"/>
  <c r="E1554" i="4"/>
  <c r="D1554" i="4"/>
  <c r="C1554" i="4"/>
  <c r="E1553" i="4"/>
  <c r="D1553" i="4"/>
  <c r="C1553" i="4"/>
  <c r="E1552" i="4"/>
  <c r="D1552" i="4"/>
  <c r="C1552" i="4"/>
  <c r="E1551" i="4"/>
  <c r="D1551" i="4"/>
  <c r="C1551" i="4"/>
  <c r="E1550" i="4"/>
  <c r="D1550" i="4"/>
  <c r="C1550" i="4"/>
  <c r="E1549" i="4"/>
  <c r="D1549" i="4"/>
  <c r="C1549" i="4"/>
  <c r="E1548" i="4"/>
  <c r="D1548" i="4"/>
  <c r="C1548" i="4"/>
  <c r="E1547" i="4"/>
  <c r="D1547" i="4"/>
  <c r="C1547" i="4"/>
  <c r="E1546" i="4"/>
  <c r="D1546" i="4"/>
  <c r="C1546" i="4"/>
  <c r="E1545" i="4"/>
  <c r="D1545" i="4"/>
  <c r="C1545" i="4"/>
  <c r="E1544" i="4"/>
  <c r="D1544" i="4"/>
  <c r="C1544" i="4"/>
  <c r="E1543" i="4"/>
  <c r="D1543" i="4"/>
  <c r="C1543" i="4"/>
  <c r="E1542" i="4"/>
  <c r="D1542" i="4"/>
  <c r="C1542" i="4"/>
  <c r="E1541" i="4"/>
  <c r="D1541" i="4"/>
  <c r="C1541" i="4"/>
  <c r="E1540" i="4"/>
  <c r="D1540" i="4"/>
  <c r="C1540" i="4"/>
  <c r="E1539" i="4"/>
  <c r="D1539" i="4"/>
  <c r="C1539" i="4"/>
  <c r="E1538" i="4"/>
  <c r="D1538" i="4"/>
  <c r="C1538" i="4"/>
  <c r="E1537" i="4"/>
  <c r="D1537" i="4"/>
  <c r="C1537" i="4"/>
  <c r="E1536" i="4"/>
  <c r="D1536" i="4"/>
  <c r="C1536" i="4"/>
  <c r="E1535" i="4"/>
  <c r="D1535" i="4"/>
  <c r="C1535" i="4"/>
  <c r="E1534" i="4"/>
  <c r="D1534" i="4"/>
  <c r="C1534" i="4"/>
  <c r="E1533" i="4"/>
  <c r="D1533" i="4"/>
  <c r="C1533" i="4"/>
  <c r="E1532" i="4"/>
  <c r="D1532" i="4"/>
  <c r="C1532" i="4"/>
  <c r="E1531" i="4"/>
  <c r="D1531" i="4"/>
  <c r="C1531" i="4"/>
  <c r="E1530" i="4"/>
  <c r="D1530" i="4"/>
  <c r="C1530" i="4"/>
  <c r="E1529" i="4"/>
  <c r="D1529" i="4"/>
  <c r="C1529" i="4"/>
  <c r="E1528" i="4"/>
  <c r="D1528" i="4"/>
  <c r="C1528" i="4"/>
  <c r="E1527" i="4"/>
  <c r="D1527" i="4"/>
  <c r="C1527" i="4"/>
  <c r="E1526" i="4"/>
  <c r="D1526" i="4"/>
  <c r="C1526" i="4"/>
  <c r="E1525" i="4"/>
  <c r="D1525" i="4"/>
  <c r="C1525" i="4"/>
  <c r="E1524" i="4"/>
  <c r="D1524" i="4"/>
  <c r="C1524" i="4"/>
  <c r="E1523" i="4"/>
  <c r="D1523" i="4"/>
  <c r="C1523" i="4"/>
  <c r="E1522" i="4"/>
  <c r="D1522" i="4"/>
  <c r="C1522" i="4"/>
  <c r="E1521" i="4"/>
  <c r="D1521" i="4"/>
  <c r="C1521" i="4"/>
  <c r="E1520" i="4"/>
  <c r="D1520" i="4"/>
  <c r="C1520" i="4"/>
  <c r="E1519" i="4"/>
  <c r="D1519" i="4"/>
  <c r="C1519" i="4"/>
  <c r="E1518" i="4"/>
  <c r="D1518" i="4"/>
  <c r="C1518" i="4"/>
  <c r="E1517" i="4"/>
  <c r="D1517" i="4"/>
  <c r="C1517" i="4"/>
  <c r="E1516" i="4"/>
  <c r="D1516" i="4"/>
  <c r="C1516" i="4"/>
  <c r="E1515" i="4"/>
  <c r="D1515" i="4"/>
  <c r="C1515" i="4"/>
  <c r="E1514" i="4"/>
  <c r="D1514" i="4"/>
  <c r="C1514" i="4"/>
  <c r="E1513" i="4"/>
  <c r="D1513" i="4"/>
  <c r="C1513" i="4"/>
  <c r="E1512" i="4"/>
  <c r="D1512" i="4"/>
  <c r="C1512" i="4"/>
  <c r="E1511" i="4"/>
  <c r="D1511" i="4"/>
  <c r="C1511" i="4"/>
  <c r="E1510" i="4"/>
  <c r="D1510" i="4"/>
  <c r="C1510" i="4"/>
  <c r="E1509" i="4"/>
  <c r="D1509" i="4"/>
  <c r="C1509" i="4"/>
  <c r="E1508" i="4"/>
  <c r="D1508" i="4"/>
  <c r="C1508" i="4"/>
  <c r="E1507" i="4"/>
  <c r="D1507" i="4"/>
  <c r="C1507" i="4"/>
  <c r="E1506" i="4"/>
  <c r="D1506" i="4"/>
  <c r="C1506" i="4"/>
  <c r="E1505" i="4"/>
  <c r="D1505" i="4"/>
  <c r="C1505" i="4"/>
  <c r="E1504" i="4"/>
  <c r="D1504" i="4"/>
  <c r="C1504" i="4"/>
  <c r="E1503" i="4"/>
  <c r="D1503" i="4"/>
  <c r="C1503" i="4"/>
  <c r="E1502" i="4"/>
  <c r="D1502" i="4"/>
  <c r="C1502" i="4"/>
  <c r="E1501" i="4"/>
  <c r="D1501" i="4"/>
  <c r="C1501" i="4"/>
  <c r="E1500" i="4"/>
  <c r="D1500" i="4"/>
  <c r="C1500" i="4"/>
  <c r="E1499" i="4"/>
  <c r="D1499" i="4"/>
  <c r="C1499" i="4"/>
  <c r="E1498" i="4"/>
  <c r="D1498" i="4"/>
  <c r="C1498" i="4"/>
  <c r="E1497" i="4"/>
  <c r="D1497" i="4"/>
  <c r="C1497" i="4"/>
  <c r="E1496" i="4"/>
  <c r="D1496" i="4"/>
  <c r="C1496" i="4"/>
  <c r="E1495" i="4"/>
  <c r="D1495" i="4"/>
  <c r="C1495" i="4"/>
  <c r="E1494" i="4"/>
  <c r="D1494" i="4"/>
  <c r="C1494" i="4"/>
  <c r="E1493" i="4"/>
  <c r="D1493" i="4"/>
  <c r="C1493" i="4"/>
  <c r="E1492" i="4"/>
  <c r="D1492" i="4"/>
  <c r="C1492" i="4"/>
  <c r="E1491" i="4"/>
  <c r="D1491" i="4"/>
  <c r="C1491" i="4"/>
  <c r="E1490" i="4"/>
  <c r="D1490" i="4"/>
  <c r="C1490" i="4"/>
  <c r="E1489" i="4"/>
  <c r="D1489" i="4"/>
  <c r="C1489" i="4"/>
  <c r="E1488" i="4"/>
  <c r="D1488" i="4"/>
  <c r="C1488" i="4"/>
  <c r="E1487" i="4"/>
  <c r="D1487" i="4"/>
  <c r="C1487" i="4"/>
  <c r="E1486" i="4"/>
  <c r="D1486" i="4"/>
  <c r="C1486" i="4"/>
  <c r="E1485" i="4"/>
  <c r="D1485" i="4"/>
  <c r="C1485" i="4"/>
  <c r="E1484" i="4"/>
  <c r="D1484" i="4"/>
  <c r="C1484" i="4"/>
  <c r="E1483" i="4"/>
  <c r="D1483" i="4"/>
  <c r="C1483" i="4"/>
  <c r="E1482" i="4"/>
  <c r="D1482" i="4"/>
  <c r="C1482" i="4"/>
  <c r="E1481" i="4"/>
  <c r="D1481" i="4"/>
  <c r="C1481" i="4"/>
  <c r="E1480" i="4"/>
  <c r="D1480" i="4"/>
  <c r="C1480" i="4"/>
  <c r="E1479" i="4"/>
  <c r="D1479" i="4"/>
  <c r="C1479" i="4"/>
  <c r="E1478" i="4"/>
  <c r="D1478" i="4"/>
  <c r="C1478" i="4"/>
  <c r="E1477" i="4"/>
  <c r="D1477" i="4"/>
  <c r="C1477" i="4"/>
  <c r="E1476" i="4"/>
  <c r="D1476" i="4"/>
  <c r="C1476" i="4"/>
  <c r="E1475" i="4"/>
  <c r="D1475" i="4"/>
  <c r="C1475" i="4"/>
  <c r="E1474" i="4"/>
  <c r="D1474" i="4"/>
  <c r="C1474" i="4"/>
  <c r="E1473" i="4"/>
  <c r="D1473" i="4"/>
  <c r="C1473" i="4"/>
  <c r="E1472" i="4"/>
  <c r="D1472" i="4"/>
  <c r="C1472" i="4"/>
  <c r="E1471" i="4"/>
  <c r="D1471" i="4"/>
  <c r="C1471" i="4"/>
  <c r="E1470" i="4"/>
  <c r="D1470" i="4"/>
  <c r="C1470" i="4"/>
  <c r="E1469" i="4"/>
  <c r="D1469" i="4"/>
  <c r="C1469" i="4"/>
  <c r="E1468" i="4"/>
  <c r="D1468" i="4"/>
  <c r="C1468" i="4"/>
  <c r="E1467" i="4"/>
  <c r="D1467" i="4"/>
  <c r="C1467" i="4"/>
  <c r="E1466" i="4"/>
  <c r="D1466" i="4"/>
  <c r="C1466" i="4"/>
  <c r="E1465" i="4"/>
  <c r="D1465" i="4"/>
  <c r="C1465" i="4"/>
  <c r="E1464" i="4"/>
  <c r="D1464" i="4"/>
  <c r="C1464" i="4"/>
  <c r="E1463" i="4"/>
  <c r="D1463" i="4"/>
  <c r="C1463" i="4"/>
  <c r="E1462" i="4"/>
  <c r="D1462" i="4"/>
  <c r="C1462" i="4"/>
  <c r="E1461" i="4"/>
  <c r="D1461" i="4"/>
  <c r="C1461" i="4"/>
  <c r="E1460" i="4"/>
  <c r="D1460" i="4"/>
  <c r="C1460" i="4"/>
  <c r="E1459" i="4"/>
  <c r="D1459" i="4"/>
  <c r="C1459" i="4"/>
  <c r="E1458" i="4"/>
  <c r="D1458" i="4"/>
  <c r="C1458" i="4"/>
  <c r="E1457" i="4"/>
  <c r="D1457" i="4"/>
  <c r="C1457" i="4"/>
  <c r="E1456" i="4"/>
  <c r="D1456" i="4"/>
  <c r="C1456" i="4"/>
  <c r="E1455" i="4"/>
  <c r="D1455" i="4"/>
  <c r="C1455" i="4"/>
  <c r="E1454" i="4"/>
  <c r="D1454" i="4"/>
  <c r="C1454" i="4"/>
  <c r="E1453" i="4"/>
  <c r="D1453" i="4"/>
  <c r="C1453" i="4"/>
  <c r="E1452" i="4"/>
  <c r="D1452" i="4"/>
  <c r="C1452" i="4"/>
  <c r="E1451" i="4"/>
  <c r="D1451" i="4"/>
  <c r="C1451" i="4"/>
  <c r="E1450" i="4"/>
  <c r="D1450" i="4"/>
  <c r="C1450" i="4"/>
  <c r="E1449" i="4"/>
  <c r="D1449" i="4"/>
  <c r="C1449" i="4"/>
  <c r="E1448" i="4"/>
  <c r="D1448" i="4"/>
  <c r="C1448" i="4"/>
  <c r="E1447" i="4"/>
  <c r="D1447" i="4"/>
  <c r="C1447" i="4"/>
  <c r="E1446" i="4"/>
  <c r="D1446" i="4"/>
  <c r="C1446" i="4"/>
  <c r="E1445" i="4"/>
  <c r="D1445" i="4"/>
  <c r="C1445" i="4"/>
  <c r="E1444" i="4"/>
  <c r="D1444" i="4"/>
  <c r="C1444" i="4"/>
  <c r="E1443" i="4"/>
  <c r="D1443" i="4"/>
  <c r="C1443" i="4"/>
  <c r="E1442" i="4"/>
  <c r="D1442" i="4"/>
  <c r="C1442" i="4"/>
  <c r="E1441" i="4"/>
  <c r="D1441" i="4"/>
  <c r="C1441" i="4"/>
  <c r="E1440" i="4"/>
  <c r="D1440" i="4"/>
  <c r="C1440" i="4"/>
  <c r="E1439" i="4"/>
  <c r="D1439" i="4"/>
  <c r="C1439" i="4"/>
  <c r="E1438" i="4"/>
  <c r="D1438" i="4"/>
  <c r="C1438" i="4"/>
  <c r="E1437" i="4"/>
  <c r="D1437" i="4"/>
  <c r="C1437" i="4"/>
  <c r="E1436" i="4"/>
  <c r="D1436" i="4"/>
  <c r="C1436" i="4"/>
  <c r="E1435" i="4"/>
  <c r="D1435" i="4"/>
  <c r="C1435" i="4"/>
  <c r="E1434" i="4"/>
  <c r="D1434" i="4"/>
  <c r="C1434" i="4"/>
  <c r="E1433" i="4"/>
  <c r="D1433" i="4"/>
  <c r="C1433" i="4"/>
  <c r="E1432" i="4"/>
  <c r="D1432" i="4"/>
  <c r="C1432" i="4"/>
  <c r="E1431" i="4"/>
  <c r="D1431" i="4"/>
  <c r="C1431" i="4"/>
  <c r="E1430" i="4"/>
  <c r="D1430" i="4"/>
  <c r="C1430" i="4"/>
  <c r="E1429" i="4"/>
  <c r="D1429" i="4"/>
  <c r="C1429" i="4"/>
  <c r="E1428" i="4"/>
  <c r="D1428" i="4"/>
  <c r="C1428" i="4"/>
  <c r="E1427" i="4"/>
  <c r="D1427" i="4"/>
  <c r="C1427" i="4"/>
  <c r="E1426" i="4"/>
  <c r="D1426" i="4"/>
  <c r="C1426" i="4"/>
  <c r="E1425" i="4"/>
  <c r="D1425" i="4"/>
  <c r="C1425" i="4"/>
  <c r="E1424" i="4"/>
  <c r="D1424" i="4"/>
  <c r="C1424" i="4"/>
  <c r="E1423" i="4"/>
  <c r="D1423" i="4"/>
  <c r="C1423" i="4"/>
  <c r="E1422" i="4"/>
  <c r="D1422" i="4"/>
  <c r="C1422" i="4"/>
  <c r="E1421" i="4"/>
  <c r="D1421" i="4"/>
  <c r="C1421" i="4"/>
  <c r="E1420" i="4"/>
  <c r="D1420" i="4"/>
  <c r="C1420" i="4"/>
  <c r="E1419" i="4"/>
  <c r="D1419" i="4"/>
  <c r="C1419" i="4"/>
  <c r="E1418" i="4"/>
  <c r="D1418" i="4"/>
  <c r="C1418" i="4"/>
  <c r="E1417" i="4"/>
  <c r="D1417" i="4"/>
  <c r="C1417" i="4"/>
  <c r="E1416" i="4"/>
  <c r="D1416" i="4"/>
  <c r="C1416" i="4"/>
  <c r="E1415" i="4"/>
  <c r="D1415" i="4"/>
  <c r="C1415" i="4"/>
  <c r="E1414" i="4"/>
  <c r="D1414" i="4"/>
  <c r="C1414" i="4"/>
  <c r="E1413" i="4"/>
  <c r="D1413" i="4"/>
  <c r="C1413" i="4"/>
  <c r="E1412" i="4"/>
  <c r="D1412" i="4"/>
  <c r="C1412" i="4"/>
  <c r="E1411" i="4"/>
  <c r="D1411" i="4"/>
  <c r="C1411" i="4"/>
  <c r="E1410" i="4"/>
  <c r="D1410" i="4"/>
  <c r="C1410" i="4"/>
  <c r="E1409" i="4"/>
  <c r="D1409" i="4"/>
  <c r="C1409" i="4"/>
  <c r="E1408" i="4"/>
  <c r="D1408" i="4"/>
  <c r="C1408" i="4"/>
  <c r="E1407" i="4"/>
  <c r="D1407" i="4"/>
  <c r="C1407" i="4"/>
  <c r="E1406" i="4"/>
  <c r="D1406" i="4"/>
  <c r="C1406" i="4"/>
  <c r="E1405" i="4"/>
  <c r="D1405" i="4"/>
  <c r="C1405" i="4"/>
  <c r="E1404" i="4"/>
  <c r="D1404" i="4"/>
  <c r="C1404" i="4"/>
  <c r="E1403" i="4"/>
  <c r="D1403" i="4"/>
  <c r="C1403" i="4"/>
  <c r="E1402" i="4"/>
  <c r="D1402" i="4"/>
  <c r="C1402" i="4"/>
  <c r="E1401" i="4"/>
  <c r="D1401" i="4"/>
  <c r="C1401" i="4"/>
  <c r="E1400" i="4"/>
  <c r="D1400" i="4"/>
  <c r="C1400" i="4"/>
  <c r="E1399" i="4"/>
  <c r="D1399" i="4"/>
  <c r="C1399" i="4"/>
  <c r="E1398" i="4"/>
  <c r="D1398" i="4"/>
  <c r="C1398" i="4"/>
  <c r="E1397" i="4"/>
  <c r="D1397" i="4"/>
  <c r="C1397" i="4"/>
  <c r="E1396" i="4"/>
  <c r="D1396" i="4"/>
  <c r="C1396" i="4"/>
  <c r="E1395" i="4"/>
  <c r="D1395" i="4"/>
  <c r="C1395" i="4"/>
  <c r="E1394" i="4"/>
  <c r="D1394" i="4"/>
  <c r="C1394" i="4"/>
  <c r="E1393" i="4"/>
  <c r="D1393" i="4"/>
  <c r="C1393" i="4"/>
  <c r="E1392" i="4"/>
  <c r="D1392" i="4"/>
  <c r="C1392" i="4"/>
  <c r="E1391" i="4"/>
  <c r="D1391" i="4"/>
  <c r="C1391" i="4"/>
  <c r="E1390" i="4"/>
  <c r="D1390" i="4"/>
  <c r="C1390" i="4"/>
  <c r="E1389" i="4"/>
  <c r="D1389" i="4"/>
  <c r="C1389" i="4"/>
  <c r="E1388" i="4"/>
  <c r="D1388" i="4"/>
  <c r="C1388" i="4"/>
  <c r="E1387" i="4"/>
  <c r="D1387" i="4"/>
  <c r="C1387" i="4"/>
  <c r="E1386" i="4"/>
  <c r="D1386" i="4"/>
  <c r="C1386" i="4"/>
  <c r="E1385" i="4"/>
  <c r="D1385" i="4"/>
  <c r="C1385" i="4"/>
  <c r="E1384" i="4"/>
  <c r="D1384" i="4"/>
  <c r="C1384" i="4"/>
  <c r="E1383" i="4"/>
  <c r="D1383" i="4"/>
  <c r="C1383" i="4"/>
  <c r="E1382" i="4"/>
  <c r="D1382" i="4"/>
  <c r="C1382" i="4"/>
  <c r="E1381" i="4"/>
  <c r="D1381" i="4"/>
  <c r="C1381" i="4"/>
  <c r="E1380" i="4"/>
  <c r="D1380" i="4"/>
  <c r="C1380" i="4"/>
  <c r="E1379" i="4"/>
  <c r="D1379" i="4"/>
  <c r="C1379" i="4"/>
  <c r="E1378" i="4"/>
  <c r="D1378" i="4"/>
  <c r="C1378" i="4"/>
  <c r="E1377" i="4"/>
  <c r="D1377" i="4"/>
  <c r="C1377" i="4"/>
  <c r="E1376" i="4"/>
  <c r="D1376" i="4"/>
  <c r="C1376" i="4"/>
  <c r="E1375" i="4"/>
  <c r="D1375" i="4"/>
  <c r="C1375" i="4"/>
  <c r="E1374" i="4"/>
  <c r="D1374" i="4"/>
  <c r="C1374" i="4"/>
  <c r="E1373" i="4"/>
  <c r="D1373" i="4"/>
  <c r="C1373" i="4"/>
  <c r="E1372" i="4"/>
  <c r="D1372" i="4"/>
  <c r="C1372" i="4"/>
  <c r="E1371" i="4"/>
  <c r="D1371" i="4"/>
  <c r="C1371" i="4"/>
  <c r="E1370" i="4"/>
  <c r="D1370" i="4"/>
  <c r="C1370" i="4"/>
  <c r="E1369" i="4"/>
  <c r="D1369" i="4"/>
  <c r="C1369" i="4"/>
  <c r="E1368" i="4"/>
  <c r="D1368" i="4"/>
  <c r="C1368" i="4"/>
  <c r="E1367" i="4"/>
  <c r="D1367" i="4"/>
  <c r="C1367" i="4"/>
  <c r="E1366" i="4"/>
  <c r="D1366" i="4"/>
  <c r="C1366" i="4"/>
  <c r="E1365" i="4"/>
  <c r="D1365" i="4"/>
  <c r="C1365" i="4"/>
  <c r="E1364" i="4"/>
  <c r="D1364" i="4"/>
  <c r="C1364" i="4"/>
  <c r="E1363" i="4"/>
  <c r="D1363" i="4"/>
  <c r="C1363" i="4"/>
  <c r="E1362" i="4"/>
  <c r="D1362" i="4"/>
  <c r="C1362" i="4"/>
  <c r="E1361" i="4"/>
  <c r="D1361" i="4"/>
  <c r="C1361" i="4"/>
  <c r="E1360" i="4"/>
  <c r="D1360" i="4"/>
  <c r="C1360" i="4"/>
  <c r="E1359" i="4"/>
  <c r="D1359" i="4"/>
  <c r="C1359" i="4"/>
  <c r="E1358" i="4"/>
  <c r="D1358" i="4"/>
  <c r="C1358" i="4"/>
  <c r="E1357" i="4"/>
  <c r="D1357" i="4"/>
  <c r="C1357" i="4"/>
  <c r="E1356" i="4"/>
  <c r="D1356" i="4"/>
  <c r="C1356" i="4"/>
  <c r="E1355" i="4"/>
  <c r="D1355" i="4"/>
  <c r="C1355" i="4"/>
  <c r="E1354" i="4"/>
  <c r="D1354" i="4"/>
  <c r="C1354" i="4"/>
  <c r="E1353" i="4"/>
  <c r="D1353" i="4"/>
  <c r="C1353" i="4"/>
  <c r="E1352" i="4"/>
  <c r="D1352" i="4"/>
  <c r="C1352" i="4"/>
  <c r="E1351" i="4"/>
  <c r="D1351" i="4"/>
  <c r="C1351" i="4"/>
  <c r="E1350" i="4"/>
  <c r="D1350" i="4"/>
  <c r="C1350" i="4"/>
  <c r="E1349" i="4"/>
  <c r="D1349" i="4"/>
  <c r="C1349" i="4"/>
  <c r="E1348" i="4"/>
  <c r="D1348" i="4"/>
  <c r="C1348" i="4"/>
  <c r="E1347" i="4"/>
  <c r="D1347" i="4"/>
  <c r="C1347" i="4"/>
  <c r="E1346" i="4"/>
  <c r="D1346" i="4"/>
  <c r="C1346" i="4"/>
  <c r="E1345" i="4"/>
  <c r="D1345" i="4"/>
  <c r="C1345" i="4"/>
  <c r="E1344" i="4"/>
  <c r="D1344" i="4"/>
  <c r="C1344" i="4"/>
  <c r="E1343" i="4"/>
  <c r="D1343" i="4"/>
  <c r="C1343" i="4"/>
  <c r="E1342" i="4"/>
  <c r="D1342" i="4"/>
  <c r="C1342" i="4"/>
  <c r="E1341" i="4"/>
  <c r="D1341" i="4"/>
  <c r="C1341" i="4"/>
  <c r="E1340" i="4"/>
  <c r="D1340" i="4"/>
  <c r="C1340" i="4"/>
  <c r="E1339" i="4"/>
  <c r="D1339" i="4"/>
  <c r="C1339" i="4"/>
  <c r="E1338" i="4"/>
  <c r="D1338" i="4"/>
  <c r="C1338" i="4"/>
  <c r="E1337" i="4"/>
  <c r="D1337" i="4"/>
  <c r="C1337" i="4"/>
  <c r="E1336" i="4"/>
  <c r="D1336" i="4"/>
  <c r="C1336" i="4"/>
  <c r="E1335" i="4"/>
  <c r="D1335" i="4"/>
  <c r="C1335" i="4"/>
  <c r="E1334" i="4"/>
  <c r="D1334" i="4"/>
  <c r="C1334" i="4"/>
  <c r="E1333" i="4"/>
  <c r="D1333" i="4"/>
  <c r="C1333" i="4"/>
  <c r="E1332" i="4"/>
  <c r="D1332" i="4"/>
  <c r="C1332" i="4"/>
  <c r="E1331" i="4"/>
  <c r="D1331" i="4"/>
  <c r="C1331" i="4"/>
  <c r="E1330" i="4"/>
  <c r="D1330" i="4"/>
  <c r="C1330" i="4"/>
  <c r="E1329" i="4"/>
  <c r="D1329" i="4"/>
  <c r="C1329" i="4"/>
  <c r="E1328" i="4"/>
  <c r="D1328" i="4"/>
  <c r="C1328" i="4"/>
  <c r="E1327" i="4"/>
  <c r="D1327" i="4"/>
  <c r="C1327" i="4"/>
  <c r="E1326" i="4"/>
  <c r="D1326" i="4"/>
  <c r="C1326" i="4"/>
  <c r="E1325" i="4"/>
  <c r="D1325" i="4"/>
  <c r="C1325" i="4"/>
  <c r="E1324" i="4"/>
  <c r="D1324" i="4"/>
  <c r="C1324" i="4"/>
  <c r="E1323" i="4"/>
  <c r="D1323" i="4"/>
  <c r="C1323" i="4"/>
  <c r="E1322" i="4"/>
  <c r="D1322" i="4"/>
  <c r="C1322" i="4"/>
  <c r="E1321" i="4"/>
  <c r="D1321" i="4"/>
  <c r="C1321" i="4"/>
  <c r="E1320" i="4"/>
  <c r="D1320" i="4"/>
  <c r="C1320" i="4"/>
  <c r="E1319" i="4"/>
  <c r="D1319" i="4"/>
  <c r="C1319" i="4"/>
  <c r="E1318" i="4"/>
  <c r="D1318" i="4"/>
  <c r="C1318" i="4"/>
  <c r="E1317" i="4"/>
  <c r="D1317" i="4"/>
  <c r="C1317" i="4"/>
  <c r="E1316" i="4"/>
  <c r="D1316" i="4"/>
  <c r="C1316" i="4"/>
  <c r="E1315" i="4"/>
  <c r="D1315" i="4"/>
  <c r="C1315" i="4"/>
  <c r="E1314" i="4"/>
  <c r="D1314" i="4"/>
  <c r="C1314" i="4"/>
  <c r="E1313" i="4"/>
  <c r="D1313" i="4"/>
  <c r="C1313" i="4"/>
  <c r="E1312" i="4"/>
  <c r="D1312" i="4"/>
  <c r="C1312" i="4"/>
  <c r="E1311" i="4"/>
  <c r="D1311" i="4"/>
  <c r="C1311" i="4"/>
  <c r="E1310" i="4"/>
  <c r="D1310" i="4"/>
  <c r="C1310" i="4"/>
  <c r="E1309" i="4"/>
  <c r="D1309" i="4"/>
  <c r="C1309" i="4"/>
  <c r="E1308" i="4"/>
  <c r="D1308" i="4"/>
  <c r="C1308" i="4"/>
  <c r="E1307" i="4"/>
  <c r="D1307" i="4"/>
  <c r="C1307" i="4"/>
  <c r="E1306" i="4"/>
  <c r="D1306" i="4"/>
  <c r="C1306" i="4"/>
  <c r="E1305" i="4"/>
  <c r="D1305" i="4"/>
  <c r="C1305" i="4"/>
  <c r="E1304" i="4"/>
  <c r="D1304" i="4"/>
  <c r="C1304" i="4"/>
  <c r="E1303" i="4"/>
  <c r="D1303" i="4"/>
  <c r="C1303" i="4"/>
  <c r="E1302" i="4"/>
  <c r="D1302" i="4"/>
  <c r="C1302" i="4"/>
  <c r="E1301" i="4"/>
  <c r="D1301" i="4"/>
  <c r="C1301" i="4"/>
  <c r="E1300" i="4"/>
  <c r="D1300" i="4"/>
  <c r="C1300" i="4"/>
  <c r="E1299" i="4"/>
  <c r="D1299" i="4"/>
  <c r="C1299" i="4"/>
  <c r="E1298" i="4"/>
  <c r="D1298" i="4"/>
  <c r="C1298" i="4"/>
  <c r="E1297" i="4"/>
  <c r="D1297" i="4"/>
  <c r="C1297" i="4"/>
  <c r="E1296" i="4"/>
  <c r="D1296" i="4"/>
  <c r="C1296" i="4"/>
  <c r="E1295" i="4"/>
  <c r="D1295" i="4"/>
  <c r="C1295" i="4"/>
  <c r="E1294" i="4"/>
  <c r="D1294" i="4"/>
  <c r="C1294" i="4"/>
  <c r="E1293" i="4"/>
  <c r="D1293" i="4"/>
  <c r="C1293" i="4"/>
  <c r="E1292" i="4"/>
  <c r="D1292" i="4"/>
  <c r="C1292" i="4"/>
  <c r="E1291" i="4"/>
  <c r="D1291" i="4"/>
  <c r="C1291" i="4"/>
  <c r="E1290" i="4"/>
  <c r="D1290" i="4"/>
  <c r="C1290" i="4"/>
  <c r="E1289" i="4"/>
  <c r="D1289" i="4"/>
  <c r="C1289" i="4"/>
  <c r="E1288" i="4"/>
  <c r="D1288" i="4"/>
  <c r="C1288" i="4"/>
  <c r="E1287" i="4"/>
  <c r="D1287" i="4"/>
  <c r="C1287" i="4"/>
  <c r="E1286" i="4"/>
  <c r="D1286" i="4"/>
  <c r="C1286" i="4"/>
  <c r="E1285" i="4"/>
  <c r="D1285" i="4"/>
  <c r="C1285" i="4"/>
  <c r="E1284" i="4"/>
  <c r="D1284" i="4"/>
  <c r="C1284" i="4"/>
  <c r="E1283" i="4"/>
  <c r="D1283" i="4"/>
  <c r="C1283" i="4"/>
  <c r="E1282" i="4"/>
  <c r="D1282" i="4"/>
  <c r="C1282" i="4"/>
  <c r="E1281" i="4"/>
  <c r="D1281" i="4"/>
  <c r="C1281" i="4"/>
  <c r="E1280" i="4"/>
  <c r="D1280" i="4"/>
  <c r="C1280" i="4"/>
  <c r="E1279" i="4"/>
  <c r="D1279" i="4"/>
  <c r="C1279" i="4"/>
  <c r="E1278" i="4"/>
  <c r="D1278" i="4"/>
  <c r="C1278" i="4"/>
  <c r="E1277" i="4"/>
  <c r="D1277" i="4"/>
  <c r="C1277" i="4"/>
  <c r="E1276" i="4"/>
  <c r="D1276" i="4"/>
  <c r="C1276" i="4"/>
  <c r="E1275" i="4"/>
  <c r="D1275" i="4"/>
  <c r="C1275" i="4"/>
  <c r="E1274" i="4"/>
  <c r="D1274" i="4"/>
  <c r="C1274" i="4"/>
  <c r="E1273" i="4"/>
  <c r="D1273" i="4"/>
  <c r="C1273" i="4"/>
  <c r="E1272" i="4"/>
  <c r="D1272" i="4"/>
  <c r="C1272" i="4"/>
  <c r="E1271" i="4"/>
  <c r="D1271" i="4"/>
  <c r="C1271" i="4"/>
  <c r="E1270" i="4"/>
  <c r="D1270" i="4"/>
  <c r="C1270" i="4"/>
  <c r="E1269" i="4"/>
  <c r="D1269" i="4"/>
  <c r="C1269" i="4"/>
  <c r="E1268" i="4"/>
  <c r="D1268" i="4"/>
  <c r="C1268" i="4"/>
  <c r="E1267" i="4"/>
  <c r="D1267" i="4"/>
  <c r="C1267" i="4"/>
  <c r="E1266" i="4"/>
  <c r="D1266" i="4"/>
  <c r="C1266" i="4"/>
  <c r="E1265" i="4"/>
  <c r="D1265" i="4"/>
  <c r="C1265" i="4"/>
  <c r="E1264" i="4"/>
  <c r="D1264" i="4"/>
  <c r="C1264" i="4"/>
  <c r="E1263" i="4"/>
  <c r="D1263" i="4"/>
  <c r="C1263" i="4"/>
  <c r="E1262" i="4"/>
  <c r="D1262" i="4"/>
  <c r="C1262" i="4"/>
  <c r="E1261" i="4"/>
  <c r="D1261" i="4"/>
  <c r="C1261" i="4"/>
  <c r="E1260" i="4"/>
  <c r="D1260" i="4"/>
  <c r="C1260" i="4"/>
  <c r="E1259" i="4"/>
  <c r="D1259" i="4"/>
  <c r="C1259" i="4"/>
  <c r="E1258" i="4"/>
  <c r="D1258" i="4"/>
  <c r="C1258" i="4"/>
  <c r="E1257" i="4"/>
  <c r="D1257" i="4"/>
  <c r="C1257" i="4"/>
  <c r="E1256" i="4"/>
  <c r="D1256" i="4"/>
  <c r="C1256" i="4"/>
  <c r="E1255" i="4"/>
  <c r="D1255" i="4"/>
  <c r="C1255" i="4"/>
  <c r="E1254" i="4"/>
  <c r="D1254" i="4"/>
  <c r="C1254" i="4"/>
  <c r="E1253" i="4"/>
  <c r="D1253" i="4"/>
  <c r="C1253" i="4"/>
  <c r="E1252" i="4"/>
  <c r="D1252" i="4"/>
  <c r="C1252" i="4"/>
  <c r="E1251" i="4"/>
  <c r="D1251" i="4"/>
  <c r="C1251" i="4"/>
  <c r="E1250" i="4"/>
  <c r="D1250" i="4"/>
  <c r="C1250" i="4"/>
  <c r="E1249" i="4"/>
  <c r="D1249" i="4"/>
  <c r="C1249" i="4"/>
  <c r="E1248" i="4"/>
  <c r="D1248" i="4"/>
  <c r="C1248" i="4"/>
  <c r="E1247" i="4"/>
  <c r="D1247" i="4"/>
  <c r="C1247" i="4"/>
  <c r="E1246" i="4"/>
  <c r="D1246" i="4"/>
  <c r="C1246" i="4"/>
  <c r="E1245" i="4"/>
  <c r="D1245" i="4"/>
  <c r="C1245" i="4"/>
  <c r="E1244" i="4"/>
  <c r="D1244" i="4"/>
  <c r="C1244" i="4"/>
  <c r="E1243" i="4"/>
  <c r="D1243" i="4"/>
  <c r="C1243" i="4"/>
  <c r="E1242" i="4"/>
  <c r="D1242" i="4"/>
  <c r="C1242" i="4"/>
  <c r="E1241" i="4"/>
  <c r="D1241" i="4"/>
  <c r="C1241" i="4"/>
  <c r="E1240" i="4"/>
  <c r="D1240" i="4"/>
  <c r="C1240" i="4"/>
  <c r="E1239" i="4"/>
  <c r="D1239" i="4"/>
  <c r="C1239" i="4"/>
  <c r="E1238" i="4"/>
  <c r="D1238" i="4"/>
  <c r="C1238" i="4"/>
  <c r="E1237" i="4"/>
  <c r="D1237" i="4"/>
  <c r="C1237" i="4"/>
  <c r="E1236" i="4"/>
  <c r="D1236" i="4"/>
  <c r="C1236" i="4"/>
  <c r="E1235" i="4"/>
  <c r="D1235" i="4"/>
  <c r="C1235" i="4"/>
  <c r="E1234" i="4"/>
  <c r="D1234" i="4"/>
  <c r="C1234" i="4"/>
  <c r="E1233" i="4"/>
  <c r="D1233" i="4"/>
  <c r="C1233" i="4"/>
  <c r="E1232" i="4"/>
  <c r="D1232" i="4"/>
  <c r="C1232" i="4"/>
  <c r="E1231" i="4"/>
  <c r="D1231" i="4"/>
  <c r="C1231" i="4"/>
  <c r="E1230" i="4"/>
  <c r="D1230" i="4"/>
  <c r="C1230" i="4"/>
  <c r="E1229" i="4"/>
  <c r="D1229" i="4"/>
  <c r="C1229" i="4"/>
  <c r="E1228" i="4"/>
  <c r="D1228" i="4"/>
  <c r="C1228" i="4"/>
  <c r="E1227" i="4"/>
  <c r="D1227" i="4"/>
  <c r="C1227" i="4"/>
  <c r="E1226" i="4"/>
  <c r="D1226" i="4"/>
  <c r="C1226" i="4"/>
  <c r="E1225" i="4"/>
  <c r="D1225" i="4"/>
  <c r="C1225" i="4"/>
  <c r="E1224" i="4"/>
  <c r="D1224" i="4"/>
  <c r="C1224" i="4"/>
  <c r="E1223" i="4"/>
  <c r="D1223" i="4"/>
  <c r="C1223" i="4"/>
  <c r="E1222" i="4"/>
  <c r="D1222" i="4"/>
  <c r="C1222" i="4"/>
  <c r="E1221" i="4"/>
  <c r="D1221" i="4"/>
  <c r="C1221" i="4"/>
  <c r="E1220" i="4"/>
  <c r="D1220" i="4"/>
  <c r="C1220" i="4"/>
  <c r="E1219" i="4"/>
  <c r="D1219" i="4"/>
  <c r="C1219" i="4"/>
  <c r="E1218" i="4"/>
  <c r="D1218" i="4"/>
  <c r="C1218" i="4"/>
  <c r="E1217" i="4"/>
  <c r="D1217" i="4"/>
  <c r="C1217" i="4"/>
  <c r="E1216" i="4"/>
  <c r="D1216" i="4"/>
  <c r="C1216" i="4"/>
  <c r="E1215" i="4"/>
  <c r="D1215" i="4"/>
  <c r="C1215" i="4"/>
  <c r="E1214" i="4"/>
  <c r="D1214" i="4"/>
  <c r="C1214" i="4"/>
  <c r="E1213" i="4"/>
  <c r="D1213" i="4"/>
  <c r="C1213" i="4"/>
  <c r="E1212" i="4"/>
  <c r="D1212" i="4"/>
  <c r="C1212" i="4"/>
  <c r="E1211" i="4"/>
  <c r="D1211" i="4"/>
  <c r="C1211" i="4"/>
  <c r="E1210" i="4"/>
  <c r="D1210" i="4"/>
  <c r="C1210" i="4"/>
  <c r="E1209" i="4"/>
  <c r="D1209" i="4"/>
  <c r="C1209" i="4"/>
  <c r="E1208" i="4"/>
  <c r="D1208" i="4"/>
  <c r="C1208" i="4"/>
  <c r="E1207" i="4"/>
  <c r="D1207" i="4"/>
  <c r="C1207" i="4"/>
  <c r="E1206" i="4"/>
  <c r="D1206" i="4"/>
  <c r="C1206" i="4"/>
  <c r="E1205" i="4"/>
  <c r="D1205" i="4"/>
  <c r="C1205" i="4"/>
  <c r="E1204" i="4"/>
  <c r="D1204" i="4"/>
  <c r="C1204" i="4"/>
  <c r="E1203" i="4"/>
  <c r="D1203" i="4"/>
  <c r="C1203" i="4"/>
  <c r="E1202" i="4"/>
  <c r="D1202" i="4"/>
  <c r="C1202" i="4"/>
  <c r="E1201" i="4"/>
  <c r="D1201" i="4"/>
  <c r="C1201" i="4"/>
  <c r="E1200" i="4"/>
  <c r="D1200" i="4"/>
  <c r="C1200" i="4"/>
  <c r="E1199" i="4"/>
  <c r="D1199" i="4"/>
  <c r="C1199" i="4"/>
  <c r="E1198" i="4"/>
  <c r="D1198" i="4"/>
  <c r="C1198" i="4"/>
  <c r="E1197" i="4"/>
  <c r="D1197" i="4"/>
  <c r="C1197" i="4"/>
  <c r="E1196" i="4"/>
  <c r="D1196" i="4"/>
  <c r="C1196" i="4"/>
  <c r="E1195" i="4"/>
  <c r="D1195" i="4"/>
  <c r="C1195" i="4"/>
  <c r="E1194" i="4"/>
  <c r="D1194" i="4"/>
  <c r="C1194" i="4"/>
  <c r="E1193" i="4"/>
  <c r="D1193" i="4"/>
  <c r="C1193" i="4"/>
  <c r="E1192" i="4"/>
  <c r="D1192" i="4"/>
  <c r="C1192" i="4"/>
  <c r="E1191" i="4"/>
  <c r="D1191" i="4"/>
  <c r="C1191" i="4"/>
  <c r="E1190" i="4"/>
  <c r="D1190" i="4"/>
  <c r="C1190" i="4"/>
  <c r="E1189" i="4"/>
  <c r="D1189" i="4"/>
  <c r="C1189" i="4"/>
  <c r="E1188" i="4"/>
  <c r="D1188" i="4"/>
  <c r="C1188" i="4"/>
  <c r="E1187" i="4"/>
  <c r="D1187" i="4"/>
  <c r="C1187" i="4"/>
  <c r="E1186" i="4"/>
  <c r="D1186" i="4"/>
  <c r="C1186" i="4"/>
  <c r="E1185" i="4"/>
  <c r="D1185" i="4"/>
  <c r="C1185" i="4"/>
  <c r="E1184" i="4"/>
  <c r="D1184" i="4"/>
  <c r="C1184" i="4"/>
  <c r="E1183" i="4"/>
  <c r="D1183" i="4"/>
  <c r="C1183" i="4"/>
  <c r="E1182" i="4"/>
  <c r="D1182" i="4"/>
  <c r="C1182" i="4"/>
  <c r="E1181" i="4"/>
  <c r="D1181" i="4"/>
  <c r="C1181" i="4"/>
  <c r="E1180" i="4"/>
  <c r="D1180" i="4"/>
  <c r="C1180" i="4"/>
  <c r="E1179" i="4"/>
  <c r="D1179" i="4"/>
  <c r="C1179" i="4"/>
  <c r="E1178" i="4"/>
  <c r="D1178" i="4"/>
  <c r="C1178" i="4"/>
  <c r="E1177" i="4"/>
  <c r="D1177" i="4"/>
  <c r="C1177" i="4"/>
  <c r="E1176" i="4"/>
  <c r="D1176" i="4"/>
  <c r="C1176" i="4"/>
  <c r="E1175" i="4"/>
  <c r="D1175" i="4"/>
  <c r="C1175" i="4"/>
  <c r="E1174" i="4"/>
  <c r="D1174" i="4"/>
  <c r="C1174" i="4"/>
  <c r="E1173" i="4"/>
  <c r="D1173" i="4"/>
  <c r="C1173" i="4"/>
  <c r="E1172" i="4"/>
  <c r="D1172" i="4"/>
  <c r="C1172" i="4"/>
  <c r="E1171" i="4"/>
  <c r="D1171" i="4"/>
  <c r="C1171" i="4"/>
  <c r="E1170" i="4"/>
  <c r="D1170" i="4"/>
  <c r="C1170" i="4"/>
  <c r="E1169" i="4"/>
  <c r="D1169" i="4"/>
  <c r="C1169" i="4"/>
  <c r="E1168" i="4"/>
  <c r="D1168" i="4"/>
  <c r="C1168" i="4"/>
  <c r="E1167" i="4"/>
  <c r="D1167" i="4"/>
  <c r="C1167" i="4"/>
  <c r="E1166" i="4"/>
  <c r="D1166" i="4"/>
  <c r="C1166" i="4"/>
  <c r="E1165" i="4"/>
  <c r="D1165" i="4"/>
  <c r="C1165" i="4"/>
  <c r="E1164" i="4"/>
  <c r="D1164" i="4"/>
  <c r="C1164" i="4"/>
  <c r="E1163" i="4"/>
  <c r="D1163" i="4"/>
  <c r="C1163" i="4"/>
  <c r="E1162" i="4"/>
  <c r="D1162" i="4"/>
  <c r="C1162" i="4"/>
  <c r="E1161" i="4"/>
  <c r="D1161" i="4"/>
  <c r="C1161" i="4"/>
  <c r="E1160" i="4"/>
  <c r="D1160" i="4"/>
  <c r="C1160" i="4"/>
  <c r="E1159" i="4"/>
  <c r="D1159" i="4"/>
  <c r="C1159" i="4"/>
  <c r="E1158" i="4"/>
  <c r="D1158" i="4"/>
  <c r="C1158" i="4"/>
  <c r="E1157" i="4"/>
  <c r="D1157" i="4"/>
  <c r="C1157" i="4"/>
  <c r="E1156" i="4"/>
  <c r="D1156" i="4"/>
  <c r="C1156" i="4"/>
  <c r="E1155" i="4"/>
  <c r="D1155" i="4"/>
  <c r="C1155" i="4"/>
  <c r="E1154" i="4"/>
  <c r="D1154" i="4"/>
  <c r="C1154" i="4"/>
  <c r="E1153" i="4"/>
  <c r="D1153" i="4"/>
  <c r="C1153" i="4"/>
  <c r="E1152" i="4"/>
  <c r="D1152" i="4"/>
  <c r="C1152" i="4"/>
  <c r="E1151" i="4"/>
  <c r="D1151" i="4"/>
  <c r="C1151" i="4"/>
  <c r="E1150" i="4"/>
  <c r="D1150" i="4"/>
  <c r="C1150" i="4"/>
  <c r="E1149" i="4"/>
  <c r="D1149" i="4"/>
  <c r="C1149" i="4"/>
  <c r="E1148" i="4"/>
  <c r="D1148" i="4"/>
  <c r="C1148" i="4"/>
  <c r="E1147" i="4"/>
  <c r="D1147" i="4"/>
  <c r="C1147" i="4"/>
  <c r="E1146" i="4"/>
  <c r="D1146" i="4"/>
  <c r="C1146" i="4"/>
  <c r="E1145" i="4"/>
  <c r="D1145" i="4"/>
  <c r="C1145" i="4"/>
  <c r="E1144" i="4"/>
  <c r="D1144" i="4"/>
  <c r="C1144" i="4"/>
  <c r="E1143" i="4"/>
  <c r="D1143" i="4"/>
  <c r="C1143" i="4"/>
  <c r="E1142" i="4"/>
  <c r="D1142" i="4"/>
  <c r="C1142" i="4"/>
  <c r="E1141" i="4"/>
  <c r="D1141" i="4"/>
  <c r="C1141" i="4"/>
  <c r="E1140" i="4"/>
  <c r="D1140" i="4"/>
  <c r="C1140" i="4"/>
  <c r="E1139" i="4"/>
  <c r="D1139" i="4"/>
  <c r="C1139" i="4"/>
  <c r="E1138" i="4"/>
  <c r="D1138" i="4"/>
  <c r="C1138" i="4"/>
  <c r="E1137" i="4"/>
  <c r="D1137" i="4"/>
  <c r="C1137" i="4"/>
  <c r="E1136" i="4"/>
  <c r="D1136" i="4"/>
  <c r="C1136" i="4"/>
  <c r="E1135" i="4"/>
  <c r="D1135" i="4"/>
  <c r="C1135" i="4"/>
  <c r="E1134" i="4"/>
  <c r="D1134" i="4"/>
  <c r="C1134" i="4"/>
  <c r="E1133" i="4"/>
  <c r="D1133" i="4"/>
  <c r="C1133" i="4"/>
  <c r="E1132" i="4"/>
  <c r="D1132" i="4"/>
  <c r="C1132" i="4"/>
  <c r="E1131" i="4"/>
  <c r="D1131" i="4"/>
  <c r="C1131" i="4"/>
  <c r="E1130" i="4"/>
  <c r="D1130" i="4"/>
  <c r="C1130" i="4"/>
  <c r="E1129" i="4"/>
  <c r="D1129" i="4"/>
  <c r="C1129" i="4"/>
  <c r="E1128" i="4"/>
  <c r="D1128" i="4"/>
  <c r="C1128" i="4"/>
  <c r="E1127" i="4"/>
  <c r="D1127" i="4"/>
  <c r="C1127" i="4"/>
  <c r="E1126" i="4"/>
  <c r="D1126" i="4"/>
  <c r="C1126" i="4"/>
  <c r="E1125" i="4"/>
  <c r="D1125" i="4"/>
  <c r="C1125" i="4"/>
  <c r="E1124" i="4"/>
  <c r="D1124" i="4"/>
  <c r="C1124" i="4"/>
  <c r="E1123" i="4"/>
  <c r="D1123" i="4"/>
  <c r="C1123" i="4"/>
  <c r="E1122" i="4"/>
  <c r="D1122" i="4"/>
  <c r="C1122" i="4"/>
  <c r="E1121" i="4"/>
  <c r="D1121" i="4"/>
  <c r="C1121" i="4"/>
  <c r="E1120" i="4"/>
  <c r="D1120" i="4"/>
  <c r="C1120" i="4"/>
  <c r="E1119" i="4"/>
  <c r="D1119" i="4"/>
  <c r="C1119" i="4"/>
  <c r="E1118" i="4"/>
  <c r="D1118" i="4"/>
  <c r="C1118" i="4"/>
  <c r="E1117" i="4"/>
  <c r="D1117" i="4"/>
  <c r="C1117" i="4"/>
  <c r="E1116" i="4"/>
  <c r="D1116" i="4"/>
  <c r="C1116" i="4"/>
  <c r="E1115" i="4"/>
  <c r="D1115" i="4"/>
  <c r="C1115" i="4"/>
  <c r="E1114" i="4"/>
  <c r="D1114" i="4"/>
  <c r="C1114" i="4"/>
  <c r="E1113" i="4"/>
  <c r="D1113" i="4"/>
  <c r="C1113" i="4"/>
  <c r="E1112" i="4"/>
  <c r="D1112" i="4"/>
  <c r="C1112" i="4"/>
  <c r="E1111" i="4"/>
  <c r="D1111" i="4"/>
  <c r="C1111" i="4"/>
  <c r="E1110" i="4"/>
  <c r="D1110" i="4"/>
  <c r="C1110" i="4"/>
  <c r="E1109" i="4"/>
  <c r="D1109" i="4"/>
  <c r="C1109" i="4"/>
  <c r="E1108" i="4"/>
  <c r="D1108" i="4"/>
  <c r="C1108" i="4"/>
  <c r="E1107" i="4"/>
  <c r="D1107" i="4"/>
  <c r="C1107" i="4"/>
  <c r="E1106" i="4"/>
  <c r="D1106" i="4"/>
  <c r="C1106" i="4"/>
  <c r="E1105" i="4"/>
  <c r="D1105" i="4"/>
  <c r="C1105" i="4"/>
  <c r="E1104" i="4"/>
  <c r="D1104" i="4"/>
  <c r="C1104" i="4"/>
  <c r="E1103" i="4"/>
  <c r="D1103" i="4"/>
  <c r="C1103" i="4"/>
  <c r="E1102" i="4"/>
  <c r="D1102" i="4"/>
  <c r="C1102" i="4"/>
  <c r="E1101" i="4"/>
  <c r="D1101" i="4"/>
  <c r="C1101" i="4"/>
  <c r="E1100" i="4"/>
  <c r="D1100" i="4"/>
  <c r="C1100" i="4"/>
  <c r="E1099" i="4"/>
  <c r="D1099" i="4"/>
  <c r="C1099" i="4"/>
  <c r="E1098" i="4"/>
  <c r="D1098" i="4"/>
  <c r="C1098" i="4"/>
  <c r="E1097" i="4"/>
  <c r="D1097" i="4"/>
  <c r="C1097" i="4"/>
  <c r="E1096" i="4"/>
  <c r="D1096" i="4"/>
  <c r="C1096" i="4"/>
  <c r="E1095" i="4"/>
  <c r="D1095" i="4"/>
  <c r="C1095" i="4"/>
  <c r="E1094" i="4"/>
  <c r="D1094" i="4"/>
  <c r="C1094" i="4"/>
  <c r="E1093" i="4"/>
  <c r="D1093" i="4"/>
  <c r="C1093" i="4"/>
  <c r="E1092" i="4"/>
  <c r="D1092" i="4"/>
  <c r="C1092" i="4"/>
  <c r="E1091" i="4"/>
  <c r="D1091" i="4"/>
  <c r="C1091" i="4"/>
  <c r="E1090" i="4"/>
  <c r="D1090" i="4"/>
  <c r="C1090" i="4"/>
  <c r="E1089" i="4"/>
  <c r="D1089" i="4"/>
  <c r="C1089" i="4"/>
  <c r="E1088" i="4"/>
  <c r="D1088" i="4"/>
  <c r="C1088" i="4"/>
  <c r="E1087" i="4"/>
  <c r="D1087" i="4"/>
  <c r="C1087" i="4"/>
  <c r="E1086" i="4"/>
  <c r="D1086" i="4"/>
  <c r="C1086" i="4"/>
  <c r="E1085" i="4"/>
  <c r="D1085" i="4"/>
  <c r="C1085" i="4"/>
  <c r="E1084" i="4"/>
  <c r="D1084" i="4"/>
  <c r="C1084" i="4"/>
  <c r="E1083" i="4"/>
  <c r="D1083" i="4"/>
  <c r="C1083" i="4"/>
  <c r="E1082" i="4"/>
  <c r="D1082" i="4"/>
  <c r="C1082" i="4"/>
  <c r="E1081" i="4"/>
  <c r="D1081" i="4"/>
  <c r="C1081" i="4"/>
  <c r="E1080" i="4"/>
  <c r="D1080" i="4"/>
  <c r="C1080" i="4"/>
  <c r="E1079" i="4"/>
  <c r="D1079" i="4"/>
  <c r="C1079" i="4"/>
  <c r="E1078" i="4"/>
  <c r="D1078" i="4"/>
  <c r="C1078" i="4"/>
  <c r="E1077" i="4"/>
  <c r="D1077" i="4"/>
  <c r="C1077" i="4"/>
  <c r="E1076" i="4"/>
  <c r="D1076" i="4"/>
  <c r="C1076" i="4"/>
  <c r="E1075" i="4"/>
  <c r="D1075" i="4"/>
  <c r="C1075" i="4"/>
  <c r="E1074" i="4"/>
  <c r="D1074" i="4"/>
  <c r="C1074" i="4"/>
  <c r="E1073" i="4"/>
  <c r="D1073" i="4"/>
  <c r="C1073" i="4"/>
  <c r="E1072" i="4"/>
  <c r="D1072" i="4"/>
  <c r="C1072" i="4"/>
  <c r="E1071" i="4"/>
  <c r="D1071" i="4"/>
  <c r="C1071" i="4"/>
  <c r="E1070" i="4"/>
  <c r="D1070" i="4"/>
  <c r="C1070" i="4"/>
  <c r="E1069" i="4"/>
  <c r="D1069" i="4"/>
  <c r="C1069" i="4"/>
  <c r="E1068" i="4"/>
  <c r="D1068" i="4"/>
  <c r="C1068" i="4"/>
  <c r="E1067" i="4"/>
  <c r="D1067" i="4"/>
  <c r="C1067" i="4"/>
  <c r="E1066" i="4"/>
  <c r="D1066" i="4"/>
  <c r="C1066" i="4"/>
  <c r="E1065" i="4"/>
  <c r="D1065" i="4"/>
  <c r="C1065" i="4"/>
  <c r="E1064" i="4"/>
  <c r="D1064" i="4"/>
  <c r="C1064" i="4"/>
  <c r="E1063" i="4"/>
  <c r="D1063" i="4"/>
  <c r="C1063" i="4"/>
  <c r="E1062" i="4"/>
  <c r="D1062" i="4"/>
  <c r="C1062" i="4"/>
  <c r="E1061" i="4"/>
  <c r="D1061" i="4"/>
  <c r="C1061" i="4"/>
  <c r="E1060" i="4"/>
  <c r="D1060" i="4"/>
  <c r="C1060" i="4"/>
  <c r="E1059" i="4"/>
  <c r="D1059" i="4"/>
  <c r="C1059" i="4"/>
  <c r="E1058" i="4"/>
  <c r="D1058" i="4"/>
  <c r="C1058" i="4"/>
  <c r="E1057" i="4"/>
  <c r="D1057" i="4"/>
  <c r="C1057" i="4"/>
  <c r="E1056" i="4"/>
  <c r="D1056" i="4"/>
  <c r="C1056" i="4"/>
  <c r="E1055" i="4"/>
  <c r="D1055" i="4"/>
  <c r="C1055" i="4"/>
  <c r="E1054" i="4"/>
  <c r="D1054" i="4"/>
  <c r="C1054" i="4"/>
  <c r="E1053" i="4"/>
  <c r="D1053" i="4"/>
  <c r="C1053" i="4"/>
  <c r="E1052" i="4"/>
  <c r="D1052" i="4"/>
  <c r="C1052" i="4"/>
  <c r="E1051" i="4"/>
  <c r="D1051" i="4"/>
  <c r="C1051" i="4"/>
  <c r="E1050" i="4"/>
  <c r="D1050" i="4"/>
  <c r="C1050" i="4"/>
  <c r="E1049" i="4"/>
  <c r="D1049" i="4"/>
  <c r="C1049" i="4"/>
  <c r="E1048" i="4"/>
  <c r="D1048" i="4"/>
  <c r="C1048" i="4"/>
  <c r="E1047" i="4"/>
  <c r="D1047" i="4"/>
  <c r="C1047" i="4"/>
  <c r="E1046" i="4"/>
  <c r="D1046" i="4"/>
  <c r="C1046" i="4"/>
  <c r="E1045" i="4"/>
  <c r="D1045" i="4"/>
  <c r="C1045" i="4"/>
  <c r="E1044" i="4"/>
  <c r="D1044" i="4"/>
  <c r="C1044" i="4"/>
  <c r="E1043" i="4"/>
  <c r="D1043" i="4"/>
  <c r="C1043" i="4"/>
  <c r="E1042" i="4"/>
  <c r="D1042" i="4"/>
  <c r="C1042" i="4"/>
  <c r="E1041" i="4"/>
  <c r="D1041" i="4"/>
  <c r="C1041" i="4"/>
  <c r="E1040" i="4"/>
  <c r="D1040" i="4"/>
  <c r="C1040" i="4"/>
  <c r="E1039" i="4"/>
  <c r="D1039" i="4"/>
  <c r="C1039" i="4"/>
  <c r="E1038" i="4"/>
  <c r="D1038" i="4"/>
  <c r="C1038" i="4"/>
  <c r="E1037" i="4"/>
  <c r="D1037" i="4"/>
  <c r="C1037" i="4"/>
  <c r="E1036" i="4"/>
  <c r="D1036" i="4"/>
  <c r="C1036" i="4"/>
  <c r="E1035" i="4"/>
  <c r="D1035" i="4"/>
  <c r="C1035" i="4"/>
  <c r="E1034" i="4"/>
  <c r="D1034" i="4"/>
  <c r="C1034" i="4"/>
  <c r="E1033" i="4"/>
  <c r="D1033" i="4"/>
  <c r="C1033" i="4"/>
  <c r="E1032" i="4"/>
  <c r="D1032" i="4"/>
  <c r="C1032" i="4"/>
  <c r="E1031" i="4"/>
  <c r="D1031" i="4"/>
  <c r="C1031" i="4"/>
  <c r="E1030" i="4"/>
  <c r="D1030" i="4"/>
  <c r="C1030" i="4"/>
  <c r="E1029" i="4"/>
  <c r="D1029" i="4"/>
  <c r="C1029" i="4"/>
  <c r="E1028" i="4"/>
  <c r="D1028" i="4"/>
  <c r="C1028" i="4"/>
  <c r="E1027" i="4"/>
  <c r="D1027" i="4"/>
  <c r="C1027" i="4"/>
  <c r="E1026" i="4"/>
  <c r="D1026" i="4"/>
  <c r="C1026" i="4"/>
  <c r="E1025" i="4"/>
  <c r="D1025" i="4"/>
  <c r="C1025" i="4"/>
  <c r="E1024" i="4"/>
  <c r="D1024" i="4"/>
  <c r="C1024" i="4"/>
  <c r="E1023" i="4"/>
  <c r="D1023" i="4"/>
  <c r="C1023" i="4"/>
  <c r="E1022" i="4"/>
  <c r="D1022" i="4"/>
  <c r="C1022" i="4"/>
  <c r="E1021" i="4"/>
  <c r="D1021" i="4"/>
  <c r="C1021" i="4"/>
  <c r="E1020" i="4"/>
  <c r="D1020" i="4"/>
  <c r="C1020" i="4"/>
  <c r="E1019" i="4"/>
  <c r="D1019" i="4"/>
  <c r="C1019" i="4"/>
  <c r="E1018" i="4"/>
  <c r="D1018" i="4"/>
  <c r="C1018" i="4"/>
  <c r="E1017" i="4"/>
  <c r="D1017" i="4"/>
  <c r="C1017" i="4"/>
  <c r="E1016" i="4"/>
  <c r="D1016" i="4"/>
  <c r="C1016" i="4"/>
  <c r="E1015" i="4"/>
  <c r="D1015" i="4"/>
  <c r="C1015" i="4"/>
  <c r="E1014" i="4"/>
  <c r="D1014" i="4"/>
  <c r="C1014" i="4"/>
  <c r="E1013" i="4"/>
  <c r="D1013" i="4"/>
  <c r="C1013" i="4"/>
  <c r="E1012" i="4"/>
  <c r="D1012" i="4"/>
  <c r="C1012" i="4"/>
  <c r="E1011" i="4"/>
  <c r="D1011" i="4"/>
  <c r="C1011" i="4"/>
  <c r="E1010" i="4"/>
  <c r="D1010" i="4"/>
  <c r="C1010" i="4"/>
  <c r="E1009" i="4"/>
  <c r="D1009" i="4"/>
  <c r="C1009" i="4"/>
  <c r="E1008" i="4"/>
  <c r="D1008" i="4"/>
  <c r="C1008" i="4"/>
  <c r="E1007" i="4"/>
  <c r="D1007" i="4"/>
  <c r="C1007" i="4"/>
  <c r="E1006" i="4"/>
  <c r="D1006" i="4"/>
  <c r="C1006" i="4"/>
  <c r="E1005" i="4"/>
  <c r="D1005" i="4"/>
  <c r="C1005" i="4"/>
  <c r="E1004" i="4"/>
  <c r="D1004" i="4"/>
  <c r="C1004" i="4"/>
  <c r="E1003" i="4"/>
  <c r="D1003" i="4"/>
  <c r="C1003" i="4"/>
  <c r="E1002" i="4"/>
  <c r="D1002" i="4"/>
  <c r="C1002" i="4"/>
  <c r="E1001" i="4"/>
  <c r="D1001" i="4"/>
  <c r="C1001" i="4"/>
  <c r="E1000" i="4"/>
  <c r="D1000" i="4"/>
  <c r="C1000" i="4"/>
  <c r="E999" i="4"/>
  <c r="D999" i="4"/>
  <c r="C999" i="4"/>
  <c r="E998" i="4"/>
  <c r="D998" i="4"/>
  <c r="C998" i="4"/>
  <c r="E997" i="4"/>
  <c r="D997" i="4"/>
  <c r="C997" i="4"/>
  <c r="E996" i="4"/>
  <c r="D996" i="4"/>
  <c r="C996" i="4"/>
  <c r="E995" i="4"/>
  <c r="D995" i="4"/>
  <c r="C995" i="4"/>
  <c r="E994" i="4"/>
  <c r="D994" i="4"/>
  <c r="C994" i="4"/>
  <c r="E993" i="4"/>
  <c r="D993" i="4"/>
  <c r="C993" i="4"/>
  <c r="E992" i="4"/>
  <c r="D992" i="4"/>
  <c r="C992" i="4"/>
  <c r="E991" i="4"/>
  <c r="D991" i="4"/>
  <c r="C991" i="4"/>
  <c r="E990" i="4"/>
  <c r="D990" i="4"/>
  <c r="C990" i="4"/>
  <c r="E989" i="4"/>
  <c r="D989" i="4"/>
  <c r="C989" i="4"/>
  <c r="E988" i="4"/>
  <c r="D988" i="4"/>
  <c r="C988" i="4"/>
  <c r="E987" i="4"/>
  <c r="D987" i="4"/>
  <c r="C987" i="4"/>
  <c r="E986" i="4"/>
  <c r="D986" i="4"/>
  <c r="C986" i="4"/>
  <c r="E985" i="4"/>
  <c r="D985" i="4"/>
  <c r="C985" i="4"/>
  <c r="E984" i="4"/>
  <c r="D984" i="4"/>
  <c r="C984" i="4"/>
  <c r="E983" i="4"/>
  <c r="D983" i="4"/>
  <c r="C983" i="4"/>
  <c r="E982" i="4"/>
  <c r="D982" i="4"/>
  <c r="C982" i="4"/>
  <c r="E981" i="4"/>
  <c r="D981" i="4"/>
  <c r="C981" i="4"/>
  <c r="E980" i="4"/>
  <c r="D980" i="4"/>
  <c r="C980" i="4"/>
  <c r="E979" i="4"/>
  <c r="D979" i="4"/>
  <c r="C979" i="4"/>
  <c r="E978" i="4"/>
  <c r="D978" i="4"/>
  <c r="C978" i="4"/>
  <c r="E977" i="4"/>
  <c r="D977" i="4"/>
  <c r="C977" i="4"/>
  <c r="E976" i="4"/>
  <c r="D976" i="4"/>
  <c r="C976" i="4"/>
  <c r="E975" i="4"/>
  <c r="D975" i="4"/>
  <c r="C975" i="4"/>
  <c r="E974" i="4"/>
  <c r="D974" i="4"/>
  <c r="C974" i="4"/>
  <c r="E973" i="4"/>
  <c r="D973" i="4"/>
  <c r="C973" i="4"/>
  <c r="E972" i="4"/>
  <c r="D972" i="4"/>
  <c r="C972" i="4"/>
  <c r="E971" i="4"/>
  <c r="D971" i="4"/>
  <c r="C971" i="4"/>
  <c r="E970" i="4"/>
  <c r="D970" i="4"/>
  <c r="C970" i="4"/>
  <c r="E969" i="4"/>
  <c r="D969" i="4"/>
  <c r="C969" i="4"/>
  <c r="E968" i="4"/>
  <c r="D968" i="4"/>
  <c r="C968" i="4"/>
  <c r="E967" i="4"/>
  <c r="D967" i="4"/>
  <c r="C967" i="4"/>
  <c r="E966" i="4"/>
  <c r="D966" i="4"/>
  <c r="C966" i="4"/>
  <c r="E965" i="4"/>
  <c r="D965" i="4"/>
  <c r="C965" i="4"/>
  <c r="E964" i="4"/>
  <c r="D964" i="4"/>
  <c r="C964" i="4"/>
  <c r="E963" i="4"/>
  <c r="D963" i="4"/>
  <c r="C963" i="4"/>
  <c r="E962" i="4"/>
  <c r="D962" i="4"/>
  <c r="C962" i="4"/>
  <c r="E961" i="4"/>
  <c r="D961" i="4"/>
  <c r="C961" i="4"/>
  <c r="E960" i="4"/>
  <c r="D960" i="4"/>
  <c r="C960" i="4"/>
  <c r="E959" i="4"/>
  <c r="D959" i="4"/>
  <c r="C959" i="4"/>
  <c r="E958" i="4"/>
  <c r="D958" i="4"/>
  <c r="C958" i="4"/>
  <c r="E957" i="4"/>
  <c r="D957" i="4"/>
  <c r="C957" i="4"/>
  <c r="E956" i="4"/>
  <c r="D956" i="4"/>
  <c r="C956" i="4"/>
  <c r="E955" i="4"/>
  <c r="D955" i="4"/>
  <c r="C955" i="4"/>
  <c r="E954" i="4"/>
  <c r="D954" i="4"/>
  <c r="C954" i="4"/>
  <c r="E953" i="4"/>
  <c r="D953" i="4"/>
  <c r="C953" i="4"/>
  <c r="E952" i="4"/>
  <c r="D952" i="4"/>
  <c r="C952" i="4"/>
  <c r="E951" i="4"/>
  <c r="D951" i="4"/>
  <c r="C951" i="4"/>
  <c r="E950" i="4"/>
  <c r="D950" i="4"/>
  <c r="C950" i="4"/>
  <c r="E949" i="4"/>
  <c r="D949" i="4"/>
  <c r="C949" i="4"/>
  <c r="E948" i="4"/>
  <c r="D948" i="4"/>
  <c r="C948" i="4"/>
  <c r="E947" i="4"/>
  <c r="D947" i="4"/>
  <c r="C947" i="4"/>
  <c r="E946" i="4"/>
  <c r="D946" i="4"/>
  <c r="C946" i="4"/>
  <c r="E945" i="4"/>
  <c r="D945" i="4"/>
  <c r="C945" i="4"/>
  <c r="E944" i="4"/>
  <c r="D944" i="4"/>
  <c r="C944" i="4"/>
  <c r="E943" i="4"/>
  <c r="D943" i="4"/>
  <c r="C943" i="4"/>
  <c r="E942" i="4"/>
  <c r="D942" i="4"/>
  <c r="C942" i="4"/>
  <c r="E941" i="4"/>
  <c r="D941" i="4"/>
  <c r="C941" i="4"/>
  <c r="E940" i="4"/>
  <c r="D940" i="4"/>
  <c r="C940" i="4"/>
  <c r="E939" i="4"/>
  <c r="D939" i="4"/>
  <c r="C939" i="4"/>
  <c r="E938" i="4"/>
  <c r="D938" i="4"/>
  <c r="C938" i="4"/>
  <c r="E937" i="4"/>
  <c r="D937" i="4"/>
  <c r="C937" i="4"/>
  <c r="E936" i="4"/>
  <c r="D936" i="4"/>
  <c r="C936" i="4"/>
  <c r="E935" i="4"/>
  <c r="D935" i="4"/>
  <c r="C935" i="4"/>
  <c r="E934" i="4"/>
  <c r="D934" i="4"/>
  <c r="C934" i="4"/>
  <c r="E933" i="4"/>
  <c r="D933" i="4"/>
  <c r="C933" i="4"/>
  <c r="E932" i="4"/>
  <c r="D932" i="4"/>
  <c r="C932" i="4"/>
  <c r="E931" i="4"/>
  <c r="D931" i="4"/>
  <c r="C931" i="4"/>
  <c r="E930" i="4"/>
  <c r="D930" i="4"/>
  <c r="C930" i="4"/>
  <c r="E929" i="4"/>
  <c r="D929" i="4"/>
  <c r="C929" i="4"/>
  <c r="E928" i="4"/>
  <c r="D928" i="4"/>
  <c r="C928" i="4"/>
  <c r="E927" i="4"/>
  <c r="D927" i="4"/>
  <c r="C927" i="4"/>
  <c r="E926" i="4"/>
  <c r="D926" i="4"/>
  <c r="C926" i="4"/>
  <c r="E925" i="4"/>
  <c r="D925" i="4"/>
  <c r="C925" i="4"/>
  <c r="E924" i="4"/>
  <c r="D924" i="4"/>
  <c r="C924" i="4"/>
  <c r="E923" i="4"/>
  <c r="D923" i="4"/>
  <c r="C923" i="4"/>
  <c r="E922" i="4"/>
  <c r="D922" i="4"/>
  <c r="C922" i="4"/>
  <c r="E921" i="4"/>
  <c r="D921" i="4"/>
  <c r="C921" i="4"/>
  <c r="E920" i="4"/>
  <c r="D920" i="4"/>
  <c r="C920" i="4"/>
  <c r="E919" i="4"/>
  <c r="D919" i="4"/>
  <c r="C919" i="4"/>
  <c r="E918" i="4"/>
  <c r="D918" i="4"/>
  <c r="C918" i="4"/>
  <c r="E917" i="4"/>
  <c r="D917" i="4"/>
  <c r="C917" i="4"/>
  <c r="E916" i="4"/>
  <c r="D916" i="4"/>
  <c r="C916" i="4"/>
  <c r="E915" i="4"/>
  <c r="D915" i="4"/>
  <c r="C915" i="4"/>
  <c r="E914" i="4"/>
  <c r="D914" i="4"/>
  <c r="C914" i="4"/>
  <c r="E913" i="4"/>
  <c r="D913" i="4"/>
  <c r="C913" i="4"/>
  <c r="E912" i="4"/>
  <c r="D912" i="4"/>
  <c r="C912" i="4"/>
  <c r="E911" i="4"/>
  <c r="D911" i="4"/>
  <c r="C911" i="4"/>
  <c r="E910" i="4"/>
  <c r="D910" i="4"/>
  <c r="C910" i="4"/>
  <c r="E909" i="4"/>
  <c r="D909" i="4"/>
  <c r="C909" i="4"/>
  <c r="E908" i="4"/>
  <c r="D908" i="4"/>
  <c r="C908" i="4"/>
  <c r="E907" i="4"/>
  <c r="D907" i="4"/>
  <c r="C907" i="4"/>
  <c r="E906" i="4"/>
  <c r="D906" i="4"/>
  <c r="C906" i="4"/>
  <c r="E905" i="4"/>
  <c r="D905" i="4"/>
  <c r="C905" i="4"/>
  <c r="E904" i="4"/>
  <c r="D904" i="4"/>
  <c r="C904" i="4"/>
  <c r="E903" i="4"/>
  <c r="D903" i="4"/>
  <c r="C903" i="4"/>
  <c r="E902" i="4"/>
  <c r="D902" i="4"/>
  <c r="C902" i="4"/>
  <c r="E901" i="4"/>
  <c r="D901" i="4"/>
  <c r="C901" i="4"/>
  <c r="E900" i="4"/>
  <c r="D900" i="4"/>
  <c r="C900" i="4"/>
  <c r="E899" i="4"/>
  <c r="D899" i="4"/>
  <c r="C899" i="4"/>
  <c r="E898" i="4"/>
  <c r="D898" i="4"/>
  <c r="C898" i="4"/>
  <c r="E897" i="4"/>
  <c r="D897" i="4"/>
  <c r="C897" i="4"/>
  <c r="E896" i="4"/>
  <c r="D896" i="4"/>
  <c r="C896" i="4"/>
  <c r="E895" i="4"/>
  <c r="D895" i="4"/>
  <c r="C895" i="4"/>
  <c r="E894" i="4"/>
  <c r="D894" i="4"/>
  <c r="C894" i="4"/>
  <c r="E893" i="4"/>
  <c r="D893" i="4"/>
  <c r="C893" i="4"/>
  <c r="E892" i="4"/>
  <c r="D892" i="4"/>
  <c r="C892" i="4"/>
  <c r="E891" i="4"/>
  <c r="D891" i="4"/>
  <c r="C891" i="4"/>
  <c r="E890" i="4"/>
  <c r="D890" i="4"/>
  <c r="C890" i="4"/>
  <c r="E889" i="4"/>
  <c r="D889" i="4"/>
  <c r="C889" i="4"/>
  <c r="E888" i="4"/>
  <c r="D888" i="4"/>
  <c r="C888" i="4"/>
  <c r="E887" i="4"/>
  <c r="D887" i="4"/>
  <c r="C887" i="4"/>
  <c r="E886" i="4"/>
  <c r="D886" i="4"/>
  <c r="C886" i="4"/>
  <c r="E885" i="4"/>
  <c r="D885" i="4"/>
  <c r="C885" i="4"/>
  <c r="E884" i="4"/>
  <c r="D884" i="4"/>
  <c r="C884" i="4"/>
  <c r="E883" i="4"/>
  <c r="D883" i="4"/>
  <c r="C883" i="4"/>
  <c r="E882" i="4"/>
  <c r="D882" i="4"/>
  <c r="C882" i="4"/>
  <c r="E881" i="4"/>
  <c r="D881" i="4"/>
  <c r="C881" i="4"/>
  <c r="E880" i="4"/>
  <c r="D880" i="4"/>
  <c r="C880" i="4"/>
  <c r="E879" i="4"/>
  <c r="D879" i="4"/>
  <c r="C879" i="4"/>
  <c r="E878" i="4"/>
  <c r="D878" i="4"/>
  <c r="C878" i="4"/>
  <c r="E877" i="4"/>
  <c r="D877" i="4"/>
  <c r="C877" i="4"/>
  <c r="E876" i="4"/>
  <c r="D876" i="4"/>
  <c r="C876" i="4"/>
  <c r="E875" i="4"/>
  <c r="D875" i="4"/>
  <c r="C875" i="4"/>
  <c r="E874" i="4"/>
  <c r="D874" i="4"/>
  <c r="C874" i="4"/>
  <c r="E873" i="4"/>
  <c r="D873" i="4"/>
  <c r="C873" i="4"/>
  <c r="E872" i="4"/>
  <c r="D872" i="4"/>
  <c r="C872" i="4"/>
  <c r="E871" i="4"/>
  <c r="D871" i="4"/>
  <c r="C871" i="4"/>
  <c r="E870" i="4"/>
  <c r="D870" i="4"/>
  <c r="C870" i="4"/>
  <c r="E869" i="4"/>
  <c r="D869" i="4"/>
  <c r="C869" i="4"/>
  <c r="E868" i="4"/>
  <c r="D868" i="4"/>
  <c r="C868" i="4"/>
  <c r="E867" i="4"/>
  <c r="D867" i="4"/>
  <c r="C867" i="4"/>
  <c r="E866" i="4"/>
  <c r="D866" i="4"/>
  <c r="C866" i="4"/>
  <c r="E865" i="4"/>
  <c r="D865" i="4"/>
  <c r="C865" i="4"/>
  <c r="E864" i="4"/>
  <c r="D864" i="4"/>
  <c r="C864" i="4"/>
  <c r="E863" i="4"/>
  <c r="D863" i="4"/>
  <c r="C863" i="4"/>
  <c r="E862" i="4"/>
  <c r="D862" i="4"/>
  <c r="C862" i="4"/>
  <c r="E861" i="4"/>
  <c r="D861" i="4"/>
  <c r="C861" i="4"/>
  <c r="E860" i="4"/>
  <c r="D860" i="4"/>
  <c r="C860" i="4"/>
  <c r="E859" i="4"/>
  <c r="D859" i="4"/>
  <c r="C859" i="4"/>
  <c r="E858" i="4"/>
  <c r="D858" i="4"/>
  <c r="C858" i="4"/>
  <c r="E857" i="4"/>
  <c r="D857" i="4"/>
  <c r="C857" i="4"/>
  <c r="E856" i="4"/>
  <c r="D856" i="4"/>
  <c r="C856" i="4"/>
  <c r="E855" i="4"/>
  <c r="D855" i="4"/>
  <c r="C855" i="4"/>
  <c r="E854" i="4"/>
  <c r="D854" i="4"/>
  <c r="C854" i="4"/>
  <c r="E853" i="4"/>
  <c r="D853" i="4"/>
  <c r="C853" i="4"/>
  <c r="E852" i="4"/>
  <c r="D852" i="4"/>
  <c r="C852" i="4"/>
  <c r="E851" i="4"/>
  <c r="D851" i="4"/>
  <c r="C851" i="4"/>
  <c r="E850" i="4"/>
  <c r="D850" i="4"/>
  <c r="C850" i="4"/>
  <c r="E849" i="4"/>
  <c r="D849" i="4"/>
  <c r="C849" i="4"/>
  <c r="E848" i="4"/>
  <c r="D848" i="4"/>
  <c r="C848" i="4"/>
  <c r="E847" i="4"/>
  <c r="D847" i="4"/>
  <c r="C847" i="4"/>
  <c r="E846" i="4"/>
  <c r="D846" i="4"/>
  <c r="C846" i="4"/>
  <c r="E845" i="4"/>
  <c r="D845" i="4"/>
  <c r="C845" i="4"/>
  <c r="E844" i="4"/>
  <c r="D844" i="4"/>
  <c r="C844" i="4"/>
  <c r="E843" i="4"/>
  <c r="D843" i="4"/>
  <c r="C843" i="4"/>
  <c r="E842" i="4"/>
  <c r="D842" i="4"/>
  <c r="C842" i="4"/>
  <c r="E841" i="4"/>
  <c r="D841" i="4"/>
  <c r="C841" i="4"/>
  <c r="E840" i="4"/>
  <c r="D840" i="4"/>
  <c r="C840" i="4"/>
  <c r="E839" i="4"/>
  <c r="D839" i="4"/>
  <c r="C839" i="4"/>
  <c r="E838" i="4"/>
  <c r="D838" i="4"/>
  <c r="C838" i="4"/>
  <c r="E837" i="4"/>
  <c r="D837" i="4"/>
  <c r="C837" i="4"/>
  <c r="E836" i="4"/>
  <c r="D836" i="4"/>
  <c r="C836" i="4"/>
  <c r="E835" i="4"/>
  <c r="D835" i="4"/>
  <c r="C835" i="4"/>
  <c r="E834" i="4"/>
  <c r="D834" i="4"/>
  <c r="C834" i="4"/>
  <c r="E833" i="4"/>
  <c r="D833" i="4"/>
  <c r="C833" i="4"/>
  <c r="E832" i="4"/>
  <c r="D832" i="4"/>
  <c r="C832" i="4"/>
  <c r="E831" i="4"/>
  <c r="D831" i="4"/>
  <c r="C831" i="4"/>
  <c r="E830" i="4"/>
  <c r="D830" i="4"/>
  <c r="C830" i="4"/>
  <c r="E829" i="4"/>
  <c r="D829" i="4"/>
  <c r="C829" i="4"/>
  <c r="E828" i="4"/>
  <c r="D828" i="4"/>
  <c r="C828" i="4"/>
  <c r="E827" i="4"/>
  <c r="D827" i="4"/>
  <c r="C827" i="4"/>
  <c r="E826" i="4"/>
  <c r="D826" i="4"/>
  <c r="C826" i="4"/>
  <c r="E825" i="4"/>
  <c r="D825" i="4"/>
  <c r="C825" i="4"/>
  <c r="E824" i="4"/>
  <c r="D824" i="4"/>
  <c r="C824" i="4"/>
  <c r="E823" i="4"/>
  <c r="D823" i="4"/>
  <c r="C823" i="4"/>
  <c r="E822" i="4"/>
  <c r="D822" i="4"/>
  <c r="C822" i="4"/>
  <c r="E821" i="4"/>
  <c r="D821" i="4"/>
  <c r="C821" i="4"/>
  <c r="E820" i="4"/>
  <c r="D820" i="4"/>
  <c r="C820" i="4"/>
  <c r="E819" i="4"/>
  <c r="D819" i="4"/>
  <c r="C819" i="4"/>
  <c r="E818" i="4"/>
  <c r="D818" i="4"/>
  <c r="C818" i="4"/>
  <c r="E817" i="4"/>
  <c r="D817" i="4"/>
  <c r="C817" i="4"/>
  <c r="E816" i="4"/>
  <c r="D816" i="4"/>
  <c r="C816" i="4"/>
  <c r="E815" i="4"/>
  <c r="D815" i="4"/>
  <c r="C815" i="4"/>
  <c r="E814" i="4"/>
  <c r="D814" i="4"/>
  <c r="C814" i="4"/>
  <c r="E813" i="4"/>
  <c r="D813" i="4"/>
  <c r="C813" i="4"/>
  <c r="E812" i="4"/>
  <c r="D812" i="4"/>
  <c r="C812" i="4"/>
  <c r="E811" i="4"/>
  <c r="D811" i="4"/>
  <c r="C811" i="4"/>
  <c r="E810" i="4"/>
  <c r="D810" i="4"/>
  <c r="C810" i="4"/>
  <c r="E809" i="4"/>
  <c r="D809" i="4"/>
  <c r="C809" i="4"/>
  <c r="E808" i="4"/>
  <c r="D808" i="4"/>
  <c r="C808" i="4"/>
  <c r="E807" i="4"/>
  <c r="D807" i="4"/>
  <c r="C807" i="4"/>
  <c r="E806" i="4"/>
  <c r="D806" i="4"/>
  <c r="C806" i="4"/>
  <c r="E805" i="4"/>
  <c r="D805" i="4"/>
  <c r="C805" i="4"/>
  <c r="E804" i="4"/>
  <c r="D804" i="4"/>
  <c r="C804" i="4"/>
  <c r="E803" i="4"/>
  <c r="D803" i="4"/>
  <c r="C803" i="4"/>
  <c r="E802" i="4"/>
  <c r="D802" i="4"/>
  <c r="C802" i="4"/>
  <c r="E801" i="4"/>
  <c r="D801" i="4"/>
  <c r="C801" i="4"/>
  <c r="E800" i="4"/>
  <c r="D800" i="4"/>
  <c r="C800" i="4"/>
  <c r="E799" i="4"/>
  <c r="D799" i="4"/>
  <c r="C799" i="4"/>
  <c r="E798" i="4"/>
  <c r="D798" i="4"/>
  <c r="C798" i="4"/>
  <c r="E797" i="4"/>
  <c r="D797" i="4"/>
  <c r="C797" i="4"/>
  <c r="E796" i="4"/>
  <c r="D796" i="4"/>
  <c r="C796" i="4"/>
  <c r="E795" i="4"/>
  <c r="D795" i="4"/>
  <c r="C795" i="4"/>
  <c r="E794" i="4"/>
  <c r="D794" i="4"/>
  <c r="C794" i="4"/>
  <c r="E793" i="4"/>
  <c r="D793" i="4"/>
  <c r="C793" i="4"/>
  <c r="E792" i="4"/>
  <c r="D792" i="4"/>
  <c r="C792" i="4"/>
  <c r="E791" i="4"/>
  <c r="D791" i="4"/>
  <c r="C791" i="4"/>
  <c r="E790" i="4"/>
  <c r="D790" i="4"/>
  <c r="C790" i="4"/>
  <c r="E789" i="4"/>
  <c r="D789" i="4"/>
  <c r="C789" i="4"/>
  <c r="E788" i="4"/>
  <c r="D788" i="4"/>
  <c r="C788" i="4"/>
  <c r="E787" i="4"/>
  <c r="D787" i="4"/>
  <c r="C787" i="4"/>
  <c r="E786" i="4"/>
  <c r="D786" i="4"/>
  <c r="C786" i="4"/>
  <c r="E785" i="4"/>
  <c r="D785" i="4"/>
  <c r="C785" i="4"/>
  <c r="E784" i="4"/>
  <c r="D784" i="4"/>
  <c r="C784" i="4"/>
  <c r="E783" i="4"/>
  <c r="D783" i="4"/>
  <c r="C783" i="4"/>
  <c r="E782" i="4"/>
  <c r="D782" i="4"/>
  <c r="C782" i="4"/>
  <c r="E781" i="4"/>
  <c r="D781" i="4"/>
  <c r="C781" i="4"/>
  <c r="E780" i="4"/>
  <c r="D780" i="4"/>
  <c r="C780" i="4"/>
  <c r="E779" i="4"/>
  <c r="D779" i="4"/>
  <c r="C779" i="4"/>
  <c r="E778" i="4"/>
  <c r="D778" i="4"/>
  <c r="C778" i="4"/>
  <c r="E777" i="4"/>
  <c r="D777" i="4"/>
  <c r="C777" i="4"/>
  <c r="E776" i="4"/>
  <c r="D776" i="4"/>
  <c r="C776" i="4"/>
  <c r="E775" i="4"/>
  <c r="D775" i="4"/>
  <c r="C775" i="4"/>
  <c r="E774" i="4"/>
  <c r="D774" i="4"/>
  <c r="C774" i="4"/>
  <c r="E773" i="4"/>
  <c r="D773" i="4"/>
  <c r="C773" i="4"/>
  <c r="E772" i="4"/>
  <c r="D772" i="4"/>
  <c r="C772" i="4"/>
  <c r="E771" i="4"/>
  <c r="D771" i="4"/>
  <c r="C771" i="4"/>
  <c r="E770" i="4"/>
  <c r="D770" i="4"/>
  <c r="C770" i="4"/>
  <c r="E769" i="4"/>
  <c r="D769" i="4"/>
  <c r="C769" i="4"/>
  <c r="E768" i="4"/>
  <c r="D768" i="4"/>
  <c r="C768" i="4"/>
  <c r="E767" i="4"/>
  <c r="D767" i="4"/>
  <c r="C767" i="4"/>
  <c r="E766" i="4"/>
  <c r="D766" i="4"/>
  <c r="C766" i="4"/>
  <c r="E765" i="4"/>
  <c r="D765" i="4"/>
  <c r="C765" i="4"/>
  <c r="E764" i="4"/>
  <c r="D764" i="4"/>
  <c r="C764" i="4"/>
  <c r="E763" i="4"/>
  <c r="D763" i="4"/>
  <c r="C763" i="4"/>
  <c r="E762" i="4"/>
  <c r="D762" i="4"/>
  <c r="C762" i="4"/>
  <c r="E761" i="4"/>
  <c r="D761" i="4"/>
  <c r="C761" i="4"/>
  <c r="E760" i="4"/>
  <c r="D760" i="4"/>
  <c r="C760" i="4"/>
  <c r="E759" i="4"/>
  <c r="D759" i="4"/>
  <c r="C759" i="4"/>
  <c r="E758" i="4"/>
  <c r="D758" i="4"/>
  <c r="C758" i="4"/>
  <c r="E757" i="4"/>
  <c r="D757" i="4"/>
  <c r="C757" i="4"/>
  <c r="E756" i="4"/>
  <c r="D756" i="4"/>
  <c r="C756" i="4"/>
  <c r="E755" i="4"/>
  <c r="D755" i="4"/>
  <c r="C755" i="4"/>
  <c r="E754" i="4"/>
  <c r="D754" i="4"/>
  <c r="C754" i="4"/>
  <c r="E753" i="4"/>
  <c r="D753" i="4"/>
  <c r="C753" i="4"/>
  <c r="E752" i="4"/>
  <c r="D752" i="4"/>
  <c r="C752" i="4"/>
  <c r="E751" i="4"/>
  <c r="D751" i="4"/>
  <c r="C751" i="4"/>
  <c r="E750" i="4"/>
  <c r="D750" i="4"/>
  <c r="C750" i="4"/>
  <c r="E749" i="4"/>
  <c r="D749" i="4"/>
  <c r="C749" i="4"/>
  <c r="E748" i="4"/>
  <c r="D748" i="4"/>
  <c r="C748" i="4"/>
  <c r="E747" i="4"/>
  <c r="D747" i="4"/>
  <c r="C747" i="4"/>
  <c r="E746" i="4"/>
  <c r="D746" i="4"/>
  <c r="C746" i="4"/>
  <c r="E745" i="4"/>
  <c r="D745" i="4"/>
  <c r="C745" i="4"/>
  <c r="E744" i="4"/>
  <c r="D744" i="4"/>
  <c r="C744" i="4"/>
  <c r="E743" i="4"/>
  <c r="D743" i="4"/>
  <c r="C743" i="4"/>
  <c r="E742" i="4"/>
  <c r="D742" i="4"/>
  <c r="C742" i="4"/>
  <c r="E741" i="4"/>
  <c r="D741" i="4"/>
  <c r="C741" i="4"/>
  <c r="E740" i="4"/>
  <c r="D740" i="4"/>
  <c r="C740" i="4"/>
  <c r="E739" i="4"/>
  <c r="D739" i="4"/>
  <c r="C739" i="4"/>
  <c r="E738" i="4"/>
  <c r="D738" i="4"/>
  <c r="C738" i="4"/>
  <c r="E737" i="4"/>
  <c r="D737" i="4"/>
  <c r="C737" i="4"/>
  <c r="E736" i="4"/>
  <c r="D736" i="4"/>
  <c r="C736" i="4"/>
  <c r="E735" i="4"/>
  <c r="D735" i="4"/>
  <c r="C735" i="4"/>
  <c r="E734" i="4"/>
  <c r="D734" i="4"/>
  <c r="C734" i="4"/>
  <c r="E733" i="4"/>
  <c r="D733" i="4"/>
  <c r="C733" i="4"/>
  <c r="E732" i="4"/>
  <c r="D732" i="4"/>
  <c r="C732" i="4"/>
  <c r="E731" i="4"/>
  <c r="D731" i="4"/>
  <c r="C731" i="4"/>
  <c r="E730" i="4"/>
  <c r="D730" i="4"/>
  <c r="C730" i="4"/>
  <c r="E729" i="4"/>
  <c r="D729" i="4"/>
  <c r="C729" i="4"/>
  <c r="E728" i="4"/>
  <c r="D728" i="4"/>
  <c r="C728" i="4"/>
  <c r="E727" i="4"/>
  <c r="D727" i="4"/>
  <c r="C727" i="4"/>
  <c r="E726" i="4"/>
  <c r="D726" i="4"/>
  <c r="C726" i="4"/>
  <c r="E725" i="4"/>
  <c r="D725" i="4"/>
  <c r="C725" i="4"/>
  <c r="E724" i="4"/>
  <c r="D724" i="4"/>
  <c r="C724" i="4"/>
  <c r="E723" i="4"/>
  <c r="D723" i="4"/>
  <c r="C723" i="4"/>
  <c r="E722" i="4"/>
  <c r="D722" i="4"/>
  <c r="C722" i="4"/>
  <c r="E721" i="4"/>
  <c r="D721" i="4"/>
  <c r="C721" i="4"/>
  <c r="E720" i="4"/>
  <c r="D720" i="4"/>
  <c r="C720" i="4"/>
  <c r="E719" i="4"/>
  <c r="D719" i="4"/>
  <c r="C719" i="4"/>
  <c r="E718" i="4"/>
  <c r="D718" i="4"/>
  <c r="C718" i="4"/>
  <c r="E717" i="4"/>
  <c r="D717" i="4"/>
  <c r="C717" i="4"/>
  <c r="E716" i="4"/>
  <c r="D716" i="4"/>
  <c r="C716" i="4"/>
  <c r="E715" i="4"/>
  <c r="D715" i="4"/>
  <c r="C715" i="4"/>
  <c r="E714" i="4"/>
  <c r="D714" i="4"/>
  <c r="C714" i="4"/>
  <c r="E713" i="4"/>
  <c r="D713" i="4"/>
  <c r="C713" i="4"/>
  <c r="E712" i="4"/>
  <c r="D712" i="4"/>
  <c r="C712" i="4"/>
  <c r="E711" i="4"/>
  <c r="D711" i="4"/>
  <c r="C711" i="4"/>
  <c r="E710" i="4"/>
  <c r="D710" i="4"/>
  <c r="C710" i="4"/>
  <c r="E709" i="4"/>
  <c r="D709" i="4"/>
  <c r="C709" i="4"/>
  <c r="E708" i="4"/>
  <c r="D708" i="4"/>
  <c r="C708" i="4"/>
  <c r="E707" i="4"/>
  <c r="D707" i="4"/>
  <c r="C707" i="4"/>
  <c r="E706" i="4"/>
  <c r="D706" i="4"/>
  <c r="C706" i="4"/>
  <c r="E705" i="4"/>
  <c r="D705" i="4"/>
  <c r="C705" i="4"/>
  <c r="E704" i="4"/>
  <c r="D704" i="4"/>
  <c r="C704" i="4"/>
  <c r="E703" i="4"/>
  <c r="D703" i="4"/>
  <c r="C703" i="4"/>
  <c r="E702" i="4"/>
  <c r="D702" i="4"/>
  <c r="C702" i="4"/>
  <c r="E701" i="4"/>
  <c r="D701" i="4"/>
  <c r="C701" i="4"/>
  <c r="E700" i="4"/>
  <c r="D700" i="4"/>
  <c r="C700" i="4"/>
  <c r="E699" i="4"/>
  <c r="D699" i="4"/>
  <c r="C699" i="4"/>
  <c r="E698" i="4"/>
  <c r="D698" i="4"/>
  <c r="C698" i="4"/>
  <c r="E697" i="4"/>
  <c r="D697" i="4"/>
  <c r="C697" i="4"/>
  <c r="E696" i="4"/>
  <c r="D696" i="4"/>
  <c r="C696" i="4"/>
  <c r="E695" i="4"/>
  <c r="D695" i="4"/>
  <c r="C695" i="4"/>
  <c r="E694" i="4"/>
  <c r="D694" i="4"/>
  <c r="C694" i="4"/>
  <c r="E693" i="4"/>
  <c r="D693" i="4"/>
  <c r="C693" i="4"/>
  <c r="E692" i="4"/>
  <c r="D692" i="4"/>
  <c r="C692" i="4"/>
  <c r="E691" i="4"/>
  <c r="D691" i="4"/>
  <c r="C691" i="4"/>
  <c r="E690" i="4"/>
  <c r="D690" i="4"/>
  <c r="C690" i="4"/>
  <c r="E689" i="4"/>
  <c r="D689" i="4"/>
  <c r="C689" i="4"/>
  <c r="E688" i="4"/>
  <c r="D688" i="4"/>
  <c r="C688" i="4"/>
  <c r="E687" i="4"/>
  <c r="D687" i="4"/>
  <c r="C687" i="4"/>
  <c r="E686" i="4"/>
  <c r="D686" i="4"/>
  <c r="C686" i="4"/>
  <c r="E685" i="4"/>
  <c r="D685" i="4"/>
  <c r="C685" i="4"/>
  <c r="E684" i="4"/>
  <c r="D684" i="4"/>
  <c r="C684" i="4"/>
  <c r="E683" i="4"/>
  <c r="D683" i="4"/>
  <c r="C683" i="4"/>
  <c r="E682" i="4"/>
  <c r="D682" i="4"/>
  <c r="C682" i="4"/>
  <c r="E681" i="4"/>
  <c r="D681" i="4"/>
  <c r="C681" i="4"/>
  <c r="E680" i="4"/>
  <c r="D680" i="4"/>
  <c r="C680" i="4"/>
  <c r="E679" i="4"/>
  <c r="D679" i="4"/>
  <c r="C679" i="4"/>
  <c r="E678" i="4"/>
  <c r="D678" i="4"/>
  <c r="C678" i="4"/>
  <c r="E677" i="4"/>
  <c r="D677" i="4"/>
  <c r="C677" i="4"/>
  <c r="E676" i="4"/>
  <c r="D676" i="4"/>
  <c r="C676" i="4"/>
  <c r="E675" i="4"/>
  <c r="D675" i="4"/>
  <c r="C675" i="4"/>
  <c r="E674" i="4"/>
  <c r="D674" i="4"/>
  <c r="C674" i="4"/>
  <c r="E673" i="4"/>
  <c r="D673" i="4"/>
  <c r="C673" i="4"/>
  <c r="E672" i="4"/>
  <c r="D672" i="4"/>
  <c r="C672" i="4"/>
  <c r="E671" i="4"/>
  <c r="D671" i="4"/>
  <c r="C671" i="4"/>
  <c r="E670" i="4"/>
  <c r="D670" i="4"/>
  <c r="C670" i="4"/>
  <c r="E669" i="4"/>
  <c r="D669" i="4"/>
  <c r="C669" i="4"/>
  <c r="E668" i="4"/>
  <c r="D668" i="4"/>
  <c r="C668" i="4"/>
  <c r="E667" i="4"/>
  <c r="D667" i="4"/>
  <c r="C667" i="4"/>
  <c r="E666" i="4"/>
  <c r="D666" i="4"/>
  <c r="C666" i="4"/>
  <c r="E665" i="4"/>
  <c r="D665" i="4"/>
  <c r="C665" i="4"/>
  <c r="E664" i="4"/>
  <c r="D664" i="4"/>
  <c r="C664" i="4"/>
  <c r="E663" i="4"/>
  <c r="D663" i="4"/>
  <c r="C663" i="4"/>
  <c r="E662" i="4"/>
  <c r="D662" i="4"/>
  <c r="C662" i="4"/>
  <c r="E661" i="4"/>
  <c r="D661" i="4"/>
  <c r="C661" i="4"/>
  <c r="E660" i="4"/>
  <c r="D660" i="4"/>
  <c r="C660" i="4"/>
  <c r="E659" i="4"/>
  <c r="D659" i="4"/>
  <c r="C659" i="4"/>
  <c r="E658" i="4"/>
  <c r="D658" i="4"/>
  <c r="C658" i="4"/>
  <c r="E657" i="4"/>
  <c r="D657" i="4"/>
  <c r="C657" i="4"/>
  <c r="E656" i="4"/>
  <c r="D656" i="4"/>
  <c r="C656" i="4"/>
  <c r="E655" i="4"/>
  <c r="D655" i="4"/>
  <c r="C655" i="4"/>
  <c r="E654" i="4"/>
  <c r="D654" i="4"/>
  <c r="C654" i="4"/>
  <c r="E653" i="4"/>
  <c r="D653" i="4"/>
  <c r="C653" i="4"/>
  <c r="E652" i="4"/>
  <c r="D652" i="4"/>
  <c r="C652" i="4"/>
  <c r="E651" i="4"/>
  <c r="D651" i="4"/>
  <c r="C651" i="4"/>
  <c r="E650" i="4"/>
  <c r="D650" i="4"/>
  <c r="C650" i="4"/>
  <c r="E649" i="4"/>
  <c r="D649" i="4"/>
  <c r="C649" i="4"/>
  <c r="E648" i="4"/>
  <c r="D648" i="4"/>
  <c r="C648" i="4"/>
  <c r="E647" i="4"/>
  <c r="D647" i="4"/>
  <c r="C647" i="4"/>
  <c r="E646" i="4"/>
  <c r="D646" i="4"/>
  <c r="C646" i="4"/>
  <c r="E645" i="4"/>
  <c r="D645" i="4"/>
  <c r="C645" i="4"/>
  <c r="E644" i="4"/>
  <c r="D644" i="4"/>
  <c r="C644" i="4"/>
  <c r="E643" i="4"/>
  <c r="D643" i="4"/>
  <c r="C643" i="4"/>
  <c r="E642" i="4"/>
  <c r="D642" i="4"/>
  <c r="C642" i="4"/>
  <c r="E641" i="4"/>
  <c r="D641" i="4"/>
  <c r="C641" i="4"/>
  <c r="E640" i="4"/>
  <c r="D640" i="4"/>
  <c r="C640" i="4"/>
  <c r="E639" i="4"/>
  <c r="D639" i="4"/>
  <c r="C639" i="4"/>
  <c r="E638" i="4"/>
  <c r="D638" i="4"/>
  <c r="C638" i="4"/>
  <c r="E637" i="4"/>
  <c r="D637" i="4"/>
  <c r="C637" i="4"/>
  <c r="E636" i="4"/>
  <c r="D636" i="4"/>
  <c r="C636" i="4"/>
  <c r="E635" i="4"/>
  <c r="D635" i="4"/>
  <c r="C635" i="4"/>
  <c r="E634" i="4"/>
  <c r="D634" i="4"/>
  <c r="C634" i="4"/>
  <c r="E633" i="4"/>
  <c r="D633" i="4"/>
  <c r="C633" i="4"/>
  <c r="E632" i="4"/>
  <c r="D632" i="4"/>
  <c r="C632" i="4"/>
  <c r="E631" i="4"/>
  <c r="D631" i="4"/>
  <c r="C631" i="4"/>
  <c r="E630" i="4"/>
  <c r="D630" i="4"/>
  <c r="C630" i="4"/>
  <c r="E629" i="4"/>
  <c r="D629" i="4"/>
  <c r="C629" i="4"/>
  <c r="E628" i="4"/>
  <c r="D628" i="4"/>
  <c r="C628" i="4"/>
  <c r="E627" i="4"/>
  <c r="D627" i="4"/>
  <c r="C627" i="4"/>
  <c r="E626" i="4"/>
  <c r="D626" i="4"/>
  <c r="C626" i="4"/>
  <c r="E625" i="4"/>
  <c r="D625" i="4"/>
  <c r="C625" i="4"/>
  <c r="E624" i="4"/>
  <c r="D624" i="4"/>
  <c r="C624" i="4"/>
  <c r="E623" i="4"/>
  <c r="D623" i="4"/>
  <c r="C623" i="4"/>
  <c r="E622" i="4"/>
  <c r="D622" i="4"/>
  <c r="C622" i="4"/>
  <c r="E621" i="4"/>
  <c r="D621" i="4"/>
  <c r="C621" i="4"/>
  <c r="E620" i="4"/>
  <c r="D620" i="4"/>
  <c r="C620" i="4"/>
  <c r="E619" i="4"/>
  <c r="D619" i="4"/>
  <c r="C619" i="4"/>
  <c r="E618" i="4"/>
  <c r="D618" i="4"/>
  <c r="C618" i="4"/>
  <c r="E617" i="4"/>
  <c r="D617" i="4"/>
  <c r="C617" i="4"/>
  <c r="E616" i="4"/>
  <c r="D616" i="4"/>
  <c r="C616" i="4"/>
  <c r="E615" i="4"/>
  <c r="D615" i="4"/>
  <c r="C615" i="4"/>
  <c r="E614" i="4"/>
  <c r="D614" i="4"/>
  <c r="C614" i="4"/>
  <c r="E613" i="4"/>
  <c r="D613" i="4"/>
  <c r="C613" i="4"/>
  <c r="E612" i="4"/>
  <c r="D612" i="4"/>
  <c r="C612" i="4"/>
  <c r="E611" i="4"/>
  <c r="D611" i="4"/>
  <c r="C611" i="4"/>
  <c r="E610" i="4"/>
  <c r="D610" i="4"/>
  <c r="C610" i="4"/>
  <c r="E609" i="4"/>
  <c r="D609" i="4"/>
  <c r="C609" i="4"/>
  <c r="E608" i="4"/>
  <c r="D608" i="4"/>
  <c r="C608" i="4"/>
  <c r="E607" i="4"/>
  <c r="D607" i="4"/>
  <c r="C607" i="4"/>
  <c r="E606" i="4"/>
  <c r="D606" i="4"/>
  <c r="C606" i="4"/>
  <c r="E605" i="4"/>
  <c r="D605" i="4"/>
  <c r="C605" i="4"/>
  <c r="E604" i="4"/>
  <c r="D604" i="4"/>
  <c r="C604" i="4"/>
  <c r="E603" i="4"/>
  <c r="D603" i="4"/>
  <c r="C603" i="4"/>
  <c r="E602" i="4"/>
  <c r="D602" i="4"/>
  <c r="C602" i="4"/>
  <c r="E601" i="4"/>
  <c r="D601" i="4"/>
  <c r="C601" i="4"/>
  <c r="E600" i="4"/>
  <c r="D600" i="4"/>
  <c r="C600" i="4"/>
  <c r="E599" i="4"/>
  <c r="D599" i="4"/>
  <c r="C599" i="4"/>
  <c r="E598" i="4"/>
  <c r="D598" i="4"/>
  <c r="C598" i="4"/>
  <c r="E597" i="4"/>
  <c r="D597" i="4"/>
  <c r="C597" i="4"/>
  <c r="E596" i="4"/>
  <c r="D596" i="4"/>
  <c r="C596" i="4"/>
  <c r="E595" i="4"/>
  <c r="D595" i="4"/>
  <c r="C595" i="4"/>
  <c r="E594" i="4"/>
  <c r="D594" i="4"/>
  <c r="C594" i="4"/>
  <c r="E593" i="4"/>
  <c r="D593" i="4"/>
  <c r="C593" i="4"/>
  <c r="E592" i="4"/>
  <c r="D592" i="4"/>
  <c r="C592" i="4"/>
  <c r="E591" i="4"/>
  <c r="D591" i="4"/>
  <c r="C591" i="4"/>
  <c r="E590" i="4"/>
  <c r="D590" i="4"/>
  <c r="C590" i="4"/>
  <c r="E589" i="4"/>
  <c r="D589" i="4"/>
  <c r="C589" i="4"/>
  <c r="E588" i="4"/>
  <c r="D588" i="4"/>
  <c r="C588" i="4"/>
  <c r="E587" i="4"/>
  <c r="D587" i="4"/>
  <c r="C587" i="4"/>
  <c r="E586" i="4"/>
  <c r="D586" i="4"/>
  <c r="C586" i="4"/>
  <c r="E585" i="4"/>
  <c r="D585" i="4"/>
  <c r="C585" i="4"/>
  <c r="E584" i="4"/>
  <c r="D584" i="4"/>
  <c r="C584" i="4"/>
  <c r="E583" i="4"/>
  <c r="D583" i="4"/>
  <c r="C583" i="4"/>
  <c r="E582" i="4"/>
  <c r="D582" i="4"/>
  <c r="C582" i="4"/>
  <c r="E581" i="4"/>
  <c r="D581" i="4"/>
  <c r="C581" i="4"/>
  <c r="E580" i="4"/>
  <c r="D580" i="4"/>
  <c r="C580" i="4"/>
  <c r="E579" i="4"/>
  <c r="D579" i="4"/>
  <c r="C579" i="4"/>
  <c r="E578" i="4"/>
  <c r="D578" i="4"/>
  <c r="C578" i="4"/>
  <c r="E577" i="4"/>
  <c r="D577" i="4"/>
  <c r="C577" i="4"/>
  <c r="E576" i="4"/>
  <c r="D576" i="4"/>
  <c r="C576" i="4"/>
  <c r="E575" i="4"/>
  <c r="D575" i="4"/>
  <c r="C575" i="4"/>
  <c r="E574" i="4"/>
  <c r="D574" i="4"/>
  <c r="C574" i="4"/>
  <c r="E573" i="4"/>
  <c r="D573" i="4"/>
  <c r="C573" i="4"/>
  <c r="E572" i="4"/>
  <c r="D572" i="4"/>
  <c r="C572" i="4"/>
  <c r="E571" i="4"/>
  <c r="D571" i="4"/>
  <c r="C571" i="4"/>
  <c r="E570" i="4"/>
  <c r="D570" i="4"/>
  <c r="C570" i="4"/>
  <c r="E569" i="4"/>
  <c r="D569" i="4"/>
  <c r="C569" i="4"/>
  <c r="E568" i="4"/>
  <c r="D568" i="4"/>
  <c r="C568" i="4"/>
  <c r="E567" i="4"/>
  <c r="D567" i="4"/>
  <c r="C567" i="4"/>
  <c r="E566" i="4"/>
  <c r="D566" i="4"/>
  <c r="C566" i="4"/>
  <c r="E565" i="4"/>
  <c r="D565" i="4"/>
  <c r="C565" i="4"/>
  <c r="E564" i="4"/>
  <c r="D564" i="4"/>
  <c r="C564" i="4"/>
  <c r="E563" i="4"/>
  <c r="D563" i="4"/>
  <c r="C563" i="4"/>
  <c r="E562" i="4"/>
  <c r="D562" i="4"/>
  <c r="C562" i="4"/>
  <c r="E561" i="4"/>
  <c r="D561" i="4"/>
  <c r="C561" i="4"/>
  <c r="E560" i="4"/>
  <c r="D560" i="4"/>
  <c r="C560" i="4"/>
  <c r="E559" i="4"/>
  <c r="D559" i="4"/>
  <c r="C559" i="4"/>
  <c r="E558" i="4"/>
  <c r="D558" i="4"/>
  <c r="C558" i="4"/>
  <c r="E557" i="4"/>
  <c r="D557" i="4"/>
  <c r="C557" i="4"/>
  <c r="E556" i="4"/>
  <c r="D556" i="4"/>
  <c r="C556" i="4"/>
  <c r="E555" i="4"/>
  <c r="D555" i="4"/>
  <c r="C555" i="4"/>
  <c r="E554" i="4"/>
  <c r="D554" i="4"/>
  <c r="C554" i="4"/>
  <c r="E553" i="4"/>
  <c r="D553" i="4"/>
  <c r="C553" i="4"/>
  <c r="E552" i="4"/>
  <c r="D552" i="4"/>
  <c r="C552" i="4"/>
  <c r="E551" i="4"/>
  <c r="D551" i="4"/>
  <c r="C551" i="4"/>
  <c r="E550" i="4"/>
  <c r="D550" i="4"/>
  <c r="C550" i="4"/>
  <c r="E549" i="4"/>
  <c r="D549" i="4"/>
  <c r="C549" i="4"/>
  <c r="E548" i="4"/>
  <c r="D548" i="4"/>
  <c r="C548" i="4"/>
  <c r="E547" i="4"/>
  <c r="D547" i="4"/>
  <c r="C547" i="4"/>
  <c r="E546" i="4"/>
  <c r="D546" i="4"/>
  <c r="C546" i="4"/>
  <c r="E545" i="4"/>
  <c r="D545" i="4"/>
  <c r="C545" i="4"/>
  <c r="E544" i="4"/>
  <c r="D544" i="4"/>
  <c r="C544" i="4"/>
  <c r="E543" i="4"/>
  <c r="D543" i="4"/>
  <c r="C543" i="4"/>
  <c r="E542" i="4"/>
  <c r="D542" i="4"/>
  <c r="C542" i="4"/>
  <c r="E541" i="4"/>
  <c r="D541" i="4"/>
  <c r="C541" i="4"/>
  <c r="E540" i="4"/>
  <c r="D540" i="4"/>
  <c r="C540" i="4"/>
  <c r="E539" i="4"/>
  <c r="D539" i="4"/>
  <c r="C539" i="4"/>
  <c r="E538" i="4"/>
  <c r="D538" i="4"/>
  <c r="C538" i="4"/>
  <c r="E537" i="4"/>
  <c r="D537" i="4"/>
  <c r="C537" i="4"/>
  <c r="E536" i="4"/>
  <c r="D536" i="4"/>
  <c r="C536" i="4"/>
  <c r="E535" i="4"/>
  <c r="D535" i="4"/>
  <c r="C535" i="4"/>
  <c r="E534" i="4"/>
  <c r="D534" i="4"/>
  <c r="C534" i="4"/>
  <c r="E533" i="4"/>
  <c r="D533" i="4"/>
  <c r="C533" i="4"/>
  <c r="E532" i="4"/>
  <c r="D532" i="4"/>
  <c r="C532" i="4"/>
  <c r="E531" i="4"/>
  <c r="D531" i="4"/>
  <c r="C531" i="4"/>
  <c r="E530" i="4"/>
  <c r="D530" i="4"/>
  <c r="C530" i="4"/>
  <c r="E529" i="4"/>
  <c r="D529" i="4"/>
  <c r="C529" i="4"/>
  <c r="E528" i="4"/>
  <c r="D528" i="4"/>
  <c r="C528" i="4"/>
  <c r="E527" i="4"/>
  <c r="D527" i="4"/>
  <c r="C527" i="4"/>
  <c r="E526" i="4"/>
  <c r="D526" i="4"/>
  <c r="C526" i="4"/>
  <c r="E525" i="4"/>
  <c r="D525" i="4"/>
  <c r="C525" i="4"/>
  <c r="E524" i="4"/>
  <c r="D524" i="4"/>
  <c r="C524" i="4"/>
  <c r="E523" i="4"/>
  <c r="D523" i="4"/>
  <c r="C523" i="4"/>
  <c r="E522" i="4"/>
  <c r="D522" i="4"/>
  <c r="C522" i="4"/>
  <c r="E521" i="4"/>
  <c r="D521" i="4"/>
  <c r="C521" i="4"/>
  <c r="E520" i="4"/>
  <c r="D520" i="4"/>
  <c r="C520" i="4"/>
  <c r="E519" i="4"/>
  <c r="D519" i="4"/>
  <c r="C519" i="4"/>
  <c r="E518" i="4"/>
  <c r="D518" i="4"/>
  <c r="C518" i="4"/>
  <c r="E517" i="4"/>
  <c r="D517" i="4"/>
  <c r="C517" i="4"/>
  <c r="E516" i="4"/>
  <c r="D516" i="4"/>
  <c r="C516" i="4"/>
  <c r="E515" i="4"/>
  <c r="D515" i="4"/>
  <c r="C515" i="4"/>
  <c r="E514" i="4"/>
  <c r="D514" i="4"/>
  <c r="C514" i="4"/>
  <c r="E513" i="4"/>
  <c r="D513" i="4"/>
  <c r="C513" i="4"/>
  <c r="E512" i="4"/>
  <c r="D512" i="4"/>
  <c r="C512" i="4"/>
  <c r="E511" i="4"/>
  <c r="D511" i="4"/>
  <c r="C511" i="4"/>
  <c r="E510" i="4"/>
  <c r="D510" i="4"/>
  <c r="C510" i="4"/>
  <c r="E509" i="4"/>
  <c r="D509" i="4"/>
  <c r="C509" i="4"/>
  <c r="E508" i="4"/>
  <c r="D508" i="4"/>
  <c r="C508" i="4"/>
  <c r="E507" i="4"/>
  <c r="D507" i="4"/>
  <c r="C507" i="4"/>
  <c r="E506" i="4"/>
  <c r="D506" i="4"/>
  <c r="C506" i="4"/>
  <c r="E505" i="4"/>
  <c r="D505" i="4"/>
  <c r="C505" i="4"/>
  <c r="E504" i="4"/>
  <c r="D504" i="4"/>
  <c r="C504" i="4"/>
  <c r="E503" i="4"/>
  <c r="D503" i="4"/>
  <c r="C503" i="4"/>
  <c r="E502" i="4"/>
  <c r="D502" i="4"/>
  <c r="C502" i="4"/>
  <c r="E501" i="4"/>
  <c r="D501" i="4"/>
  <c r="C501" i="4"/>
  <c r="E500" i="4"/>
  <c r="D500" i="4"/>
  <c r="C500" i="4"/>
  <c r="E499" i="4"/>
  <c r="D499" i="4"/>
  <c r="C499" i="4"/>
  <c r="E498" i="4"/>
  <c r="D498" i="4"/>
  <c r="C498" i="4"/>
  <c r="E497" i="4"/>
  <c r="D497" i="4"/>
  <c r="C497" i="4"/>
  <c r="E496" i="4"/>
  <c r="D496" i="4"/>
  <c r="C496" i="4"/>
  <c r="E495" i="4"/>
  <c r="D495" i="4"/>
  <c r="C495" i="4"/>
  <c r="E494" i="4"/>
  <c r="D494" i="4"/>
  <c r="C494" i="4"/>
  <c r="E493" i="4"/>
  <c r="D493" i="4"/>
  <c r="C493" i="4"/>
  <c r="E492" i="4"/>
  <c r="D492" i="4"/>
  <c r="C492" i="4"/>
  <c r="E491" i="4"/>
  <c r="D491" i="4"/>
  <c r="C491" i="4"/>
  <c r="E490" i="4"/>
  <c r="D490" i="4"/>
  <c r="C490" i="4"/>
  <c r="E489" i="4"/>
  <c r="D489" i="4"/>
  <c r="C489" i="4"/>
  <c r="E488" i="4"/>
  <c r="D488" i="4"/>
  <c r="C488" i="4"/>
  <c r="E487" i="4"/>
  <c r="D487" i="4"/>
  <c r="C487" i="4"/>
  <c r="E486" i="4"/>
  <c r="D486" i="4"/>
  <c r="C486" i="4"/>
  <c r="E485" i="4"/>
  <c r="D485" i="4"/>
  <c r="C485" i="4"/>
  <c r="E484" i="4"/>
  <c r="D484" i="4"/>
  <c r="C484" i="4"/>
  <c r="E483" i="4"/>
  <c r="D483" i="4"/>
  <c r="C483" i="4"/>
  <c r="E482" i="4"/>
  <c r="D482" i="4"/>
  <c r="C482" i="4"/>
  <c r="E481" i="4"/>
  <c r="D481" i="4"/>
  <c r="C481" i="4"/>
  <c r="E480" i="4"/>
  <c r="D480" i="4"/>
  <c r="C480" i="4"/>
  <c r="E479" i="4"/>
  <c r="D479" i="4"/>
  <c r="C479" i="4"/>
  <c r="E478" i="4"/>
  <c r="D478" i="4"/>
  <c r="C478" i="4"/>
  <c r="E477" i="4"/>
  <c r="D477" i="4"/>
  <c r="C477" i="4"/>
  <c r="E476" i="4"/>
  <c r="D476" i="4"/>
  <c r="C476" i="4"/>
  <c r="E475" i="4"/>
  <c r="D475" i="4"/>
  <c r="C475" i="4"/>
  <c r="E474" i="4"/>
  <c r="D474" i="4"/>
  <c r="C474" i="4"/>
  <c r="E473" i="4"/>
  <c r="D473" i="4"/>
  <c r="C473" i="4"/>
  <c r="E472" i="4"/>
  <c r="D472" i="4"/>
  <c r="C472" i="4"/>
  <c r="E471" i="4"/>
  <c r="D471" i="4"/>
  <c r="C471" i="4"/>
  <c r="E470" i="4"/>
  <c r="D470" i="4"/>
  <c r="C470" i="4"/>
  <c r="E469" i="4"/>
  <c r="D469" i="4"/>
  <c r="C469" i="4"/>
  <c r="E468" i="4"/>
  <c r="D468" i="4"/>
  <c r="C468" i="4"/>
  <c r="E467" i="4"/>
  <c r="D467" i="4"/>
  <c r="C467" i="4"/>
  <c r="E466" i="4"/>
  <c r="D466" i="4"/>
  <c r="C466" i="4"/>
  <c r="E465" i="4"/>
  <c r="D465" i="4"/>
  <c r="C465" i="4"/>
  <c r="E464" i="4"/>
  <c r="D464" i="4"/>
  <c r="C464" i="4"/>
  <c r="E463" i="4"/>
  <c r="D463" i="4"/>
  <c r="C463" i="4"/>
  <c r="E462" i="4"/>
  <c r="D462" i="4"/>
  <c r="C462" i="4"/>
  <c r="E461" i="4"/>
  <c r="D461" i="4"/>
  <c r="C461" i="4"/>
  <c r="E460" i="4"/>
  <c r="D460" i="4"/>
  <c r="C460" i="4"/>
  <c r="E459" i="4"/>
  <c r="D459" i="4"/>
  <c r="C459" i="4"/>
  <c r="E458" i="4"/>
  <c r="D458" i="4"/>
  <c r="C458" i="4"/>
  <c r="E457" i="4"/>
  <c r="D457" i="4"/>
  <c r="C457" i="4"/>
  <c r="E456" i="4"/>
  <c r="D456" i="4"/>
  <c r="C456" i="4"/>
  <c r="E455" i="4"/>
  <c r="D455" i="4"/>
  <c r="C455" i="4"/>
  <c r="E454" i="4"/>
  <c r="D454" i="4"/>
  <c r="C454" i="4"/>
  <c r="E453" i="4"/>
  <c r="D453" i="4"/>
  <c r="C453" i="4"/>
  <c r="E452" i="4"/>
  <c r="D452" i="4"/>
  <c r="C452" i="4"/>
  <c r="E451" i="4"/>
  <c r="D451" i="4"/>
  <c r="C451" i="4"/>
  <c r="E450" i="4"/>
  <c r="D450" i="4"/>
  <c r="C450" i="4"/>
  <c r="E449" i="4"/>
  <c r="D449" i="4"/>
  <c r="C449" i="4"/>
  <c r="E448" i="4"/>
  <c r="D448" i="4"/>
  <c r="C448" i="4"/>
  <c r="E447" i="4"/>
  <c r="D447" i="4"/>
  <c r="C447" i="4"/>
  <c r="E446" i="4"/>
  <c r="D446" i="4"/>
  <c r="C446" i="4"/>
  <c r="E445" i="4"/>
  <c r="D445" i="4"/>
  <c r="C445" i="4"/>
  <c r="E444" i="4"/>
  <c r="D444" i="4"/>
  <c r="C444" i="4"/>
  <c r="E443" i="4"/>
  <c r="D443" i="4"/>
  <c r="C443" i="4"/>
  <c r="E442" i="4"/>
  <c r="D442" i="4"/>
  <c r="C442" i="4"/>
  <c r="E441" i="4"/>
  <c r="D441" i="4"/>
  <c r="C441" i="4"/>
  <c r="E440" i="4"/>
  <c r="D440" i="4"/>
  <c r="C440" i="4"/>
  <c r="E439" i="4"/>
  <c r="D439" i="4"/>
  <c r="C439" i="4"/>
  <c r="E438" i="4"/>
  <c r="D438" i="4"/>
  <c r="C438" i="4"/>
  <c r="E437" i="4"/>
  <c r="D437" i="4"/>
  <c r="C437" i="4"/>
  <c r="E436" i="4"/>
  <c r="D436" i="4"/>
  <c r="C436" i="4"/>
  <c r="E435" i="4"/>
  <c r="D435" i="4"/>
  <c r="C435" i="4"/>
  <c r="E434" i="4"/>
  <c r="D434" i="4"/>
  <c r="C434" i="4"/>
  <c r="E433" i="4"/>
  <c r="D433" i="4"/>
  <c r="C433" i="4"/>
  <c r="E432" i="4"/>
  <c r="D432" i="4"/>
  <c r="C432" i="4"/>
  <c r="E431" i="4"/>
  <c r="D431" i="4"/>
  <c r="C431" i="4"/>
  <c r="E430" i="4"/>
  <c r="D430" i="4"/>
  <c r="C430" i="4"/>
  <c r="E429" i="4"/>
  <c r="D429" i="4"/>
  <c r="C429" i="4"/>
  <c r="E428" i="4"/>
  <c r="D428" i="4"/>
  <c r="C428" i="4"/>
  <c r="E427" i="4"/>
  <c r="D427" i="4"/>
  <c r="C427" i="4"/>
  <c r="E426" i="4"/>
  <c r="D426" i="4"/>
  <c r="C426" i="4"/>
  <c r="E425" i="4"/>
  <c r="D425" i="4"/>
  <c r="C425" i="4"/>
  <c r="E424" i="4"/>
  <c r="D424" i="4"/>
  <c r="C424" i="4"/>
  <c r="E423" i="4"/>
  <c r="D423" i="4"/>
  <c r="C423" i="4"/>
  <c r="E422" i="4"/>
  <c r="D422" i="4"/>
  <c r="C422" i="4"/>
  <c r="E421" i="4"/>
  <c r="D421" i="4"/>
  <c r="C421" i="4"/>
  <c r="E420" i="4"/>
  <c r="D420" i="4"/>
  <c r="C420" i="4"/>
  <c r="E419" i="4"/>
  <c r="D419" i="4"/>
  <c r="C419" i="4"/>
  <c r="E418" i="4"/>
  <c r="D418" i="4"/>
  <c r="C418" i="4"/>
  <c r="E417" i="4"/>
  <c r="D417" i="4"/>
  <c r="C417" i="4"/>
  <c r="E416" i="4"/>
  <c r="D416" i="4"/>
  <c r="C416" i="4"/>
  <c r="E415" i="4"/>
  <c r="D415" i="4"/>
  <c r="C415" i="4"/>
  <c r="E414" i="4"/>
  <c r="D414" i="4"/>
  <c r="C414" i="4"/>
  <c r="E413" i="4"/>
  <c r="D413" i="4"/>
  <c r="C413" i="4"/>
  <c r="E412" i="4"/>
  <c r="D412" i="4"/>
  <c r="C412" i="4"/>
  <c r="E411" i="4"/>
  <c r="D411" i="4"/>
  <c r="C411" i="4"/>
  <c r="E410" i="4"/>
  <c r="D410" i="4"/>
  <c r="C410" i="4"/>
  <c r="E409" i="4"/>
  <c r="D409" i="4"/>
  <c r="C409" i="4"/>
  <c r="E408" i="4"/>
  <c r="D408" i="4"/>
  <c r="C408" i="4"/>
  <c r="E407" i="4"/>
  <c r="D407" i="4"/>
  <c r="C407" i="4"/>
  <c r="E406" i="4"/>
  <c r="D406" i="4"/>
  <c r="C406" i="4"/>
  <c r="E405" i="4"/>
  <c r="D405" i="4"/>
  <c r="C405" i="4"/>
  <c r="E404" i="4"/>
  <c r="D404" i="4"/>
  <c r="C404" i="4"/>
  <c r="E403" i="4"/>
  <c r="D403" i="4"/>
  <c r="C403" i="4"/>
  <c r="E402" i="4"/>
  <c r="D402" i="4"/>
  <c r="C402" i="4"/>
  <c r="E401" i="4"/>
  <c r="D401" i="4"/>
  <c r="C401" i="4"/>
  <c r="E400" i="4"/>
  <c r="D400" i="4"/>
  <c r="C400" i="4"/>
  <c r="E399" i="4"/>
  <c r="D399" i="4"/>
  <c r="C399" i="4"/>
  <c r="E398" i="4"/>
  <c r="D398" i="4"/>
  <c r="C398" i="4"/>
  <c r="E397" i="4"/>
  <c r="D397" i="4"/>
  <c r="C397" i="4"/>
  <c r="E396" i="4"/>
  <c r="D396" i="4"/>
  <c r="C396" i="4"/>
  <c r="E395" i="4"/>
  <c r="D395" i="4"/>
  <c r="C395" i="4"/>
  <c r="E394" i="4"/>
  <c r="D394" i="4"/>
  <c r="C394" i="4"/>
  <c r="E393" i="4"/>
  <c r="D393" i="4"/>
  <c r="C393" i="4"/>
  <c r="E392" i="4"/>
  <c r="D392" i="4"/>
  <c r="C392" i="4"/>
  <c r="E391" i="4"/>
  <c r="D391" i="4"/>
  <c r="C391" i="4"/>
  <c r="E390" i="4"/>
  <c r="D390" i="4"/>
  <c r="C390" i="4"/>
  <c r="E389" i="4"/>
  <c r="D389" i="4"/>
  <c r="C389" i="4"/>
  <c r="E388" i="4"/>
  <c r="D388" i="4"/>
  <c r="C388" i="4"/>
  <c r="E387" i="4"/>
  <c r="D387" i="4"/>
  <c r="C387" i="4"/>
  <c r="E386" i="4"/>
  <c r="D386" i="4"/>
  <c r="C386" i="4"/>
  <c r="E385" i="4"/>
  <c r="D385" i="4"/>
  <c r="C385" i="4"/>
  <c r="E384" i="4"/>
  <c r="D384" i="4"/>
  <c r="C384" i="4"/>
  <c r="E383" i="4"/>
  <c r="D383" i="4"/>
  <c r="C383" i="4"/>
  <c r="E382" i="4"/>
  <c r="D382" i="4"/>
  <c r="C382" i="4"/>
  <c r="E381" i="4"/>
  <c r="D381" i="4"/>
  <c r="C381" i="4"/>
  <c r="E380" i="4"/>
  <c r="D380" i="4"/>
  <c r="C380" i="4"/>
  <c r="E379" i="4"/>
  <c r="D379" i="4"/>
  <c r="C379" i="4"/>
  <c r="E378" i="4"/>
  <c r="D378" i="4"/>
  <c r="C378" i="4"/>
  <c r="E377" i="4"/>
  <c r="D377" i="4"/>
  <c r="C377" i="4"/>
  <c r="E376" i="4"/>
  <c r="D376" i="4"/>
  <c r="C376" i="4"/>
  <c r="E375" i="4"/>
  <c r="D375" i="4"/>
  <c r="C375" i="4"/>
  <c r="E374" i="4"/>
  <c r="D374" i="4"/>
  <c r="C374" i="4"/>
  <c r="E373" i="4"/>
  <c r="D373" i="4"/>
  <c r="C373" i="4"/>
  <c r="E372" i="4"/>
  <c r="D372" i="4"/>
  <c r="C372" i="4"/>
  <c r="E371" i="4"/>
  <c r="D371" i="4"/>
  <c r="C371" i="4"/>
  <c r="E370" i="4"/>
  <c r="D370" i="4"/>
  <c r="C370" i="4"/>
  <c r="E369" i="4"/>
  <c r="D369" i="4"/>
  <c r="C369" i="4"/>
  <c r="E368" i="4"/>
  <c r="D368" i="4"/>
  <c r="C368" i="4"/>
  <c r="E367" i="4"/>
  <c r="D367" i="4"/>
  <c r="C367" i="4"/>
  <c r="E366" i="4"/>
  <c r="D366" i="4"/>
  <c r="C366" i="4"/>
  <c r="E365" i="4"/>
  <c r="D365" i="4"/>
  <c r="C365" i="4"/>
  <c r="E364" i="4"/>
  <c r="D364" i="4"/>
  <c r="C364" i="4"/>
  <c r="E363" i="4"/>
  <c r="D363" i="4"/>
  <c r="C363" i="4"/>
  <c r="E362" i="4"/>
  <c r="D362" i="4"/>
  <c r="C362" i="4"/>
  <c r="E361" i="4"/>
  <c r="D361" i="4"/>
  <c r="C361" i="4"/>
  <c r="E360" i="4"/>
  <c r="D360" i="4"/>
  <c r="C360" i="4"/>
  <c r="E359" i="4"/>
  <c r="D359" i="4"/>
  <c r="C359" i="4"/>
  <c r="E358" i="4"/>
  <c r="D358" i="4"/>
  <c r="C358" i="4"/>
  <c r="E357" i="4"/>
  <c r="D357" i="4"/>
  <c r="C357" i="4"/>
  <c r="E356" i="4"/>
  <c r="D356" i="4"/>
  <c r="C356" i="4"/>
  <c r="E355" i="4"/>
  <c r="D355" i="4"/>
  <c r="C355" i="4"/>
  <c r="E354" i="4"/>
  <c r="D354" i="4"/>
  <c r="C354" i="4"/>
  <c r="E353" i="4"/>
  <c r="D353" i="4"/>
  <c r="C353" i="4"/>
  <c r="E352" i="4"/>
  <c r="D352" i="4"/>
  <c r="C352" i="4"/>
  <c r="E351" i="4"/>
  <c r="D351" i="4"/>
  <c r="C351" i="4"/>
  <c r="E350" i="4"/>
  <c r="D350" i="4"/>
  <c r="C350" i="4"/>
  <c r="E349" i="4"/>
  <c r="D349" i="4"/>
  <c r="C349" i="4"/>
  <c r="E348" i="4"/>
  <c r="D348" i="4"/>
  <c r="C348" i="4"/>
  <c r="E347" i="4"/>
  <c r="D347" i="4"/>
  <c r="C347" i="4"/>
  <c r="E346" i="4"/>
  <c r="D346" i="4"/>
  <c r="C346" i="4"/>
  <c r="E345" i="4"/>
  <c r="D345" i="4"/>
  <c r="C345" i="4"/>
  <c r="E344" i="4"/>
  <c r="D344" i="4"/>
  <c r="C344" i="4"/>
  <c r="E343" i="4"/>
  <c r="D343" i="4"/>
  <c r="C343" i="4"/>
  <c r="E342" i="4"/>
  <c r="D342" i="4"/>
  <c r="C342" i="4"/>
  <c r="E341" i="4"/>
  <c r="D341" i="4"/>
  <c r="C341" i="4"/>
  <c r="E340" i="4"/>
  <c r="D340" i="4"/>
  <c r="C340" i="4"/>
  <c r="E339" i="4"/>
  <c r="D339" i="4"/>
  <c r="C339" i="4"/>
  <c r="E338" i="4"/>
  <c r="D338" i="4"/>
  <c r="C338" i="4"/>
  <c r="E337" i="4"/>
  <c r="D337" i="4"/>
  <c r="C337" i="4"/>
  <c r="E336" i="4"/>
  <c r="D336" i="4"/>
  <c r="C336" i="4"/>
  <c r="E335" i="4"/>
  <c r="D335" i="4"/>
  <c r="C335" i="4"/>
  <c r="E334" i="4"/>
  <c r="D334" i="4"/>
  <c r="C334" i="4"/>
  <c r="E333" i="4"/>
  <c r="D333" i="4"/>
  <c r="C333" i="4"/>
  <c r="E332" i="4"/>
  <c r="D332" i="4"/>
  <c r="C332" i="4"/>
  <c r="E331" i="4"/>
  <c r="D331" i="4"/>
  <c r="C331" i="4"/>
  <c r="E330" i="4"/>
  <c r="D330" i="4"/>
  <c r="C330" i="4"/>
  <c r="E329" i="4"/>
  <c r="D329" i="4"/>
  <c r="C329" i="4"/>
  <c r="E328" i="4"/>
  <c r="D328" i="4"/>
  <c r="C328" i="4"/>
  <c r="E327" i="4"/>
  <c r="D327" i="4"/>
  <c r="C327" i="4"/>
  <c r="E326" i="4"/>
  <c r="D326" i="4"/>
  <c r="C326" i="4"/>
  <c r="E325" i="4"/>
  <c r="D325" i="4"/>
  <c r="C325" i="4"/>
  <c r="E324" i="4"/>
  <c r="D324" i="4"/>
  <c r="C324" i="4"/>
  <c r="E323" i="4"/>
  <c r="D323" i="4"/>
  <c r="C323" i="4"/>
  <c r="E322" i="4"/>
  <c r="D322" i="4"/>
  <c r="C322" i="4"/>
  <c r="E321" i="4"/>
  <c r="D321" i="4"/>
  <c r="C321" i="4"/>
  <c r="E320" i="4"/>
  <c r="D320" i="4"/>
  <c r="C320" i="4"/>
  <c r="E319" i="4"/>
  <c r="D319" i="4"/>
  <c r="C319" i="4"/>
  <c r="E318" i="4"/>
  <c r="D318" i="4"/>
  <c r="C318" i="4"/>
  <c r="E317" i="4"/>
  <c r="D317" i="4"/>
  <c r="C317" i="4"/>
  <c r="E316" i="4"/>
  <c r="D316" i="4"/>
  <c r="C316" i="4"/>
  <c r="E315" i="4"/>
  <c r="D315" i="4"/>
  <c r="C315" i="4"/>
  <c r="E314" i="4"/>
  <c r="D314" i="4"/>
  <c r="C314" i="4"/>
  <c r="E313" i="4"/>
  <c r="D313" i="4"/>
  <c r="C313" i="4"/>
  <c r="E312" i="4"/>
  <c r="D312" i="4"/>
  <c r="C312" i="4"/>
  <c r="E311" i="4"/>
  <c r="D311" i="4"/>
  <c r="C311" i="4"/>
  <c r="E310" i="4"/>
  <c r="D310" i="4"/>
  <c r="C310" i="4"/>
  <c r="E309" i="4"/>
  <c r="D309" i="4"/>
  <c r="C309" i="4"/>
  <c r="E308" i="4"/>
  <c r="D308" i="4"/>
  <c r="C308" i="4"/>
  <c r="E307" i="4"/>
  <c r="D307" i="4"/>
  <c r="C307" i="4"/>
  <c r="E306" i="4"/>
  <c r="D306" i="4"/>
  <c r="C306" i="4"/>
  <c r="E305" i="4"/>
  <c r="D305" i="4"/>
  <c r="C305" i="4"/>
  <c r="E304" i="4"/>
  <c r="D304" i="4"/>
  <c r="C304" i="4"/>
  <c r="E303" i="4"/>
  <c r="D303" i="4"/>
  <c r="C303" i="4"/>
  <c r="E302" i="4"/>
  <c r="D302" i="4"/>
  <c r="C302" i="4"/>
  <c r="E301" i="4"/>
  <c r="D301" i="4"/>
  <c r="C301" i="4"/>
  <c r="E300" i="4"/>
  <c r="D300" i="4"/>
  <c r="C300" i="4"/>
  <c r="E299" i="4"/>
  <c r="D299" i="4"/>
  <c r="C299" i="4"/>
  <c r="E298" i="4"/>
  <c r="D298" i="4"/>
  <c r="C298" i="4"/>
  <c r="E297" i="4"/>
  <c r="D297" i="4"/>
  <c r="C297" i="4"/>
  <c r="E296" i="4"/>
  <c r="D296" i="4"/>
  <c r="C296" i="4"/>
  <c r="E295" i="4"/>
  <c r="D295" i="4"/>
  <c r="C295" i="4"/>
  <c r="E294" i="4"/>
  <c r="D294" i="4"/>
  <c r="C294" i="4"/>
  <c r="E293" i="4"/>
  <c r="D293" i="4"/>
  <c r="C293" i="4"/>
  <c r="E292" i="4"/>
  <c r="D292" i="4"/>
  <c r="C292" i="4"/>
  <c r="E291" i="4"/>
  <c r="D291" i="4"/>
  <c r="C291" i="4"/>
  <c r="E290" i="4"/>
  <c r="D290" i="4"/>
  <c r="C290" i="4"/>
  <c r="E289" i="4"/>
  <c r="D289" i="4"/>
  <c r="C289" i="4"/>
  <c r="E288" i="4"/>
  <c r="D288" i="4"/>
  <c r="C288" i="4"/>
  <c r="E287" i="4"/>
  <c r="D287" i="4"/>
  <c r="C287" i="4"/>
  <c r="E286" i="4"/>
  <c r="D286" i="4"/>
  <c r="C286" i="4"/>
  <c r="E285" i="4"/>
  <c r="D285" i="4"/>
  <c r="C285" i="4"/>
  <c r="E284" i="4"/>
  <c r="D284" i="4"/>
  <c r="C284" i="4"/>
  <c r="E283" i="4"/>
  <c r="D283" i="4"/>
  <c r="C283" i="4"/>
  <c r="E282" i="4"/>
  <c r="D282" i="4"/>
  <c r="C282" i="4"/>
  <c r="E281" i="4"/>
  <c r="D281" i="4"/>
  <c r="C281" i="4"/>
  <c r="E280" i="4"/>
  <c r="D280" i="4"/>
  <c r="C280" i="4"/>
  <c r="E279" i="4"/>
  <c r="D279" i="4"/>
  <c r="C279" i="4"/>
  <c r="E278" i="4"/>
  <c r="D278" i="4"/>
  <c r="C278" i="4"/>
  <c r="E277" i="4"/>
  <c r="D277" i="4"/>
  <c r="C277" i="4"/>
  <c r="E276" i="4"/>
  <c r="D276" i="4"/>
  <c r="C276" i="4"/>
  <c r="E275" i="4"/>
  <c r="D275" i="4"/>
  <c r="C275" i="4"/>
  <c r="E274" i="4"/>
  <c r="D274" i="4"/>
  <c r="C274" i="4"/>
  <c r="E273" i="4"/>
  <c r="D273" i="4"/>
  <c r="C273" i="4"/>
  <c r="E272" i="4"/>
  <c r="D272" i="4"/>
  <c r="C272" i="4"/>
  <c r="E271" i="4"/>
  <c r="D271" i="4"/>
  <c r="C271" i="4"/>
  <c r="E270" i="4"/>
  <c r="D270" i="4"/>
  <c r="C270" i="4"/>
  <c r="E269" i="4"/>
  <c r="D269" i="4"/>
  <c r="C269" i="4"/>
  <c r="E268" i="4"/>
  <c r="D268" i="4"/>
  <c r="C268" i="4"/>
  <c r="E267" i="4"/>
  <c r="D267" i="4"/>
  <c r="C267" i="4"/>
  <c r="E266" i="4"/>
  <c r="D266" i="4"/>
  <c r="C266" i="4"/>
  <c r="E265" i="4"/>
  <c r="D265" i="4"/>
  <c r="C265" i="4"/>
  <c r="E264" i="4"/>
  <c r="D264" i="4"/>
  <c r="C264" i="4"/>
  <c r="E263" i="4"/>
  <c r="D263" i="4"/>
  <c r="C263" i="4"/>
  <c r="E262" i="4"/>
  <c r="D262" i="4"/>
  <c r="C262" i="4"/>
  <c r="E261" i="4"/>
  <c r="D261" i="4"/>
  <c r="C261" i="4"/>
  <c r="E260" i="4"/>
  <c r="D260" i="4"/>
  <c r="C260" i="4"/>
  <c r="E259" i="4"/>
  <c r="D259" i="4"/>
  <c r="C259" i="4"/>
  <c r="E258" i="4"/>
  <c r="D258" i="4"/>
  <c r="C258" i="4"/>
  <c r="E257" i="4"/>
  <c r="D257" i="4"/>
  <c r="C257" i="4"/>
  <c r="E256" i="4"/>
  <c r="D256" i="4"/>
  <c r="C256" i="4"/>
  <c r="E255" i="4"/>
  <c r="D255" i="4"/>
  <c r="C255" i="4"/>
  <c r="E254" i="4"/>
  <c r="D254" i="4"/>
  <c r="C254" i="4"/>
  <c r="E253" i="4"/>
  <c r="D253" i="4"/>
  <c r="C253" i="4"/>
  <c r="E252" i="4"/>
  <c r="D252" i="4"/>
  <c r="C252" i="4"/>
  <c r="E251" i="4"/>
  <c r="D251" i="4"/>
  <c r="C251" i="4"/>
  <c r="E250" i="4"/>
  <c r="D250" i="4"/>
  <c r="C250" i="4"/>
  <c r="E249" i="4"/>
  <c r="D249" i="4"/>
  <c r="C249" i="4"/>
  <c r="E248" i="4"/>
  <c r="D248" i="4"/>
  <c r="C248" i="4"/>
  <c r="E247" i="4"/>
  <c r="D247" i="4"/>
  <c r="C247" i="4"/>
  <c r="E246" i="4"/>
  <c r="D246" i="4"/>
  <c r="C246" i="4"/>
  <c r="E245" i="4"/>
  <c r="D245" i="4"/>
  <c r="C245" i="4"/>
  <c r="E244" i="4"/>
  <c r="D244" i="4"/>
  <c r="C244" i="4"/>
  <c r="E243" i="4"/>
  <c r="D243" i="4"/>
  <c r="C243" i="4"/>
  <c r="E242" i="4"/>
  <c r="D242" i="4"/>
  <c r="C242" i="4"/>
  <c r="E241" i="4"/>
  <c r="D241" i="4"/>
  <c r="C241" i="4"/>
  <c r="E240" i="4"/>
  <c r="D240" i="4"/>
  <c r="C240" i="4"/>
  <c r="E239" i="4"/>
  <c r="D239" i="4"/>
  <c r="C239" i="4"/>
  <c r="E238" i="4"/>
  <c r="D238" i="4"/>
  <c r="C238" i="4"/>
  <c r="E237" i="4"/>
  <c r="D237" i="4"/>
  <c r="C237" i="4"/>
  <c r="E236" i="4"/>
  <c r="D236" i="4"/>
  <c r="C236" i="4"/>
  <c r="E235" i="4"/>
  <c r="D235" i="4"/>
  <c r="C235" i="4"/>
  <c r="E234" i="4"/>
  <c r="D234" i="4"/>
  <c r="C234" i="4"/>
  <c r="E233" i="4"/>
  <c r="D233" i="4"/>
  <c r="C233" i="4"/>
  <c r="E232" i="4"/>
  <c r="D232" i="4"/>
  <c r="C232" i="4"/>
  <c r="E231" i="4"/>
  <c r="D231" i="4"/>
  <c r="C231" i="4"/>
  <c r="E230" i="4"/>
  <c r="D230" i="4"/>
  <c r="C230" i="4"/>
  <c r="E229" i="4"/>
  <c r="D229" i="4"/>
  <c r="C229" i="4"/>
  <c r="E228" i="4"/>
  <c r="D228" i="4"/>
  <c r="C228" i="4"/>
  <c r="E227" i="4"/>
  <c r="D227" i="4"/>
  <c r="C227" i="4"/>
  <c r="E226" i="4"/>
  <c r="D226" i="4"/>
  <c r="C226" i="4"/>
  <c r="E225" i="4"/>
  <c r="D225" i="4"/>
  <c r="C225" i="4"/>
  <c r="E224" i="4"/>
  <c r="D224" i="4"/>
  <c r="C224" i="4"/>
  <c r="E223" i="4"/>
  <c r="D223" i="4"/>
  <c r="C223" i="4"/>
  <c r="E222" i="4"/>
  <c r="D222" i="4"/>
  <c r="C222" i="4"/>
  <c r="E221" i="4"/>
  <c r="D221" i="4"/>
  <c r="C221" i="4"/>
  <c r="E220" i="4"/>
  <c r="D220" i="4"/>
  <c r="C220" i="4"/>
  <c r="E219" i="4"/>
  <c r="D219" i="4"/>
  <c r="C219" i="4"/>
  <c r="E218" i="4"/>
  <c r="D218" i="4"/>
  <c r="C218" i="4"/>
  <c r="E217" i="4"/>
  <c r="D217" i="4"/>
  <c r="C217" i="4"/>
  <c r="E216" i="4"/>
  <c r="D216" i="4"/>
  <c r="C216" i="4"/>
  <c r="E215" i="4"/>
  <c r="D215" i="4"/>
  <c r="C215" i="4"/>
  <c r="E214" i="4"/>
  <c r="D214" i="4"/>
  <c r="C214" i="4"/>
  <c r="E213" i="4"/>
  <c r="D213" i="4"/>
  <c r="C213" i="4"/>
  <c r="E212" i="4"/>
  <c r="D212" i="4"/>
  <c r="C212" i="4"/>
  <c r="E211" i="4"/>
  <c r="D211" i="4"/>
  <c r="C211" i="4"/>
  <c r="E210" i="4"/>
  <c r="D210" i="4"/>
  <c r="C210" i="4"/>
  <c r="E209" i="4"/>
  <c r="D209" i="4"/>
  <c r="C209" i="4"/>
  <c r="E208" i="4"/>
  <c r="D208" i="4"/>
  <c r="C208" i="4"/>
  <c r="E207" i="4"/>
  <c r="D207" i="4"/>
  <c r="C207" i="4"/>
  <c r="E206" i="4"/>
  <c r="D206" i="4"/>
  <c r="C206" i="4"/>
  <c r="E205" i="4"/>
  <c r="D205" i="4"/>
  <c r="C205" i="4"/>
  <c r="E204" i="4"/>
  <c r="D204" i="4"/>
  <c r="C204" i="4"/>
  <c r="E203" i="4"/>
  <c r="D203" i="4"/>
  <c r="C203" i="4"/>
  <c r="E202" i="4"/>
  <c r="D202" i="4"/>
  <c r="C202" i="4"/>
  <c r="E201" i="4"/>
  <c r="D201" i="4"/>
  <c r="C201" i="4"/>
  <c r="E200" i="4"/>
  <c r="D200" i="4"/>
  <c r="C200" i="4"/>
  <c r="E199" i="4"/>
  <c r="D199" i="4"/>
  <c r="C199" i="4"/>
  <c r="E198" i="4"/>
  <c r="D198" i="4"/>
  <c r="C198" i="4"/>
  <c r="E197" i="4"/>
  <c r="D197" i="4"/>
  <c r="C197" i="4"/>
  <c r="E196" i="4"/>
  <c r="D196" i="4"/>
  <c r="C196" i="4"/>
  <c r="E195" i="4"/>
  <c r="D195" i="4"/>
  <c r="C195" i="4"/>
  <c r="E194" i="4"/>
  <c r="D194" i="4"/>
  <c r="C194" i="4"/>
  <c r="E193" i="4"/>
  <c r="D193" i="4"/>
  <c r="C193" i="4"/>
  <c r="E192" i="4"/>
  <c r="D192" i="4"/>
  <c r="C192" i="4"/>
  <c r="E191" i="4"/>
  <c r="D191" i="4"/>
  <c r="C191" i="4"/>
  <c r="E190" i="4"/>
  <c r="D190" i="4"/>
  <c r="C190" i="4"/>
  <c r="E189" i="4"/>
  <c r="D189" i="4"/>
  <c r="C189" i="4"/>
  <c r="E188" i="4"/>
  <c r="D188" i="4"/>
  <c r="C188" i="4"/>
  <c r="E187" i="4"/>
  <c r="D187" i="4"/>
  <c r="C187" i="4"/>
  <c r="E186" i="4"/>
  <c r="D186" i="4"/>
  <c r="C186" i="4"/>
  <c r="E185" i="4"/>
  <c r="D185" i="4"/>
  <c r="C185" i="4"/>
  <c r="E184" i="4"/>
  <c r="D184" i="4"/>
  <c r="C184" i="4"/>
  <c r="E183" i="4"/>
  <c r="D183" i="4"/>
  <c r="C183" i="4"/>
  <c r="E182" i="4"/>
  <c r="D182" i="4"/>
  <c r="C182" i="4"/>
  <c r="E181" i="4"/>
  <c r="D181" i="4"/>
  <c r="C181" i="4"/>
  <c r="E180" i="4"/>
  <c r="D180" i="4"/>
  <c r="C180" i="4"/>
  <c r="E179" i="4"/>
  <c r="D179" i="4"/>
  <c r="C179" i="4"/>
  <c r="E178" i="4"/>
  <c r="D178" i="4"/>
  <c r="C178" i="4"/>
  <c r="E177" i="4"/>
  <c r="D177" i="4"/>
  <c r="C177" i="4"/>
  <c r="E176" i="4"/>
  <c r="D176" i="4"/>
  <c r="C176" i="4"/>
  <c r="E175" i="4"/>
  <c r="D175" i="4"/>
  <c r="C175" i="4"/>
  <c r="E174" i="4"/>
  <c r="D174" i="4"/>
  <c r="C174" i="4"/>
  <c r="E173" i="4"/>
  <c r="D173" i="4"/>
  <c r="C173" i="4"/>
  <c r="E172" i="4"/>
  <c r="D172" i="4"/>
  <c r="C172" i="4"/>
  <c r="E171" i="4"/>
  <c r="D171" i="4"/>
  <c r="C171" i="4"/>
  <c r="E170" i="4"/>
  <c r="D170" i="4"/>
  <c r="C170" i="4"/>
  <c r="E169" i="4"/>
  <c r="D169" i="4"/>
  <c r="C169" i="4"/>
  <c r="E168" i="4"/>
  <c r="D168" i="4"/>
  <c r="C168" i="4"/>
  <c r="E167" i="4"/>
  <c r="D167" i="4"/>
  <c r="C167" i="4"/>
  <c r="E166" i="4"/>
  <c r="D166" i="4"/>
  <c r="C166" i="4"/>
  <c r="E165" i="4"/>
  <c r="D165" i="4"/>
  <c r="C165" i="4"/>
  <c r="E164" i="4"/>
  <c r="D164" i="4"/>
  <c r="C164" i="4"/>
  <c r="E163" i="4"/>
  <c r="D163" i="4"/>
  <c r="C163" i="4"/>
  <c r="E162" i="4"/>
  <c r="D162" i="4"/>
  <c r="C162" i="4"/>
  <c r="E161" i="4"/>
  <c r="D161" i="4"/>
  <c r="C161" i="4"/>
  <c r="E160" i="4"/>
  <c r="D160" i="4"/>
  <c r="C160" i="4"/>
  <c r="E159" i="4"/>
  <c r="D159" i="4"/>
  <c r="C159" i="4"/>
  <c r="E158" i="4"/>
  <c r="D158" i="4"/>
  <c r="C158" i="4"/>
  <c r="E157" i="4"/>
  <c r="D157" i="4"/>
  <c r="C157" i="4"/>
  <c r="E156" i="4"/>
  <c r="D156" i="4"/>
  <c r="C156" i="4"/>
  <c r="E155" i="4"/>
  <c r="D155" i="4"/>
  <c r="C155" i="4"/>
  <c r="E154" i="4"/>
  <c r="D154" i="4"/>
  <c r="C154" i="4"/>
  <c r="E153" i="4"/>
  <c r="D153" i="4"/>
  <c r="C153" i="4"/>
  <c r="E152" i="4"/>
  <c r="D152" i="4"/>
  <c r="C152" i="4"/>
  <c r="E151" i="4"/>
  <c r="D151" i="4"/>
  <c r="C151" i="4"/>
  <c r="E150" i="4"/>
  <c r="D150" i="4"/>
  <c r="C150" i="4"/>
  <c r="E149" i="4"/>
  <c r="D149" i="4"/>
  <c r="C149" i="4"/>
  <c r="E148" i="4"/>
  <c r="D148" i="4"/>
  <c r="C148" i="4"/>
  <c r="E147" i="4"/>
  <c r="D147" i="4"/>
  <c r="C147" i="4"/>
  <c r="E146" i="4"/>
  <c r="D146" i="4"/>
  <c r="C146" i="4"/>
  <c r="E145" i="4"/>
  <c r="D145" i="4"/>
  <c r="C145" i="4"/>
  <c r="E144" i="4"/>
  <c r="D144" i="4"/>
  <c r="C144" i="4"/>
  <c r="E143" i="4"/>
  <c r="D143" i="4"/>
  <c r="C143" i="4"/>
  <c r="E142" i="4"/>
  <c r="D142" i="4"/>
  <c r="C142" i="4"/>
  <c r="E141" i="4"/>
  <c r="D141" i="4"/>
  <c r="C141" i="4"/>
  <c r="E140" i="4"/>
  <c r="D140" i="4"/>
  <c r="C140" i="4"/>
  <c r="E139" i="4"/>
  <c r="D139" i="4"/>
  <c r="C139" i="4"/>
  <c r="E138" i="4"/>
  <c r="D138" i="4"/>
  <c r="C138" i="4"/>
  <c r="E137" i="4"/>
  <c r="D137" i="4"/>
  <c r="C137" i="4"/>
  <c r="E136" i="4"/>
  <c r="D136" i="4"/>
  <c r="C136" i="4"/>
  <c r="E135" i="4"/>
  <c r="D135" i="4"/>
  <c r="C135" i="4"/>
  <c r="E134" i="4"/>
  <c r="D134" i="4"/>
  <c r="C134" i="4"/>
  <c r="E133" i="4"/>
  <c r="D133" i="4"/>
  <c r="C133" i="4"/>
  <c r="E132" i="4"/>
  <c r="D132" i="4"/>
  <c r="C132" i="4"/>
  <c r="E131" i="4"/>
  <c r="D131" i="4"/>
  <c r="C131" i="4"/>
  <c r="E130" i="4"/>
  <c r="D130" i="4"/>
  <c r="C130" i="4"/>
  <c r="E129" i="4"/>
  <c r="D129" i="4"/>
  <c r="C129" i="4"/>
  <c r="E128" i="4"/>
  <c r="D128" i="4"/>
  <c r="C128" i="4"/>
  <c r="E127" i="4"/>
  <c r="D127" i="4"/>
  <c r="C127" i="4"/>
  <c r="E126" i="4"/>
  <c r="D126" i="4"/>
  <c r="C126" i="4"/>
  <c r="E125" i="4"/>
  <c r="D125" i="4"/>
  <c r="C125" i="4"/>
  <c r="E124" i="4"/>
  <c r="D124" i="4"/>
  <c r="C124" i="4"/>
  <c r="E123" i="4"/>
  <c r="D123" i="4"/>
  <c r="C123" i="4"/>
  <c r="E122" i="4"/>
  <c r="D122" i="4"/>
  <c r="C122" i="4"/>
  <c r="E121" i="4"/>
  <c r="D121" i="4"/>
  <c r="C121" i="4"/>
  <c r="E120" i="4"/>
  <c r="D120" i="4"/>
  <c r="C120" i="4"/>
  <c r="E119" i="4"/>
  <c r="D119" i="4"/>
  <c r="C119" i="4"/>
  <c r="E118" i="4"/>
  <c r="D118" i="4"/>
  <c r="C118" i="4"/>
  <c r="E117" i="4"/>
  <c r="D117" i="4"/>
  <c r="C117" i="4"/>
  <c r="E116" i="4"/>
  <c r="D116" i="4"/>
  <c r="C116" i="4"/>
  <c r="E115" i="4"/>
  <c r="D115" i="4"/>
  <c r="C115" i="4"/>
  <c r="E114" i="4"/>
  <c r="D114" i="4"/>
  <c r="C114" i="4"/>
  <c r="E113" i="4"/>
  <c r="D113" i="4"/>
  <c r="C113" i="4"/>
  <c r="E112" i="4"/>
  <c r="D112" i="4"/>
  <c r="C112" i="4"/>
  <c r="E111" i="4"/>
  <c r="D111" i="4"/>
  <c r="C111" i="4"/>
  <c r="E110" i="4"/>
  <c r="D110" i="4"/>
  <c r="C110" i="4"/>
  <c r="E109" i="4"/>
  <c r="D109" i="4"/>
  <c r="C109" i="4"/>
  <c r="E108" i="4"/>
  <c r="D108" i="4"/>
  <c r="C108" i="4"/>
  <c r="E107" i="4"/>
  <c r="D107" i="4"/>
  <c r="C107" i="4"/>
  <c r="E106" i="4"/>
  <c r="D106" i="4"/>
  <c r="C106" i="4"/>
  <c r="E105" i="4"/>
  <c r="D105" i="4"/>
  <c r="C105" i="4"/>
  <c r="E104" i="4"/>
  <c r="D104" i="4"/>
  <c r="C104" i="4"/>
  <c r="E103" i="4"/>
  <c r="D103" i="4"/>
  <c r="C103" i="4"/>
  <c r="E102" i="4"/>
  <c r="D102" i="4"/>
  <c r="C102" i="4"/>
  <c r="E101" i="4"/>
  <c r="D101" i="4"/>
  <c r="C101" i="4"/>
  <c r="E100" i="4"/>
  <c r="D100" i="4"/>
  <c r="C100" i="4"/>
  <c r="E99" i="4"/>
  <c r="D99" i="4"/>
  <c r="C99" i="4"/>
  <c r="E98" i="4"/>
  <c r="D98" i="4"/>
  <c r="C98" i="4"/>
  <c r="E97" i="4"/>
  <c r="D97" i="4"/>
  <c r="C97" i="4"/>
  <c r="E96" i="4"/>
  <c r="D96" i="4"/>
  <c r="C96" i="4"/>
  <c r="E95" i="4"/>
  <c r="D95" i="4"/>
  <c r="C95" i="4"/>
  <c r="E94" i="4"/>
  <c r="D94" i="4"/>
  <c r="C94" i="4"/>
  <c r="E93" i="4"/>
  <c r="D93" i="4"/>
  <c r="C93" i="4"/>
  <c r="E92" i="4"/>
  <c r="D92" i="4"/>
  <c r="C92" i="4"/>
  <c r="E91" i="4"/>
  <c r="D91" i="4"/>
  <c r="C91" i="4"/>
  <c r="E90" i="4"/>
  <c r="D90" i="4"/>
  <c r="C90" i="4"/>
  <c r="E89" i="4"/>
  <c r="D89" i="4"/>
  <c r="C89" i="4"/>
  <c r="E88" i="4"/>
  <c r="D88" i="4"/>
  <c r="C88" i="4"/>
  <c r="E87" i="4"/>
  <c r="D87" i="4"/>
  <c r="C87" i="4"/>
  <c r="E86" i="4"/>
  <c r="D86" i="4"/>
  <c r="C86" i="4"/>
  <c r="E85" i="4"/>
  <c r="D85" i="4"/>
  <c r="C85" i="4"/>
  <c r="E84" i="4"/>
  <c r="D84" i="4"/>
  <c r="C84" i="4"/>
  <c r="E83" i="4"/>
  <c r="D83" i="4"/>
  <c r="C83" i="4"/>
  <c r="E82" i="4"/>
  <c r="D82" i="4"/>
  <c r="C82" i="4"/>
  <c r="E81" i="4"/>
  <c r="D81" i="4"/>
  <c r="C81" i="4"/>
  <c r="E80" i="4"/>
  <c r="D80" i="4"/>
  <c r="C80" i="4"/>
  <c r="E79" i="4"/>
  <c r="D79" i="4"/>
  <c r="C79" i="4"/>
  <c r="E78" i="4"/>
  <c r="D78" i="4"/>
  <c r="C78" i="4"/>
  <c r="E77" i="4"/>
  <c r="D77" i="4"/>
  <c r="C77" i="4"/>
  <c r="E76" i="4"/>
  <c r="D76" i="4"/>
  <c r="C76" i="4"/>
  <c r="E75" i="4"/>
  <c r="D75" i="4"/>
  <c r="C75" i="4"/>
  <c r="E74" i="4"/>
  <c r="D74" i="4"/>
  <c r="C74" i="4"/>
  <c r="E73" i="4"/>
  <c r="D73" i="4"/>
  <c r="C73" i="4"/>
  <c r="E72" i="4"/>
  <c r="D72" i="4"/>
  <c r="C72" i="4"/>
  <c r="E71" i="4"/>
  <c r="D71" i="4"/>
  <c r="C71" i="4"/>
  <c r="E70" i="4"/>
  <c r="D70" i="4"/>
  <c r="C70" i="4"/>
  <c r="E69" i="4"/>
  <c r="D69" i="4"/>
  <c r="C69" i="4"/>
  <c r="E68" i="4"/>
  <c r="D68" i="4"/>
  <c r="C68" i="4"/>
  <c r="E67" i="4"/>
  <c r="D67" i="4"/>
  <c r="C67" i="4"/>
  <c r="E66" i="4"/>
  <c r="D66" i="4"/>
  <c r="C66" i="4"/>
  <c r="E65" i="4"/>
  <c r="D65" i="4"/>
  <c r="C65" i="4"/>
  <c r="E64" i="4"/>
  <c r="D64" i="4"/>
  <c r="C64" i="4"/>
  <c r="E63" i="4"/>
  <c r="D63" i="4"/>
  <c r="C63" i="4"/>
  <c r="E62" i="4"/>
  <c r="D62" i="4"/>
  <c r="C62" i="4"/>
  <c r="E61" i="4"/>
  <c r="D61" i="4"/>
  <c r="C61" i="4"/>
  <c r="E60" i="4"/>
  <c r="D60" i="4"/>
  <c r="C60" i="4"/>
  <c r="E59" i="4"/>
  <c r="D59" i="4"/>
  <c r="C59" i="4"/>
  <c r="E58" i="4"/>
  <c r="D58" i="4"/>
  <c r="C58" i="4"/>
  <c r="E57" i="4"/>
  <c r="D57" i="4"/>
  <c r="C57" i="4"/>
  <c r="E56" i="4"/>
  <c r="D56" i="4"/>
  <c r="C56" i="4"/>
  <c r="E55" i="4"/>
  <c r="D55" i="4"/>
  <c r="C55" i="4"/>
  <c r="E54" i="4"/>
  <c r="D54" i="4"/>
  <c r="C54" i="4"/>
  <c r="E53" i="4"/>
  <c r="D53" i="4"/>
  <c r="C53" i="4"/>
  <c r="E52" i="4"/>
  <c r="D52" i="4"/>
  <c r="C52" i="4"/>
  <c r="E51" i="4"/>
  <c r="D51" i="4"/>
  <c r="C51" i="4"/>
  <c r="E50" i="4"/>
  <c r="D50" i="4"/>
  <c r="C50" i="4"/>
  <c r="E49" i="4"/>
  <c r="D49" i="4"/>
  <c r="C49" i="4"/>
  <c r="E48" i="4"/>
  <c r="D48" i="4"/>
  <c r="C48" i="4"/>
  <c r="E47" i="4"/>
  <c r="D47" i="4"/>
  <c r="C47" i="4"/>
  <c r="E46" i="4"/>
  <c r="D46" i="4"/>
  <c r="C46" i="4"/>
  <c r="E45" i="4"/>
  <c r="D45" i="4"/>
  <c r="C45" i="4"/>
  <c r="E44" i="4"/>
  <c r="D44" i="4"/>
  <c r="C44" i="4"/>
  <c r="E43" i="4"/>
  <c r="D43" i="4"/>
  <c r="C43" i="4"/>
  <c r="E42" i="4"/>
  <c r="D42" i="4"/>
  <c r="C42" i="4"/>
  <c r="E41" i="4"/>
  <c r="D41" i="4"/>
  <c r="C41" i="4"/>
  <c r="E40" i="4"/>
  <c r="D40" i="4"/>
  <c r="C40" i="4"/>
  <c r="E39" i="4"/>
  <c r="D39" i="4"/>
  <c r="C39" i="4"/>
  <c r="E38" i="4"/>
  <c r="D38" i="4"/>
  <c r="C38" i="4"/>
  <c r="E37" i="4"/>
  <c r="D37" i="4"/>
  <c r="C37" i="4"/>
  <c r="E36" i="4"/>
  <c r="D36" i="4"/>
  <c r="C36" i="4"/>
  <c r="E35" i="4"/>
  <c r="D35" i="4"/>
  <c r="C35" i="4"/>
  <c r="E34" i="4"/>
  <c r="D34" i="4"/>
  <c r="C34" i="4"/>
  <c r="E33" i="4"/>
  <c r="D33" i="4"/>
  <c r="C33" i="4"/>
  <c r="E32" i="4"/>
  <c r="D32" i="4"/>
  <c r="C32" i="4"/>
  <c r="E31" i="4"/>
  <c r="D31" i="4"/>
  <c r="C31" i="4"/>
  <c r="E30" i="4"/>
  <c r="D30" i="4"/>
  <c r="C30" i="4"/>
  <c r="E29" i="4"/>
  <c r="D29" i="4"/>
  <c r="C29" i="4"/>
  <c r="E28" i="4"/>
  <c r="D28" i="4"/>
  <c r="C28" i="4"/>
  <c r="E27" i="4"/>
  <c r="D27" i="4"/>
  <c r="C27" i="4"/>
  <c r="E26" i="4"/>
  <c r="D26" i="4"/>
  <c r="C26" i="4"/>
  <c r="E25" i="4"/>
  <c r="D25" i="4"/>
  <c r="C25" i="4"/>
  <c r="E24" i="4"/>
  <c r="D24" i="4"/>
  <c r="C24" i="4"/>
  <c r="E23" i="4"/>
  <c r="D23" i="4"/>
  <c r="C23" i="4"/>
  <c r="E22" i="4"/>
  <c r="D22" i="4"/>
  <c r="C22" i="4"/>
  <c r="E21" i="4"/>
  <c r="D21" i="4"/>
  <c r="C21" i="4"/>
  <c r="E20" i="4"/>
  <c r="D20" i="4"/>
  <c r="C20" i="4"/>
  <c r="E19" i="4"/>
  <c r="D19" i="4"/>
  <c r="C19" i="4"/>
  <c r="E18" i="4"/>
  <c r="D18" i="4"/>
  <c r="C18" i="4"/>
  <c r="E17" i="4"/>
  <c r="D17" i="4"/>
  <c r="C17" i="4"/>
  <c r="E16" i="4"/>
  <c r="D16" i="4"/>
  <c r="C16" i="4"/>
  <c r="E15" i="4"/>
  <c r="D15" i="4"/>
  <c r="C15" i="4"/>
  <c r="E14" i="4"/>
  <c r="D14" i="4"/>
  <c r="C14" i="4"/>
  <c r="E13" i="4"/>
  <c r="D13" i="4"/>
  <c r="C13" i="4"/>
  <c r="E12" i="4"/>
  <c r="D12" i="4"/>
  <c r="C12" i="4"/>
  <c r="E11" i="4"/>
  <c r="D11" i="4"/>
  <c r="C11" i="4"/>
  <c r="E10" i="4"/>
  <c r="D10" i="4"/>
  <c r="C10" i="4"/>
  <c r="E9" i="4"/>
  <c r="D9" i="4"/>
  <c r="C9" i="4"/>
  <c r="E8" i="4"/>
  <c r="D8" i="4"/>
  <c r="C8" i="4"/>
  <c r="E7" i="4"/>
  <c r="D7" i="4"/>
  <c r="C7" i="4"/>
  <c r="E6" i="4"/>
  <c r="D6" i="4"/>
  <c r="C6" i="4"/>
  <c r="E5" i="4"/>
  <c r="D5" i="4"/>
  <c r="C5" i="4"/>
  <c r="E4" i="4"/>
  <c r="D4" i="4"/>
  <c r="C4" i="4"/>
  <c r="E3" i="4"/>
  <c r="D3" i="4"/>
  <c r="C3" i="4"/>
  <c r="E2" i="4"/>
  <c r="D2" i="4"/>
  <c r="C2" i="4"/>
  <c r="AG7" i="3"/>
  <c r="O3" i="3"/>
  <c r="AA2" i="3"/>
  <c r="W2" i="3"/>
  <c r="S2" i="3"/>
  <c r="O2" i="3"/>
  <c r="G23" i="2"/>
  <c r="I23" i="2" s="1"/>
  <c r="F23" i="2"/>
  <c r="H23" i="2" s="1"/>
  <c r="G22" i="2"/>
  <c r="I22" i="2" s="1"/>
  <c r="F22" i="2"/>
  <c r="H22" i="2" s="1"/>
  <c r="G21" i="2"/>
  <c r="I21" i="2" s="1"/>
  <c r="F21" i="2"/>
  <c r="H21" i="2" s="1"/>
  <c r="G20" i="2"/>
  <c r="I20" i="2" s="1"/>
  <c r="F20" i="2"/>
  <c r="H20" i="2" s="1"/>
  <c r="G19" i="2"/>
  <c r="I19" i="2" s="1"/>
  <c r="F19" i="2"/>
  <c r="H19" i="2" s="1"/>
  <c r="D7" i="2"/>
  <c r="C7" i="2"/>
  <c r="B7" i="2"/>
  <c r="D6" i="2"/>
  <c r="C6" i="2"/>
  <c r="B6" i="2"/>
  <c r="D5" i="2"/>
  <c r="C5" i="2"/>
  <c r="B5" i="2"/>
  <c r="D4" i="2"/>
  <c r="C4" i="2"/>
  <c r="B4" i="2"/>
  <c r="D3" i="2"/>
  <c r="C3" i="2"/>
  <c r="B3" i="2"/>
  <c r="D2" i="2"/>
  <c r="C2" i="2"/>
  <c r="B2" i="2"/>
  <c r="J77" i="1"/>
  <c r="J76" i="1"/>
  <c r="M74" i="1"/>
  <c r="M73" i="1"/>
  <c r="L71" i="1"/>
  <c r="L69" i="1"/>
  <c r="L68" i="1"/>
  <c r="L67" i="1"/>
  <c r="K63" i="1"/>
  <c r="K62" i="1"/>
  <c r="K61" i="1"/>
  <c r="K58" i="1"/>
  <c r="K57" i="1"/>
  <c r="K54" i="1"/>
  <c r="K52" i="1"/>
  <c r="L49" i="1"/>
  <c r="L48" i="1"/>
  <c r="N47" i="1"/>
  <c r="M47" i="1"/>
  <c r="L47" i="1"/>
  <c r="G46" i="1"/>
  <c r="F46" i="1"/>
  <c r="E46" i="1"/>
  <c r="N45" i="1"/>
  <c r="M45" i="1"/>
  <c r="G45" i="1"/>
  <c r="F45" i="1"/>
  <c r="E45" i="1"/>
  <c r="N44" i="1"/>
  <c r="M44" i="1"/>
  <c r="G44" i="1"/>
  <c r="F44" i="1"/>
  <c r="E44" i="1"/>
  <c r="G43" i="1"/>
  <c r="F43" i="1"/>
  <c r="E43" i="1"/>
  <c r="F40" i="1"/>
  <c r="E40" i="1"/>
  <c r="F39" i="1"/>
  <c r="E39" i="1"/>
  <c r="F38" i="1"/>
  <c r="E38" i="1"/>
  <c r="F37" i="1"/>
  <c r="E37" i="1"/>
  <c r="M33" i="1"/>
  <c r="K33" i="1"/>
  <c r="M32" i="1"/>
  <c r="M34" i="1" s="1"/>
  <c r="K32" i="1"/>
  <c r="K34" i="1" s="1"/>
  <c r="D30" i="1"/>
  <c r="D29" i="1"/>
  <c r="J26" i="1"/>
  <c r="L26" i="1" s="1"/>
  <c r="F26" i="1"/>
  <c r="L25" i="1"/>
  <c r="F25" i="1"/>
  <c r="L23" i="1"/>
  <c r="N23" i="1" s="1"/>
  <c r="K23" i="1"/>
  <c r="L22" i="1"/>
  <c r="N22" i="1" s="1"/>
  <c r="K22" i="1"/>
  <c r="N21" i="1"/>
  <c r="L21" i="1"/>
  <c r="K21" i="1"/>
  <c r="K20" i="1"/>
  <c r="L18" i="1"/>
  <c r="M18" i="1" s="1"/>
  <c r="K18" i="1"/>
  <c r="L17" i="1"/>
  <c r="M17" i="1" s="1"/>
  <c r="K17" i="1"/>
  <c r="M16" i="1"/>
  <c r="L16" i="1"/>
  <c r="K16" i="1"/>
  <c r="K15" i="1"/>
  <c r="L12" i="1"/>
  <c r="K12" i="1"/>
  <c r="L11" i="1"/>
  <c r="K11" i="1"/>
  <c r="L9" i="1"/>
  <c r="K9" i="1"/>
  <c r="L8" i="1"/>
  <c r="K8" i="1"/>
  <c r="G6" i="1"/>
  <c r="M5" i="1"/>
  <c r="L5" i="1"/>
  <c r="G5" i="1"/>
</calcChain>
</file>

<file path=xl/sharedStrings.xml><?xml version="1.0" encoding="utf-8"?>
<sst xmlns="http://schemas.openxmlformats.org/spreadsheetml/2006/main" count="253" uniqueCount="153">
  <si>
    <t>basic text functions:</t>
  </si>
  <si>
    <t>find out position of e</t>
  </si>
  <si>
    <t>physics</t>
  </si>
  <si>
    <t>len</t>
  </si>
  <si>
    <t>length</t>
  </si>
  <si>
    <t>no of characters present in the word including space</t>
  </si>
  <si>
    <t>find</t>
  </si>
  <si>
    <t>search</t>
  </si>
  <si>
    <t>trim</t>
  </si>
  <si>
    <t>removing extra spaces</t>
  </si>
  <si>
    <t>Excel</t>
  </si>
  <si>
    <t>upper</t>
  </si>
  <si>
    <t>physics wallah</t>
  </si>
  <si>
    <t>lower</t>
  </si>
  <si>
    <t>proper</t>
  </si>
  <si>
    <t>full name</t>
  </si>
  <si>
    <t>first name</t>
  </si>
  <si>
    <t>last name</t>
  </si>
  <si>
    <t>wallah</t>
  </si>
  <si>
    <t>space</t>
  </si>
  <si>
    <t>extract text functions:</t>
  </si>
  <si>
    <t>bansal classes</t>
  </si>
  <si>
    <t>left</t>
  </si>
  <si>
    <t>to extract text from left</t>
  </si>
  <si>
    <t>right</t>
  </si>
  <si>
    <t>to extract text from right</t>
  </si>
  <si>
    <t>mid</t>
  </si>
  <si>
    <t>to extract text from middle</t>
  </si>
  <si>
    <t>finding position:</t>
  </si>
  <si>
    <t>case sensitive</t>
  </si>
  <si>
    <t>a</t>
  </si>
  <si>
    <t>not case sensitive</t>
  </si>
  <si>
    <t>b</t>
  </si>
  <si>
    <t xml:space="preserve">physics </t>
  </si>
  <si>
    <t>c</t>
  </si>
  <si>
    <t xml:space="preserve"> physics</t>
  </si>
  <si>
    <t>replace or join text</t>
  </si>
  <si>
    <t>d</t>
  </si>
  <si>
    <t xml:space="preserve"> physics </t>
  </si>
  <si>
    <t>replace</t>
  </si>
  <si>
    <t>substitute</t>
  </si>
  <si>
    <t>concat</t>
  </si>
  <si>
    <t xml:space="preserve">physics wallah </t>
  </si>
  <si>
    <t>&amp;</t>
  </si>
  <si>
    <t xml:space="preserve"> physics wallah</t>
  </si>
  <si>
    <t xml:space="preserve"> physics wallah </t>
  </si>
  <si>
    <t>physics    wallah</t>
  </si>
  <si>
    <t>upper case</t>
  </si>
  <si>
    <t>all letters are in upper</t>
  </si>
  <si>
    <t>lower case</t>
  </si>
  <si>
    <t>all letters are small</t>
  </si>
  <si>
    <t>proper case</t>
  </si>
  <si>
    <t>first letter of every word is capital</t>
  </si>
  <si>
    <t>invoice number</t>
  </si>
  <si>
    <t>city</t>
  </si>
  <si>
    <t>pincode</t>
  </si>
  <si>
    <t>JP302021</t>
  </si>
  <si>
    <t>MU400056</t>
  </si>
  <si>
    <t>DL100324</t>
  </si>
  <si>
    <t>BG654786</t>
  </si>
  <si>
    <t>order no</t>
  </si>
  <si>
    <t>state</t>
  </si>
  <si>
    <t>jp-raj-302021</t>
  </si>
  <si>
    <t>mu-mah-400056</t>
  </si>
  <si>
    <t>no-uph-123456</t>
  </si>
  <si>
    <t>bg-kar-654786</t>
  </si>
  <si>
    <t>PHYsICS wallah</t>
  </si>
  <si>
    <t>physics -&gt; chemistry</t>
  </si>
  <si>
    <t>wallah -&gt; guy</t>
  </si>
  <si>
    <t>wallah wallah</t>
  </si>
  <si>
    <t>combine</t>
  </si>
  <si>
    <t>chemistry</t>
  </si>
  <si>
    <t>agent</t>
  </si>
  <si>
    <t>maths</t>
  </si>
  <si>
    <t>guy</t>
  </si>
  <si>
    <t>apeksha</t>
  </si>
  <si>
    <t>sharma</t>
  </si>
  <si>
    <t>aditya</t>
  </si>
  <si>
    <t>roy</t>
  </si>
  <si>
    <t>kapoor</t>
  </si>
  <si>
    <t>shah</t>
  </si>
  <si>
    <t>rukh</t>
  </si>
  <si>
    <t>khan</t>
  </si>
  <si>
    <t>operator</t>
  </si>
  <si>
    <t>concatenate</t>
  </si>
  <si>
    <t>function</t>
  </si>
  <si>
    <t>marks</t>
  </si>
  <si>
    <t>flag</t>
  </si>
  <si>
    <t>grade</t>
  </si>
  <si>
    <t>grade 2</t>
  </si>
  <si>
    <t>if marks &gt; 70, "distinction", "no distinction"</t>
  </si>
  <si>
    <t>if marks &gt; 80, "a"</t>
  </si>
  <si>
    <t>if marks &gt; 70, "b"</t>
  </si>
  <si>
    <t>else "c"</t>
  </si>
  <si>
    <t>and</t>
  </si>
  <si>
    <t>or</t>
  </si>
  <si>
    <t>if marks &gt; 60, "c"</t>
  </si>
  <si>
    <t>else "d"</t>
  </si>
  <si>
    <t>return true only if all the conditions are true</t>
  </si>
  <si>
    <t>return true even if a single condition is true</t>
  </si>
  <si>
    <t>sname</t>
  </si>
  <si>
    <t>flag2</t>
  </si>
  <si>
    <t>flag_num</t>
  </si>
  <si>
    <t>FLAG2_NUM</t>
  </si>
  <si>
    <t>e</t>
  </si>
  <si>
    <t>at least one of the marks is greater than 75</t>
  </si>
  <si>
    <t>else 0</t>
  </si>
  <si>
    <t>gadgets</t>
  </si>
  <si>
    <t>tablet</t>
  </si>
  <si>
    <t>colours</t>
  </si>
  <si>
    <t>Red</t>
  </si>
  <si>
    <t>index</t>
  </si>
  <si>
    <t>price</t>
  </si>
  <si>
    <t>store</t>
  </si>
  <si>
    <t>laptop</t>
  </si>
  <si>
    <t>red</t>
  </si>
  <si>
    <t>s1</t>
  </si>
  <si>
    <t>find out the value present at row number 2 and column number 2?</t>
  </si>
  <si>
    <t>mobile</t>
  </si>
  <si>
    <t>s2</t>
  </si>
  <si>
    <t>airpods</t>
  </si>
  <si>
    <t>green</t>
  </si>
  <si>
    <t>s3</t>
  </si>
  <si>
    <t>row number</t>
  </si>
  <si>
    <t>headphones</t>
  </si>
  <si>
    <t>yellow</t>
  </si>
  <si>
    <t>s6</t>
  </si>
  <si>
    <t>column number</t>
  </si>
  <si>
    <t>earphones</t>
  </si>
  <si>
    <t>s7</t>
  </si>
  <si>
    <t>s4</t>
  </si>
  <si>
    <t>tv</t>
  </si>
  <si>
    <t>s8</t>
  </si>
  <si>
    <t>speaker</t>
  </si>
  <si>
    <t>s10</t>
  </si>
  <si>
    <t>match</t>
  </si>
  <si>
    <t>value</t>
  </si>
  <si>
    <t>position</t>
  </si>
  <si>
    <t>case insensitive</t>
  </si>
  <si>
    <t>ORDERDATE</t>
  </si>
  <si>
    <t>ORDERTIME</t>
  </si>
  <si>
    <t>YEAR</t>
  </si>
  <si>
    <t>MONTH</t>
  </si>
  <si>
    <t>DAY</t>
  </si>
  <si>
    <t xml:space="preserve">  Physics</t>
  </si>
  <si>
    <t>PhysicS WallAh</t>
  </si>
  <si>
    <t>flag2_num</t>
  </si>
  <si>
    <t>Ifs</t>
  </si>
  <si>
    <t>multiple if conditions</t>
  </si>
  <si>
    <t>year</t>
  </si>
  <si>
    <t>month</t>
  </si>
  <si>
    <t>day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</si>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</sst>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Font="1" applyFill="1"/>
    <xf numFmtId="0" fontId="2" fillId="0" borderId="0" xfId="0" applyFont="1"/>
    <xf numFmtId="0" fontId="3" fillId="2" borderId="0" xfId="0" applyFont="1" applyFill="1"/>
    <xf numFmtId="0" fontId="2" fillId="3" borderId="0" xfId="0" applyFont="1" applyFill="1"/>
    <xf numFmtId="0" fontId="0" fillId="4" borderId="0" xfId="0" applyFill="1"/>
    <xf numFmtId="0" fontId="0" fillId="5" borderId="0" xfId="0" applyFill="1"/>
    <xf numFmtId="0" fontId="1" fillId="0" borderId="0" xfId="0" applyFont="1"/>
    <xf numFmtId="0" fontId="3" fillId="0" borderId="0" xfId="0" applyFont="1"/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0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8" xfId="0" applyFont="1" applyBorder="1"/>
    <xf numFmtId="0" fontId="5" fillId="0" borderId="9" xfId="0" applyFont="1" applyBorder="1"/>
    <xf numFmtId="14" fontId="2" fillId="0" borderId="0" xfId="0" applyNumberFormat="1" applyFont="1"/>
    <xf numFmtId="14" fontId="0" fillId="0" borderId="0" xfId="0" applyNumberFormat="1"/>
    <xf numFmtId="21" fontId="0" fillId="0" borderId="0" xfId="0" applyNumberFormat="1"/>
    <xf numFmtId="0" fontId="2" fillId="0" borderId="10" xfId="0" applyFont="1" applyBorder="1"/>
    <xf numFmtId="0" fontId="2" fillId="0" borderId="11" xfId="0" applyFont="1" applyBorder="1"/>
    <xf numFmtId="0" fontId="6" fillId="0" borderId="10" xfId="0" applyFont="1" applyBorder="1"/>
    <xf numFmtId="0" fontId="6" fillId="0" borderId="12" xfId="0" applyFont="1" applyBorder="1"/>
    <xf numFmtId="0" fontId="6" fillId="0" borderId="11" xfId="0" applyFont="1" applyBorder="1"/>
    <xf numFmtId="0" fontId="6" fillId="0" borderId="1" xfId="0" applyFont="1" applyBorder="1"/>
    <xf numFmtId="0" fontId="4" fillId="0" borderId="10" xfId="0" applyFont="1" applyBorder="1"/>
    <xf numFmtId="0" fontId="4" fillId="0" borderId="11" xfId="0" applyFont="1" applyBorder="1"/>
    <xf numFmtId="0" fontId="0" fillId="0" borderId="10" xfId="0" applyBorder="1"/>
    <xf numFmtId="0" fontId="0" fillId="0" borderId="11" xfId="0" applyBorder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B0016-F761-48AE-B559-EA43171DBDD5}">
  <dimension ref="A2:N80"/>
  <sheetViews>
    <sheetView topLeftCell="A4" workbookViewId="0">
      <selection activeCell="L78" sqref="L78"/>
    </sheetView>
  </sheetViews>
  <sheetFormatPr defaultRowHeight="15" x14ac:dyDescent="0.25"/>
  <cols>
    <col min="4" max="4" width="19.28515625" bestFit="1" customWidth="1"/>
    <col min="6" max="6" width="14.5703125" customWidth="1"/>
    <col min="10" max="10" width="15.5703125" bestFit="1" customWidth="1"/>
    <col min="11" max="11" width="15.42578125" bestFit="1" customWidth="1"/>
    <col min="12" max="12" width="19" bestFit="1" customWidth="1"/>
  </cols>
  <sheetData>
    <row r="2" spans="1:13" ht="15.75" thickBot="1" x14ac:dyDescent="0.3">
      <c r="D2" t="s">
        <v>0</v>
      </c>
      <c r="K2" s="1"/>
      <c r="L2" s="1" t="s">
        <v>1</v>
      </c>
      <c r="M2" s="1"/>
    </row>
    <row r="3" spans="1:13" x14ac:dyDescent="0.25">
      <c r="B3" t="s">
        <v>2</v>
      </c>
      <c r="D3" s="23" t="s">
        <v>3</v>
      </c>
      <c r="E3" t="s">
        <v>4</v>
      </c>
      <c r="F3" t="s">
        <v>5</v>
      </c>
      <c r="K3" s="1"/>
      <c r="L3" s="1" t="s">
        <v>6</v>
      </c>
      <c r="M3" s="1" t="s">
        <v>7</v>
      </c>
    </row>
    <row r="4" spans="1:13" x14ac:dyDescent="0.25">
      <c r="D4" s="24" t="s">
        <v>8</v>
      </c>
      <c r="E4" t="s">
        <v>9</v>
      </c>
      <c r="K4" s="1" t="s">
        <v>10</v>
      </c>
      <c r="L4" s="1">
        <v>4</v>
      </c>
      <c r="M4" s="1">
        <v>1</v>
      </c>
    </row>
    <row r="5" spans="1:13" x14ac:dyDescent="0.25">
      <c r="C5">
        <v>5</v>
      </c>
      <c r="D5" s="24" t="s">
        <v>11</v>
      </c>
      <c r="F5" t="s">
        <v>2</v>
      </c>
      <c r="G5">
        <f>LEN(F5)</f>
        <v>7</v>
      </c>
      <c r="K5" s="1" t="s">
        <v>10</v>
      </c>
      <c r="L5" s="3">
        <f>FIND("e",K5)</f>
        <v>4</v>
      </c>
      <c r="M5" s="3">
        <f>SEARCH("e",K5)</f>
        <v>1</v>
      </c>
    </row>
    <row r="6" spans="1:13" x14ac:dyDescent="0.25">
      <c r="B6" t="s">
        <v>12</v>
      </c>
      <c r="D6" s="24" t="s">
        <v>13</v>
      </c>
      <c r="F6" t="s">
        <v>12</v>
      </c>
      <c r="G6">
        <f>LEN(F6)</f>
        <v>14</v>
      </c>
    </row>
    <row r="7" spans="1:13" ht="15.75" thickBot="1" x14ac:dyDescent="0.3">
      <c r="A7" t="s">
        <v>2</v>
      </c>
      <c r="B7">
        <v>7</v>
      </c>
      <c r="D7" s="25" t="s">
        <v>14</v>
      </c>
      <c r="J7" s="4" t="s">
        <v>15</v>
      </c>
      <c r="K7" s="4" t="s">
        <v>16</v>
      </c>
      <c r="L7" s="4" t="s">
        <v>17</v>
      </c>
    </row>
    <row r="8" spans="1:13" x14ac:dyDescent="0.25">
      <c r="A8" t="s">
        <v>18</v>
      </c>
      <c r="B8">
        <v>6</v>
      </c>
      <c r="J8" s="4" t="s">
        <v>12</v>
      </c>
      <c r="K8" s="4" t="str">
        <f>LEFT(J8,7)</f>
        <v>physics</v>
      </c>
      <c r="L8" s="4" t="str">
        <f>RIGHT(J8,6)</f>
        <v>wallah</v>
      </c>
    </row>
    <row r="9" spans="1:13" ht="15.75" thickBot="1" x14ac:dyDescent="0.3">
      <c r="A9" t="s">
        <v>19</v>
      </c>
      <c r="B9">
        <v>1</v>
      </c>
      <c r="D9" t="s">
        <v>20</v>
      </c>
      <c r="J9" s="4" t="s">
        <v>21</v>
      </c>
      <c r="K9" s="4" t="str">
        <f>LEFT(J9,7)</f>
        <v xml:space="preserve">bansal </v>
      </c>
      <c r="L9" s="4" t="str">
        <f>RIGHT(J9,6)</f>
        <v>lasses</v>
      </c>
    </row>
    <row r="10" spans="1:13" x14ac:dyDescent="0.25">
      <c r="B10">
        <v>14</v>
      </c>
      <c r="D10" s="23" t="s">
        <v>22</v>
      </c>
      <c r="E10" t="s">
        <v>23</v>
      </c>
      <c r="J10" s="4"/>
      <c r="K10" s="4"/>
      <c r="L10" s="4"/>
    </row>
    <row r="11" spans="1:13" x14ac:dyDescent="0.25">
      <c r="C11">
        <v>3</v>
      </c>
      <c r="D11" s="24" t="s">
        <v>24</v>
      </c>
      <c r="E11" t="s">
        <v>25</v>
      </c>
      <c r="J11" s="4" t="s">
        <v>12</v>
      </c>
      <c r="K11" s="4" t="str">
        <f>LEFT(J11,FIND(" ",J11)-1)</f>
        <v>physics</v>
      </c>
      <c r="L11" s="4" t="str">
        <f>RIGHT(J11,LEN(J11)-FIND(" ",J11))</f>
        <v>wallah</v>
      </c>
    </row>
    <row r="12" spans="1:13" ht="15.75" thickBot="1" x14ac:dyDescent="0.3">
      <c r="D12" s="25" t="s">
        <v>26</v>
      </c>
      <c r="E12" t="s">
        <v>27</v>
      </c>
      <c r="J12" s="4" t="s">
        <v>21</v>
      </c>
      <c r="K12" s="4" t="str">
        <f>LEFT(J12,FIND(" ",J12)-1)</f>
        <v>bansal</v>
      </c>
      <c r="L12" s="4" t="str">
        <f>RIGHT(J12,LEN(J12)-FIND(" ",J12))</f>
        <v>classes</v>
      </c>
    </row>
    <row r="13" spans="1:13" x14ac:dyDescent="0.25">
      <c r="A13">
        <f>LEN(A7)</f>
        <v>7</v>
      </c>
    </row>
    <row r="14" spans="1:13" ht="15.75" thickBot="1" x14ac:dyDescent="0.3">
      <c r="A14" t="str">
        <f>UPPER(B3)</f>
        <v>PHYSICS</v>
      </c>
      <c r="D14" t="s">
        <v>28</v>
      </c>
    </row>
    <row r="15" spans="1:13" x14ac:dyDescent="0.25">
      <c r="A15" t="str">
        <f>LOWER(A14)</f>
        <v>physics</v>
      </c>
      <c r="C15">
        <v>2</v>
      </c>
      <c r="D15" s="23" t="s">
        <v>6</v>
      </c>
      <c r="E15" t="s">
        <v>29</v>
      </c>
      <c r="G15" t="s">
        <v>145</v>
      </c>
      <c r="I15" t="s">
        <v>30</v>
      </c>
      <c r="J15" t="s">
        <v>2</v>
      </c>
      <c r="K15">
        <f>LEN(J15)</f>
        <v>7</v>
      </c>
    </row>
    <row r="16" spans="1:13" ht="15.75" thickBot="1" x14ac:dyDescent="0.3">
      <c r="A16" t="str">
        <f>PROPER(A15)</f>
        <v>Physics</v>
      </c>
      <c r="D16" s="25" t="s">
        <v>7</v>
      </c>
      <c r="E16" t="s">
        <v>31</v>
      </c>
      <c r="I16" t="s">
        <v>32</v>
      </c>
      <c r="J16" t="s">
        <v>33</v>
      </c>
      <c r="K16">
        <f>LEN(J16)</f>
        <v>8</v>
      </c>
      <c r="L16" t="str">
        <f>TRIM($J16)</f>
        <v>physics</v>
      </c>
      <c r="M16">
        <f>LEN($L16)</f>
        <v>7</v>
      </c>
    </row>
    <row r="17" spans="3:14" x14ac:dyDescent="0.25">
      <c r="E17" t="s">
        <v>6</v>
      </c>
      <c r="F17" s="29">
        <f>FIND("A",G15,9)</f>
        <v>13</v>
      </c>
      <c r="G17">
        <f>FIND("S",G15,1)</f>
        <v>7</v>
      </c>
      <c r="I17" t="s">
        <v>34</v>
      </c>
      <c r="J17" t="s">
        <v>35</v>
      </c>
      <c r="K17">
        <f>LEN(J17)</f>
        <v>8</v>
      </c>
      <c r="L17" t="str">
        <f t="shared" ref="L17:L18" si="0">TRIM($J17)</f>
        <v>physics</v>
      </c>
      <c r="M17">
        <f t="shared" ref="M17:M18" si="1">LEN($L17)</f>
        <v>7</v>
      </c>
    </row>
    <row r="18" spans="3:14" ht="15.75" thickBot="1" x14ac:dyDescent="0.3">
      <c r="D18" t="s">
        <v>36</v>
      </c>
      <c r="E18" t="s">
        <v>7</v>
      </c>
      <c r="F18" s="30">
        <f>SEARCH("A",G15,9)</f>
        <v>10</v>
      </c>
      <c r="G18">
        <f>SEARCH("S",G15,1)</f>
        <v>4</v>
      </c>
      <c r="I18" t="s">
        <v>37</v>
      </c>
      <c r="J18" t="s">
        <v>38</v>
      </c>
      <c r="K18">
        <f>LEN(J18)</f>
        <v>9</v>
      </c>
      <c r="L18" t="str">
        <f t="shared" si="0"/>
        <v>physics</v>
      </c>
      <c r="M18">
        <f t="shared" si="1"/>
        <v>7</v>
      </c>
    </row>
    <row r="19" spans="3:14" x14ac:dyDescent="0.25">
      <c r="D19" s="23" t="s">
        <v>39</v>
      </c>
    </row>
    <row r="20" spans="3:14" x14ac:dyDescent="0.25">
      <c r="C20">
        <v>4</v>
      </c>
      <c r="D20" s="24" t="s">
        <v>40</v>
      </c>
      <c r="I20" t="s">
        <v>30</v>
      </c>
      <c r="J20" t="s">
        <v>12</v>
      </c>
      <c r="K20">
        <f>LEN(J20)</f>
        <v>14</v>
      </c>
    </row>
    <row r="21" spans="3:14" x14ac:dyDescent="0.25">
      <c r="D21" s="24" t="s">
        <v>41</v>
      </c>
      <c r="I21" t="s">
        <v>32</v>
      </c>
      <c r="J21" t="s">
        <v>42</v>
      </c>
      <c r="K21">
        <f>LEN(J21)</f>
        <v>15</v>
      </c>
      <c r="L21" t="str">
        <f>TRIM($J21)</f>
        <v>physics wallah</v>
      </c>
      <c r="N21">
        <f>LEN($L21)</f>
        <v>14</v>
      </c>
    </row>
    <row r="22" spans="3:14" ht="15.75" thickBot="1" x14ac:dyDescent="0.3">
      <c r="D22" s="25" t="s">
        <v>43</v>
      </c>
      <c r="I22" t="s">
        <v>34</v>
      </c>
      <c r="J22" t="s">
        <v>44</v>
      </c>
      <c r="K22">
        <f>LEN(J22)</f>
        <v>15</v>
      </c>
      <c r="L22" t="str">
        <f t="shared" ref="L22:L23" si="2">TRIM($J22)</f>
        <v>physics wallah</v>
      </c>
      <c r="N22">
        <f>LEN($L22)</f>
        <v>14</v>
      </c>
    </row>
    <row r="23" spans="3:14" x14ac:dyDescent="0.25">
      <c r="I23" t="s">
        <v>37</v>
      </c>
      <c r="J23" t="s">
        <v>45</v>
      </c>
      <c r="K23">
        <f>LEN(J23)</f>
        <v>16</v>
      </c>
      <c r="L23" t="str">
        <f t="shared" si="2"/>
        <v>physics wallah</v>
      </c>
      <c r="N23">
        <f>LEN($L23)</f>
        <v>14</v>
      </c>
    </row>
    <row r="24" spans="3:14" x14ac:dyDescent="0.25">
      <c r="D24" s="5" t="s">
        <v>39</v>
      </c>
      <c r="E24" s="5"/>
      <c r="F24" s="5"/>
      <c r="G24" s="5"/>
    </row>
    <row r="25" spans="3:14" x14ac:dyDescent="0.25">
      <c r="D25" s="5" t="s">
        <v>12</v>
      </c>
      <c r="E25" s="5"/>
      <c r="F25" s="5" t="str">
        <f>REPLACE(D25,1,7,"maths")</f>
        <v>maths wallah</v>
      </c>
      <c r="G25" s="5"/>
      <c r="J25" t="s">
        <v>46</v>
      </c>
      <c r="L25">
        <f>LEN(J25)</f>
        <v>17</v>
      </c>
    </row>
    <row r="26" spans="3:14" x14ac:dyDescent="0.25">
      <c r="D26" s="5"/>
      <c r="E26" s="5"/>
      <c r="F26" s="5" t="str">
        <f>REPLACE(D25,9,6,"point")</f>
        <v>physics point</v>
      </c>
      <c r="G26" s="5"/>
      <c r="J26" t="str">
        <f>TRIM(J25)</f>
        <v>physics wallah</v>
      </c>
      <c r="L26">
        <f>LEN(J26)</f>
        <v>14</v>
      </c>
    </row>
    <row r="27" spans="3:14" ht="15.75" thickBot="1" x14ac:dyDescent="0.3"/>
    <row r="28" spans="3:14" x14ac:dyDescent="0.25">
      <c r="D28" s="6" t="s">
        <v>40</v>
      </c>
      <c r="E28" s="6"/>
      <c r="J28" s="23" t="s">
        <v>11</v>
      </c>
      <c r="K28" t="s">
        <v>47</v>
      </c>
      <c r="M28" t="s">
        <v>48</v>
      </c>
    </row>
    <row r="29" spans="3:14" x14ac:dyDescent="0.25">
      <c r="D29" s="6" t="str">
        <f>SUBSTITUTE(D25,"physics","maths")</f>
        <v>maths wallah</v>
      </c>
      <c r="E29" s="6"/>
      <c r="J29" s="24" t="s">
        <v>13</v>
      </c>
      <c r="K29" t="s">
        <v>49</v>
      </c>
      <c r="M29" t="s">
        <v>50</v>
      </c>
    </row>
    <row r="30" spans="3:14" ht="15.75" thickBot="1" x14ac:dyDescent="0.3">
      <c r="D30" s="6" t="str">
        <f>SUBSTITUTE(D25,"wallah","point")</f>
        <v>physics point</v>
      </c>
      <c r="E30" s="6"/>
      <c r="J30" s="25" t="s">
        <v>14</v>
      </c>
      <c r="K30" t="s">
        <v>51</v>
      </c>
      <c r="M30" t="s">
        <v>52</v>
      </c>
    </row>
    <row r="32" spans="3:14" x14ac:dyDescent="0.25">
      <c r="D32" t="s">
        <v>8</v>
      </c>
      <c r="J32" t="s">
        <v>12</v>
      </c>
      <c r="K32" t="str">
        <f>UPPER($J32)</f>
        <v>PHYSICS WALLAH</v>
      </c>
      <c r="M32" t="str">
        <f>PROPER($J32)</f>
        <v>Physics Wallah</v>
      </c>
    </row>
    <row r="33" spans="4:14" x14ac:dyDescent="0.25">
      <c r="D33" t="s">
        <v>144</v>
      </c>
      <c r="E33">
        <f>LEN(D33)</f>
        <v>9</v>
      </c>
      <c r="K33" t="str">
        <f>LOWER(K32)</f>
        <v>physics wallah</v>
      </c>
      <c r="M33" t="str">
        <f>LOWER(M32)</f>
        <v>physics wallah</v>
      </c>
    </row>
    <row r="34" spans="4:14" x14ac:dyDescent="0.25">
      <c r="E34" t="str">
        <f>TRIM(D33)</f>
        <v>Physics</v>
      </c>
      <c r="F34">
        <f>LEN(E34)</f>
        <v>7</v>
      </c>
      <c r="K34" t="str">
        <f>PROPER(K32)</f>
        <v>Physics Wallah</v>
      </c>
      <c r="M34" t="str">
        <f>UPPER(M32)</f>
        <v>PHYSICS WALLAH</v>
      </c>
    </row>
    <row r="36" spans="4:14" x14ac:dyDescent="0.25">
      <c r="D36" t="s">
        <v>53</v>
      </c>
      <c r="E36" t="s">
        <v>54</v>
      </c>
      <c r="F36" t="s">
        <v>55</v>
      </c>
    </row>
    <row r="37" spans="4:14" x14ac:dyDescent="0.25">
      <c r="D37" t="s">
        <v>56</v>
      </c>
      <c r="E37" t="str">
        <f>LEFT($D37,2)</f>
        <v>JP</v>
      </c>
      <c r="F37" t="str">
        <f>RIGHT($D37,6)</f>
        <v>302021</v>
      </c>
    </row>
    <row r="38" spans="4:14" x14ac:dyDescent="0.25">
      <c r="D38" t="s">
        <v>57</v>
      </c>
      <c r="E38" t="str">
        <f t="shared" ref="E38:E40" si="3">LEFT($D38,2)</f>
        <v>MU</v>
      </c>
      <c r="F38" t="str">
        <f t="shared" ref="F38:F40" si="4">RIGHT($D38,6)</f>
        <v>400056</v>
      </c>
    </row>
    <row r="39" spans="4:14" x14ac:dyDescent="0.25">
      <c r="D39" t="s">
        <v>58</v>
      </c>
      <c r="E39" t="str">
        <f t="shared" si="3"/>
        <v>DL</v>
      </c>
      <c r="F39" t="str">
        <f t="shared" si="4"/>
        <v>100324</v>
      </c>
    </row>
    <row r="40" spans="4:14" x14ac:dyDescent="0.25">
      <c r="D40" t="s">
        <v>59</v>
      </c>
      <c r="E40" t="str">
        <f t="shared" si="3"/>
        <v>BG</v>
      </c>
      <c r="F40" t="str">
        <f t="shared" si="4"/>
        <v>654786</v>
      </c>
    </row>
    <row r="42" spans="4:14" x14ac:dyDescent="0.25">
      <c r="D42" t="s">
        <v>60</v>
      </c>
      <c r="E42" t="s">
        <v>54</v>
      </c>
      <c r="F42" t="s">
        <v>55</v>
      </c>
      <c r="G42" t="s">
        <v>61</v>
      </c>
      <c r="L42" t="s">
        <v>1</v>
      </c>
    </row>
    <row r="43" spans="4:14" ht="15.75" thickBot="1" x14ac:dyDescent="0.3">
      <c r="D43" t="s">
        <v>62</v>
      </c>
      <c r="E43" t="str">
        <f>LEFT($D43,2)</f>
        <v>jp</v>
      </c>
      <c r="F43" t="str">
        <f>RIGHT($D43,6)</f>
        <v>302021</v>
      </c>
      <c r="G43" t="str">
        <f>MID($D43,4,3)</f>
        <v>raj</v>
      </c>
    </row>
    <row r="44" spans="4:14" x14ac:dyDescent="0.25">
      <c r="D44" t="s">
        <v>63</v>
      </c>
      <c r="E44" t="str">
        <f t="shared" ref="E44:E47" si="5">LEFT($D44,2)</f>
        <v>mu</v>
      </c>
      <c r="F44" t="str">
        <f t="shared" ref="F44:F47" si="6">RIGHT($D44,6)</f>
        <v>400056</v>
      </c>
      <c r="G44" t="str">
        <f t="shared" ref="G44:G47" si="7">MID($D44,4,3)</f>
        <v>mah</v>
      </c>
      <c r="J44" t="s">
        <v>29</v>
      </c>
      <c r="K44" s="21" t="s">
        <v>6</v>
      </c>
      <c r="L44" t="s">
        <v>10</v>
      </c>
      <c r="M44">
        <f>FIND("e",L44)</f>
        <v>4</v>
      </c>
      <c r="N44">
        <f>FIND("E",L44)</f>
        <v>1</v>
      </c>
    </row>
    <row r="45" spans="4:14" ht="15.75" thickBot="1" x14ac:dyDescent="0.3">
      <c r="D45" t="s">
        <v>64</v>
      </c>
      <c r="E45" t="str">
        <f t="shared" si="5"/>
        <v>no</v>
      </c>
      <c r="F45" t="str">
        <f t="shared" si="6"/>
        <v>123456</v>
      </c>
      <c r="G45" t="str">
        <f t="shared" si="7"/>
        <v>uph</v>
      </c>
      <c r="J45" t="s">
        <v>31</v>
      </c>
      <c r="K45" s="22" t="s">
        <v>7</v>
      </c>
      <c r="L45" t="s">
        <v>10</v>
      </c>
      <c r="M45">
        <f>SEARCH("e",L45)</f>
        <v>1</v>
      </c>
      <c r="N45">
        <f>SEARCH("E",L45)</f>
        <v>1</v>
      </c>
    </row>
    <row r="46" spans="4:14" x14ac:dyDescent="0.25">
      <c r="D46" t="s">
        <v>65</v>
      </c>
      <c r="E46" t="str">
        <f t="shared" si="5"/>
        <v>bg</v>
      </c>
      <c r="F46" t="str">
        <f t="shared" si="6"/>
        <v>654786</v>
      </c>
      <c r="G46" t="str">
        <f t="shared" si="7"/>
        <v>kar</v>
      </c>
    </row>
    <row r="47" spans="4:14" x14ac:dyDescent="0.25">
      <c r="F47" t="str">
        <f t="shared" si="6"/>
        <v/>
      </c>
      <c r="G47" t="str">
        <f t="shared" si="7"/>
        <v/>
      </c>
      <c r="K47" t="s">
        <v>66</v>
      </c>
      <c r="L47">
        <f>FIND("s",K47)</f>
        <v>4</v>
      </c>
      <c r="M47">
        <f>FIND("S",K47)</f>
        <v>7</v>
      </c>
      <c r="N47">
        <f>FIND("a",K47)</f>
        <v>10</v>
      </c>
    </row>
    <row r="48" spans="4:14" x14ac:dyDescent="0.25">
      <c r="L48">
        <f>SEARCH("s",K47)</f>
        <v>4</v>
      </c>
      <c r="M48">
        <f>FIND("S",K47)</f>
        <v>7</v>
      </c>
      <c r="N48">
        <f>SEARCH("S",K47)</f>
        <v>4</v>
      </c>
    </row>
    <row r="49" spans="10:12" x14ac:dyDescent="0.25">
      <c r="L49">
        <f>SEARCH("S",K47)</f>
        <v>4</v>
      </c>
    </row>
    <row r="50" spans="10:12" ht="15.75" thickBot="1" x14ac:dyDescent="0.3"/>
    <row r="51" spans="10:12" ht="15.75" thickBot="1" x14ac:dyDescent="0.3">
      <c r="J51" s="26" t="s">
        <v>39</v>
      </c>
      <c r="K51" t="s">
        <v>12</v>
      </c>
      <c r="L51" t="s">
        <v>67</v>
      </c>
    </row>
    <row r="52" spans="10:12" x14ac:dyDescent="0.25">
      <c r="K52" t="str">
        <f>REPLACE(K51,1,7,"chemistry")</f>
        <v>chemistry wallah</v>
      </c>
      <c r="L52" t="str">
        <f>REPLACE($K51,1,7,"Chemistry")</f>
        <v>Chemistry wallah</v>
      </c>
    </row>
    <row r="53" spans="10:12" x14ac:dyDescent="0.25">
      <c r="K53" t="s">
        <v>68</v>
      </c>
      <c r="L53" t="str">
        <f>PROPER(REPLACE(K51,9,6,"guy"))</f>
        <v>Physics Guy</v>
      </c>
    </row>
    <row r="54" spans="10:12" x14ac:dyDescent="0.25">
      <c r="K54" t="str">
        <f>REPLACE(K51,9,6,"guy")</f>
        <v>physics guy</v>
      </c>
    </row>
    <row r="55" spans="10:12" ht="15.75" thickBot="1" x14ac:dyDescent="0.3"/>
    <row r="56" spans="10:12" ht="15.75" thickBot="1" x14ac:dyDescent="0.3">
      <c r="J56" s="26" t="s">
        <v>40</v>
      </c>
      <c r="K56" t="s">
        <v>12</v>
      </c>
      <c r="L56" t="str">
        <f>SUBSTITUTE(K56,"physics","chemistry")</f>
        <v>chemistry wallah</v>
      </c>
    </row>
    <row r="57" spans="10:12" x14ac:dyDescent="0.25">
      <c r="K57" t="str">
        <f>SUBSTITUTE(K56,"physics","chemistry")</f>
        <v>chemistry wallah</v>
      </c>
      <c r="L57" t="str">
        <f>SUBSTITUTE(K56,"wallah","guy")</f>
        <v>physics guy</v>
      </c>
    </row>
    <row r="58" spans="10:12" x14ac:dyDescent="0.25">
      <c r="K58" t="str">
        <f>SUBSTITUTE(K56,"wallah","guy")</f>
        <v>physics guy</v>
      </c>
    </row>
    <row r="60" spans="10:12" x14ac:dyDescent="0.25">
      <c r="K60" t="s">
        <v>69</v>
      </c>
    </row>
    <row r="61" spans="10:12" x14ac:dyDescent="0.25">
      <c r="J61" t="s">
        <v>68</v>
      </c>
      <c r="K61" t="str">
        <f>SUBSTITUTE(K60,"wallah","guy")</f>
        <v>guy guy</v>
      </c>
      <c r="L61" t="str">
        <f>SUBSTITUTE(K60,"wallah","guy")</f>
        <v>guy guy</v>
      </c>
    </row>
    <row r="62" spans="10:12" x14ac:dyDescent="0.25">
      <c r="K62" t="str">
        <f>SUBSTITUTE(K60,"wallah","guy",1)</f>
        <v>guy wallah</v>
      </c>
      <c r="L62" t="str">
        <f>SUBSTITUTE(K61,"guy","wallah",2)</f>
        <v>guy wallah</v>
      </c>
    </row>
    <row r="63" spans="10:12" x14ac:dyDescent="0.25">
      <c r="K63" t="str">
        <f>SUBSTITUTE(K60,"wallah","guy",2)</f>
        <v>wallah guy</v>
      </c>
      <c r="L63" t="str">
        <f>SUBSTITUTE(K61,"guy","wallah",1)</f>
        <v>wallah guy</v>
      </c>
    </row>
    <row r="64" spans="10:12" ht="15.75" thickBot="1" x14ac:dyDescent="0.3"/>
    <row r="65" spans="10:13" ht="15.75" thickBot="1" x14ac:dyDescent="0.3">
      <c r="J65" s="26" t="s">
        <v>41</v>
      </c>
      <c r="K65" t="s">
        <v>70</v>
      </c>
    </row>
    <row r="66" spans="10:13" x14ac:dyDescent="0.25">
      <c r="J66" t="s">
        <v>16</v>
      </c>
      <c r="K66" t="s">
        <v>17</v>
      </c>
      <c r="L66" t="s">
        <v>15</v>
      </c>
      <c r="M66" t="s">
        <v>15</v>
      </c>
    </row>
    <row r="67" spans="10:13" x14ac:dyDescent="0.25">
      <c r="J67" t="s">
        <v>2</v>
      </c>
      <c r="K67" t="s">
        <v>18</v>
      </c>
      <c r="L67" t="str">
        <f>CONCATENATE($J67," ",$K67)</f>
        <v>physics wallah</v>
      </c>
      <c r="M67" t="str">
        <f>CONCATENATE($J67,$K67)</f>
        <v>physicswallah</v>
      </c>
    </row>
    <row r="68" spans="10:13" x14ac:dyDescent="0.25">
      <c r="J68" t="s">
        <v>71</v>
      </c>
      <c r="K68" t="s">
        <v>72</v>
      </c>
      <c r="L68" t="str">
        <f t="shared" ref="L68:L69" si="8">CONCATENATE($J68," ",$K68)</f>
        <v>chemistry agent</v>
      </c>
      <c r="M68" t="str">
        <f t="shared" ref="M68:M71" si="9">CONCATENATE($J68,$K68)</f>
        <v>chemistryagent</v>
      </c>
    </row>
    <row r="69" spans="10:13" x14ac:dyDescent="0.25">
      <c r="J69" t="s">
        <v>73</v>
      </c>
      <c r="K69" t="s">
        <v>74</v>
      </c>
      <c r="L69" t="str">
        <f t="shared" si="8"/>
        <v>maths guy</v>
      </c>
      <c r="M69" t="str">
        <f t="shared" si="9"/>
        <v>mathsguy</v>
      </c>
    </row>
    <row r="70" spans="10:13" x14ac:dyDescent="0.25">
      <c r="J70" t="s">
        <v>16</v>
      </c>
      <c r="K70" t="s">
        <v>17</v>
      </c>
      <c r="L70" t="s">
        <v>15</v>
      </c>
      <c r="M70" t="str">
        <f t="shared" si="9"/>
        <v>first namelast name</v>
      </c>
    </row>
    <row r="71" spans="10:13" x14ac:dyDescent="0.25">
      <c r="J71" t="s">
        <v>75</v>
      </c>
      <c r="K71" t="s">
        <v>76</v>
      </c>
      <c r="L71" t="str">
        <f>CONCATENATE(J71," ",K71)</f>
        <v>apeksha sharma</v>
      </c>
      <c r="M71" t="str">
        <f t="shared" si="9"/>
        <v>apekshasharma</v>
      </c>
    </row>
    <row r="73" spans="10:13" x14ac:dyDescent="0.25">
      <c r="J73" t="s">
        <v>77</v>
      </c>
      <c r="K73" t="s">
        <v>78</v>
      </c>
      <c r="L73" t="s">
        <v>79</v>
      </c>
      <c r="M73" t="str">
        <f>PROPER(CONCATENATE(J73," ",K73," ",L73))</f>
        <v>Aditya Roy Kapoor</v>
      </c>
    </row>
    <row r="74" spans="10:13" x14ac:dyDescent="0.25">
      <c r="J74" t="s">
        <v>80</v>
      </c>
      <c r="K74" t="s">
        <v>81</v>
      </c>
      <c r="L74" t="s">
        <v>82</v>
      </c>
      <c r="M74" t="str">
        <f>CONCATENATE(J74,K74," ",L74)</f>
        <v>shahrukh khan</v>
      </c>
    </row>
    <row r="75" spans="10:13" x14ac:dyDescent="0.25">
      <c r="M75" t="str">
        <f>PROPER(CONCATENATE(J73," ",K73," ",L73))</f>
        <v>Aditya Roy Kapoor</v>
      </c>
    </row>
    <row r="76" spans="10:13" x14ac:dyDescent="0.25">
      <c r="J76" t="str">
        <f>J74&amp;K74&amp;" "&amp;L74</f>
        <v>shahrukh khan</v>
      </c>
      <c r="L76" t="str">
        <f>PROPER(J73&amp;" "&amp;K73&amp;" "&amp;L73)</f>
        <v>Aditya Roy Kapoor</v>
      </c>
    </row>
    <row r="77" spans="10:13" x14ac:dyDescent="0.25">
      <c r="J77" t="str">
        <f>J73&amp;" "&amp;K73&amp;" "&amp;L73</f>
        <v>aditya roy kapoor</v>
      </c>
      <c r="L77" t="str">
        <f>J74&amp;K74&amp;" "&amp;L74</f>
        <v>shahrukh khan</v>
      </c>
    </row>
    <row r="78" spans="10:13" ht="15.75" thickBot="1" x14ac:dyDescent="0.3"/>
    <row r="79" spans="10:13" x14ac:dyDescent="0.25">
      <c r="J79" s="23" t="s">
        <v>43</v>
      </c>
      <c r="K79" t="s">
        <v>83</v>
      </c>
      <c r="L79" t="s">
        <v>70</v>
      </c>
    </row>
    <row r="80" spans="10:13" ht="15.75" thickBot="1" x14ac:dyDescent="0.3">
      <c r="J80" s="25" t="s">
        <v>84</v>
      </c>
      <c r="K80" t="s">
        <v>85</v>
      </c>
      <c r="L80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8F964-CB76-4642-A118-3A7BEA1A8AD8}">
  <dimension ref="A1:N26"/>
  <sheetViews>
    <sheetView workbookViewId="0">
      <selection activeCell="L1" sqref="L1"/>
    </sheetView>
  </sheetViews>
  <sheetFormatPr defaultRowHeight="15" x14ac:dyDescent="0.25"/>
  <cols>
    <col min="1" max="1" width="11.7109375" customWidth="1"/>
    <col min="2" max="2" width="15.42578125" customWidth="1"/>
    <col min="3" max="3" width="11.140625" customWidth="1"/>
  </cols>
  <sheetData>
    <row r="1" spans="1:12" ht="15.75" thickBot="1" x14ac:dyDescent="0.3">
      <c r="A1" t="s">
        <v>86</v>
      </c>
      <c r="B1" t="s">
        <v>87</v>
      </c>
      <c r="C1" t="s">
        <v>88</v>
      </c>
      <c r="D1" t="s">
        <v>89</v>
      </c>
      <c r="E1" t="s">
        <v>88</v>
      </c>
      <c r="K1" s="26" t="s">
        <v>147</v>
      </c>
      <c r="L1" t="s">
        <v>148</v>
      </c>
    </row>
    <row r="2" spans="1:12" x14ac:dyDescent="0.25">
      <c r="A2">
        <v>85</v>
      </c>
      <c r="B2" t="str">
        <f>IF($A2&gt;70,"distinction","no distinction")</f>
        <v>distinction</v>
      </c>
      <c r="C2" t="str">
        <f>IF($A2&gt;80,"a",IF($A2&gt;70,"b","c"))</f>
        <v>a</v>
      </c>
      <c r="D2" t="str">
        <f>IF($A2&gt;80,"a",IF($A2&gt;70,"b",IF($A2&gt;60,"c","d")))</f>
        <v>a</v>
      </c>
      <c r="E2" t="str">
        <f>IF($A2&gt;80,"a",IF($A2&gt;70,"b","c"))</f>
        <v>a</v>
      </c>
      <c r="K2" t="str">
        <f>_xlfn.IFS($A2&gt;80,"A",$A2&gt;70,"B",$A2&lt;70,"C")</f>
        <v>A</v>
      </c>
    </row>
    <row r="3" spans="1:12" x14ac:dyDescent="0.25">
      <c r="A3">
        <v>80</v>
      </c>
      <c r="B3" t="str">
        <f t="shared" ref="B3:B7" si="0">IF($A3&gt;70,"distinction","no distinction")</f>
        <v>distinction</v>
      </c>
      <c r="C3" t="str">
        <f t="shared" ref="C3:C7" si="1">IF($A3&gt;80,"a",IF($A3&gt;70,"b","c"))</f>
        <v>b</v>
      </c>
      <c r="D3" t="str">
        <f t="shared" ref="D3:D7" si="2">IF($A3&gt;80,"a",IF($A3&gt;70,"b",IF($A3&gt;60,"c","d")))</f>
        <v>b</v>
      </c>
      <c r="E3" t="str">
        <f t="shared" ref="E3:E8" si="3">IF($A3&gt;80,"a",IF($A3&gt;70,"b","c"))</f>
        <v>b</v>
      </c>
      <c r="F3" t="s">
        <v>90</v>
      </c>
      <c r="K3" t="str">
        <f t="shared" ref="K3:K7" si="4">_xlfn.IFS($A3&gt;80,"A",$A3&gt;70,"B",$A3&lt;70,"C")</f>
        <v>B</v>
      </c>
    </row>
    <row r="4" spans="1:12" x14ac:dyDescent="0.25">
      <c r="A4">
        <v>68</v>
      </c>
      <c r="B4" t="str">
        <f t="shared" si="0"/>
        <v>no distinction</v>
      </c>
      <c r="C4" t="str">
        <f t="shared" si="1"/>
        <v>c</v>
      </c>
      <c r="D4" t="str">
        <f t="shared" si="2"/>
        <v>c</v>
      </c>
      <c r="E4" t="str">
        <f t="shared" si="3"/>
        <v>c</v>
      </c>
      <c r="K4" t="str">
        <f t="shared" si="4"/>
        <v>C</v>
      </c>
    </row>
    <row r="5" spans="1:12" x14ac:dyDescent="0.25">
      <c r="A5">
        <v>72</v>
      </c>
      <c r="B5" t="str">
        <f t="shared" si="0"/>
        <v>distinction</v>
      </c>
      <c r="C5" t="str">
        <f t="shared" si="1"/>
        <v>b</v>
      </c>
      <c r="D5" t="str">
        <f t="shared" si="2"/>
        <v>b</v>
      </c>
      <c r="E5" t="str">
        <f t="shared" si="3"/>
        <v>b</v>
      </c>
      <c r="K5" t="str">
        <f t="shared" si="4"/>
        <v>B</v>
      </c>
    </row>
    <row r="6" spans="1:12" x14ac:dyDescent="0.25">
      <c r="A6">
        <v>74</v>
      </c>
      <c r="B6" t="str">
        <f t="shared" si="0"/>
        <v>distinction</v>
      </c>
      <c r="C6" t="str">
        <f t="shared" si="1"/>
        <v>b</v>
      </c>
      <c r="D6" t="str">
        <f t="shared" si="2"/>
        <v>b</v>
      </c>
      <c r="E6" t="str">
        <f t="shared" si="3"/>
        <v>b</v>
      </c>
      <c r="F6" t="s">
        <v>91</v>
      </c>
      <c r="K6" t="str">
        <f t="shared" si="4"/>
        <v>B</v>
      </c>
    </row>
    <row r="7" spans="1:12" x14ac:dyDescent="0.25">
      <c r="A7">
        <v>80</v>
      </c>
      <c r="B7" t="str">
        <f t="shared" si="0"/>
        <v>distinction</v>
      </c>
      <c r="C7" t="str">
        <f t="shared" si="1"/>
        <v>b</v>
      </c>
      <c r="D7" t="str">
        <f t="shared" si="2"/>
        <v>b</v>
      </c>
      <c r="E7" t="str">
        <f t="shared" si="3"/>
        <v>b</v>
      </c>
      <c r="F7" t="s">
        <v>92</v>
      </c>
      <c r="K7" t="str">
        <f t="shared" si="4"/>
        <v>B</v>
      </c>
    </row>
    <row r="8" spans="1:12" x14ac:dyDescent="0.25">
      <c r="F8" t="s">
        <v>93</v>
      </c>
    </row>
    <row r="10" spans="1:12" x14ac:dyDescent="0.25">
      <c r="B10" t="s">
        <v>94</v>
      </c>
      <c r="F10" t="s">
        <v>91</v>
      </c>
    </row>
    <row r="11" spans="1:12" x14ac:dyDescent="0.25">
      <c r="B11" t="s">
        <v>95</v>
      </c>
      <c r="F11" t="s">
        <v>92</v>
      </c>
    </row>
    <row r="12" spans="1:12" x14ac:dyDescent="0.25">
      <c r="F12" t="s">
        <v>96</v>
      </c>
    </row>
    <row r="13" spans="1:12" x14ac:dyDescent="0.25">
      <c r="F13" t="s">
        <v>97</v>
      </c>
    </row>
    <row r="14" spans="1:12" ht="15.75" thickBot="1" x14ac:dyDescent="0.3"/>
    <row r="15" spans="1:12" x14ac:dyDescent="0.25">
      <c r="B15" s="27" t="s">
        <v>94</v>
      </c>
      <c r="C15" t="s">
        <v>98</v>
      </c>
    </row>
    <row r="16" spans="1:12" ht="15.75" thickBot="1" x14ac:dyDescent="0.3">
      <c r="B16" s="28" t="s">
        <v>95</v>
      </c>
      <c r="C16" t="s">
        <v>99</v>
      </c>
    </row>
    <row r="18" spans="2:14" x14ac:dyDescent="0.25">
      <c r="B18" t="s">
        <v>100</v>
      </c>
      <c r="C18" t="s">
        <v>2</v>
      </c>
      <c r="D18" t="s">
        <v>71</v>
      </c>
      <c r="E18" t="s">
        <v>73</v>
      </c>
      <c r="F18" t="s">
        <v>87</v>
      </c>
      <c r="G18" t="s">
        <v>101</v>
      </c>
      <c r="H18" t="s">
        <v>102</v>
      </c>
      <c r="I18" t="s">
        <v>103</v>
      </c>
      <c r="K18" t="s">
        <v>87</v>
      </c>
      <c r="L18" t="s">
        <v>101</v>
      </c>
      <c r="M18" t="s">
        <v>102</v>
      </c>
      <c r="N18" t="s">
        <v>146</v>
      </c>
    </row>
    <row r="19" spans="2:14" x14ac:dyDescent="0.25">
      <c r="B19" t="s">
        <v>30</v>
      </c>
      <c r="C19">
        <v>74</v>
      </c>
      <c r="D19">
        <v>78</v>
      </c>
      <c r="E19">
        <v>87</v>
      </c>
      <c r="F19" t="b">
        <f>AND($C19&gt;75,$D19&gt;75,$E19&gt;75)</f>
        <v>0</v>
      </c>
      <c r="G19" t="b">
        <f>OR($C19&gt;75,$D19&gt;75,$E19&gt;75)</f>
        <v>1</v>
      </c>
      <c r="H19">
        <f>IF($F19=FALSE,0,1)</f>
        <v>0</v>
      </c>
      <c r="I19">
        <f>IF($G19=TRUE,1,0)</f>
        <v>1</v>
      </c>
      <c r="K19" t="b">
        <f>AND($C19&gt;75,$D19&gt;75,$E19&gt;75)</f>
        <v>0</v>
      </c>
      <c r="L19" t="b">
        <f>OR($C19&gt;75,$D19&gt;75,$E19&gt;75)</f>
        <v>1</v>
      </c>
      <c r="M19">
        <f>IF($K19=FALSE,0,1)</f>
        <v>0</v>
      </c>
      <c r="N19">
        <f>IF($L19=TRUE,1,0)</f>
        <v>1</v>
      </c>
    </row>
    <row r="20" spans="2:14" x14ac:dyDescent="0.25">
      <c r="B20" t="s">
        <v>32</v>
      </c>
      <c r="C20">
        <v>78</v>
      </c>
      <c r="D20">
        <v>77</v>
      </c>
      <c r="E20">
        <v>91</v>
      </c>
      <c r="F20" t="b">
        <f t="shared" ref="F20:F23" si="5">AND($C20&gt;75,$D20&gt;75,$E20&gt;75)</f>
        <v>1</v>
      </c>
      <c r="G20" t="b">
        <f t="shared" ref="G20:G23" si="6">OR($C20&gt;75,$D20&gt;75,$E20&gt;75)</f>
        <v>1</v>
      </c>
      <c r="H20">
        <f t="shared" ref="H20:H23" si="7">IF($F20=FALSE,0,1)</f>
        <v>1</v>
      </c>
      <c r="I20">
        <f t="shared" ref="I20:I23" si="8">IF($G20=TRUE,1,0)</f>
        <v>1</v>
      </c>
      <c r="K20" t="b">
        <f t="shared" ref="K20:K23" si="9">AND($C20&gt;75,$D20&gt;75,$E20&gt;75)</f>
        <v>1</v>
      </c>
      <c r="L20" t="b">
        <f t="shared" ref="L20:L23" si="10">OR($C20&gt;75,$D20&gt;75,$E20&gt;75)</f>
        <v>1</v>
      </c>
      <c r="M20">
        <f t="shared" ref="M20:M23" si="11">IF($K20=FALSE,0,1)</f>
        <v>1</v>
      </c>
      <c r="N20">
        <f t="shared" ref="N20:N23" si="12">IF($L20=TRUE,1,0)</f>
        <v>1</v>
      </c>
    </row>
    <row r="21" spans="2:14" x14ac:dyDescent="0.25">
      <c r="B21" t="s">
        <v>34</v>
      </c>
      <c r="C21">
        <v>65</v>
      </c>
      <c r="D21">
        <v>78</v>
      </c>
      <c r="E21">
        <v>76</v>
      </c>
      <c r="F21" t="b">
        <f t="shared" si="5"/>
        <v>0</v>
      </c>
      <c r="G21" t="b">
        <f t="shared" si="6"/>
        <v>1</v>
      </c>
      <c r="H21">
        <f t="shared" si="7"/>
        <v>0</v>
      </c>
      <c r="I21">
        <f t="shared" si="8"/>
        <v>1</v>
      </c>
      <c r="K21" t="b">
        <f t="shared" si="9"/>
        <v>0</v>
      </c>
      <c r="L21" t="b">
        <f t="shared" si="10"/>
        <v>1</v>
      </c>
      <c r="M21">
        <f t="shared" si="11"/>
        <v>0</v>
      </c>
      <c r="N21">
        <f t="shared" si="12"/>
        <v>1</v>
      </c>
    </row>
    <row r="22" spans="2:14" x14ac:dyDescent="0.25">
      <c r="B22" t="s">
        <v>37</v>
      </c>
      <c r="C22">
        <v>77</v>
      </c>
      <c r="D22">
        <v>65</v>
      </c>
      <c r="E22">
        <v>88</v>
      </c>
      <c r="F22" t="b">
        <f t="shared" si="5"/>
        <v>0</v>
      </c>
      <c r="G22" t="b">
        <f t="shared" si="6"/>
        <v>1</v>
      </c>
      <c r="H22">
        <f t="shared" si="7"/>
        <v>0</v>
      </c>
      <c r="I22">
        <f t="shared" si="8"/>
        <v>1</v>
      </c>
      <c r="K22" t="b">
        <f t="shared" si="9"/>
        <v>0</v>
      </c>
      <c r="L22" t="b">
        <f t="shared" si="10"/>
        <v>1</v>
      </c>
      <c r="M22">
        <f t="shared" si="11"/>
        <v>0</v>
      </c>
      <c r="N22">
        <f t="shared" si="12"/>
        <v>1</v>
      </c>
    </row>
    <row r="23" spans="2:14" x14ac:dyDescent="0.25">
      <c r="B23" t="s">
        <v>104</v>
      </c>
      <c r="C23">
        <v>80</v>
      </c>
      <c r="D23">
        <v>79</v>
      </c>
      <c r="E23">
        <v>97</v>
      </c>
      <c r="F23" t="b">
        <f t="shared" si="5"/>
        <v>1</v>
      </c>
      <c r="G23" t="b">
        <f t="shared" si="6"/>
        <v>1</v>
      </c>
      <c r="H23">
        <f t="shared" si="7"/>
        <v>1</v>
      </c>
      <c r="I23">
        <f t="shared" si="8"/>
        <v>1</v>
      </c>
      <c r="K23" t="b">
        <f t="shared" si="9"/>
        <v>1</v>
      </c>
      <c r="L23" t="b">
        <f t="shared" si="10"/>
        <v>1</v>
      </c>
      <c r="M23">
        <f t="shared" si="11"/>
        <v>1</v>
      </c>
      <c r="N23">
        <f t="shared" si="12"/>
        <v>1</v>
      </c>
    </row>
    <row r="25" spans="2:14" x14ac:dyDescent="0.25">
      <c r="C25">
        <v>1</v>
      </c>
      <c r="D25" t="s">
        <v>105</v>
      </c>
    </row>
    <row r="26" spans="2:14" x14ac:dyDescent="0.25">
      <c r="C26" t="s">
        <v>106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C15B0-D197-4500-959F-7EE2742EB49D}">
  <dimension ref="B1:AI18"/>
  <sheetViews>
    <sheetView workbookViewId="0">
      <selection activeCell="H8" sqref="H8"/>
    </sheetView>
  </sheetViews>
  <sheetFormatPr defaultRowHeight="15" x14ac:dyDescent="0.25"/>
  <cols>
    <col min="13" max="13" width="11.140625" bestFit="1" customWidth="1"/>
    <col min="21" max="21" width="11.140625" bestFit="1" customWidth="1"/>
    <col min="31" max="31" width="9.140625" style="7"/>
  </cols>
  <sheetData>
    <row r="1" spans="2:35" ht="15.75" thickBot="1" x14ac:dyDescent="0.3">
      <c r="M1" s="2" t="s">
        <v>107</v>
      </c>
      <c r="O1" t="s">
        <v>108</v>
      </c>
      <c r="Q1" t="s">
        <v>109</v>
      </c>
      <c r="S1" t="s">
        <v>110</v>
      </c>
      <c r="U1" s="2" t="s">
        <v>107</v>
      </c>
      <c r="V1" t="s">
        <v>111</v>
      </c>
      <c r="W1">
        <v>8</v>
      </c>
      <c r="Y1" t="s">
        <v>109</v>
      </c>
      <c r="Z1" t="s">
        <v>111</v>
      </c>
      <c r="AA1">
        <v>4</v>
      </c>
      <c r="AC1" s="2" t="s">
        <v>107</v>
      </c>
      <c r="AD1" s="2" t="s">
        <v>112</v>
      </c>
      <c r="AE1" s="7" t="s">
        <v>113</v>
      </c>
    </row>
    <row r="2" spans="2:35" ht="18.75" x14ac:dyDescent="0.3">
      <c r="G2" s="9" t="s">
        <v>111</v>
      </c>
      <c r="H2" s="10" t="s">
        <v>135</v>
      </c>
      <c r="I2" s="11"/>
      <c r="M2" t="s">
        <v>114</v>
      </c>
      <c r="O2">
        <f>MATCH(O1,$M$1:$M$9,0)</f>
        <v>7</v>
      </c>
      <c r="Q2" t="s">
        <v>115</v>
      </c>
      <c r="S2">
        <f>MATCH(S1,$Q$2:$Q$5,0)</f>
        <v>1</v>
      </c>
      <c r="U2" t="s">
        <v>114</v>
      </c>
      <c r="W2" t="str">
        <f>INDEX($U$2:$U$9,W1)</f>
        <v>speaker</v>
      </c>
      <c r="Y2" t="s">
        <v>115</v>
      </c>
      <c r="AA2" t="str">
        <f>INDEX($Y$2:$Y$5,AA1)</f>
        <v>yellow</v>
      </c>
      <c r="AC2" t="s">
        <v>114</v>
      </c>
      <c r="AD2">
        <v>100</v>
      </c>
      <c r="AE2" s="7" t="s">
        <v>116</v>
      </c>
      <c r="AG2" t="s">
        <v>117</v>
      </c>
    </row>
    <row r="3" spans="2:35" ht="18.75" x14ac:dyDescent="0.3">
      <c r="G3" s="12" t="s">
        <v>136</v>
      </c>
      <c r="H3" s="13" t="s">
        <v>137</v>
      </c>
      <c r="I3" s="14"/>
      <c r="M3" t="s">
        <v>118</v>
      </c>
      <c r="O3">
        <f>MATCH(O1,$M$2:$M$9,0)</f>
        <v>6</v>
      </c>
      <c r="Q3" t="s">
        <v>110</v>
      </c>
      <c r="U3" t="s">
        <v>118</v>
      </c>
      <c r="Y3" t="s">
        <v>110</v>
      </c>
      <c r="AC3" t="s">
        <v>118</v>
      </c>
      <c r="AD3">
        <v>150</v>
      </c>
      <c r="AE3" s="7" t="s">
        <v>119</v>
      </c>
    </row>
    <row r="4" spans="2:35" ht="19.5" thickBot="1" x14ac:dyDescent="0.35">
      <c r="G4" s="15"/>
      <c r="H4" s="16" t="s">
        <v>138</v>
      </c>
      <c r="I4" s="17"/>
      <c r="M4" t="s">
        <v>120</v>
      </c>
      <c r="Q4" t="s">
        <v>121</v>
      </c>
      <c r="U4" t="s">
        <v>120</v>
      </c>
      <c r="Y4" t="s">
        <v>121</v>
      </c>
      <c r="AC4" t="s">
        <v>120</v>
      </c>
      <c r="AD4">
        <v>200</v>
      </c>
      <c r="AE4" s="7" t="s">
        <v>122</v>
      </c>
      <c r="AG4" t="s">
        <v>123</v>
      </c>
      <c r="AI4">
        <v>6</v>
      </c>
    </row>
    <row r="5" spans="2:35" s="7" customFormat="1" x14ac:dyDescent="0.25">
      <c r="M5" s="7" t="s">
        <v>124</v>
      </c>
      <c r="Q5" s="7" t="s">
        <v>125</v>
      </c>
      <c r="U5" s="7" t="s">
        <v>124</v>
      </c>
      <c r="Y5" s="7" t="s">
        <v>125</v>
      </c>
      <c r="AC5" s="7" t="s">
        <v>124</v>
      </c>
      <c r="AD5" s="7">
        <v>80</v>
      </c>
      <c r="AE5" s="8" t="s">
        <v>126</v>
      </c>
      <c r="AG5" s="7" t="s">
        <v>127</v>
      </c>
      <c r="AI5" s="7">
        <v>3</v>
      </c>
    </row>
    <row r="6" spans="2:35" x14ac:dyDescent="0.25">
      <c r="M6" t="s">
        <v>128</v>
      </c>
      <c r="U6" t="s">
        <v>128</v>
      </c>
      <c r="AC6" t="s">
        <v>128</v>
      </c>
      <c r="AD6">
        <v>50</v>
      </c>
      <c r="AE6" s="7" t="s">
        <v>129</v>
      </c>
    </row>
    <row r="7" spans="2:35" x14ac:dyDescent="0.25">
      <c r="M7" t="s">
        <v>108</v>
      </c>
      <c r="U7" t="s">
        <v>108</v>
      </c>
      <c r="AC7" t="s">
        <v>108</v>
      </c>
      <c r="AD7">
        <v>20</v>
      </c>
      <c r="AE7" s="7" t="s">
        <v>130</v>
      </c>
      <c r="AG7" t="str">
        <f>INDEX($AC$2:$AE$9,AI4,AI5)</f>
        <v>s4</v>
      </c>
    </row>
    <row r="8" spans="2:35" x14ac:dyDescent="0.25">
      <c r="M8" t="s">
        <v>131</v>
      </c>
      <c r="U8" t="s">
        <v>131</v>
      </c>
      <c r="AC8" t="s">
        <v>131</v>
      </c>
      <c r="AD8">
        <v>300</v>
      </c>
      <c r="AE8" s="7" t="s">
        <v>132</v>
      </c>
    </row>
    <row r="9" spans="2:35" x14ac:dyDescent="0.25">
      <c r="M9" t="s">
        <v>133</v>
      </c>
      <c r="U9" t="s">
        <v>133</v>
      </c>
      <c r="AC9" s="2" t="s">
        <v>133</v>
      </c>
      <c r="AD9">
        <v>170</v>
      </c>
      <c r="AE9" s="7" t="s">
        <v>134</v>
      </c>
    </row>
    <row r="11" spans="2:35" x14ac:dyDescent="0.25">
      <c r="AC11">
        <v>4</v>
      </c>
      <c r="AE11" s="7">
        <v>4</v>
      </c>
    </row>
    <row r="12" spans="2:35" x14ac:dyDescent="0.25">
      <c r="AC12">
        <v>3</v>
      </c>
      <c r="AE12" s="7">
        <v>2</v>
      </c>
    </row>
    <row r="14" spans="2:35" x14ac:dyDescent="0.25">
      <c r="AC14">
        <v>8</v>
      </c>
      <c r="AE14" s="7">
        <v>6</v>
      </c>
    </row>
    <row r="15" spans="2:35" x14ac:dyDescent="0.25">
      <c r="AC15">
        <v>1</v>
      </c>
      <c r="AE15" s="7">
        <v>3</v>
      </c>
    </row>
    <row r="16" spans="2:35" x14ac:dyDescent="0.25">
      <c r="B16" t="s">
        <v>111</v>
      </c>
      <c r="C16" t="s">
        <v>135</v>
      </c>
    </row>
    <row r="17" spans="2:3" x14ac:dyDescent="0.25">
      <c r="B17" t="s">
        <v>136</v>
      </c>
      <c r="C17" t="s">
        <v>137</v>
      </c>
    </row>
    <row r="18" spans="2:3" x14ac:dyDescent="0.25">
      <c r="C18" t="s">
        <v>138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E445A-C54F-4CBA-AD2D-2593F82BE0D4}">
  <dimension ref="A1:J2824"/>
  <sheetViews>
    <sheetView tabSelected="1" workbookViewId="0">
      <selection activeCell="J4" sqref="J4"/>
    </sheetView>
  </sheetViews>
  <sheetFormatPr defaultRowHeight="15" x14ac:dyDescent="0.25"/>
  <cols>
    <col min="1" max="1" width="14.7109375" customWidth="1"/>
    <col min="2" max="2" width="15.42578125" customWidth="1"/>
    <col min="3" max="3" width="10.140625" customWidth="1"/>
    <col min="4" max="4" width="11.42578125" customWidth="1"/>
    <col min="5" max="5" width="10.42578125" customWidth="1"/>
    <col min="10" max="10" width="14.85546875" bestFit="1" customWidth="1"/>
  </cols>
  <sheetData>
    <row r="1" spans="1:10" x14ac:dyDescent="0.25">
      <c r="A1" s="18" t="s">
        <v>139</v>
      </c>
      <c r="B1" s="2" t="s">
        <v>140</v>
      </c>
      <c r="C1" t="s">
        <v>141</v>
      </c>
      <c r="D1" t="s">
        <v>142</v>
      </c>
      <c r="E1" t="s">
        <v>143</v>
      </c>
      <c r="F1" t="s">
        <v>149</v>
      </c>
      <c r="G1" t="s">
        <v>150</v>
      </c>
      <c r="H1" t="s">
        <v>151</v>
      </c>
      <c r="I1" t="s">
        <v>152</v>
      </c>
    </row>
    <row r="2" spans="1:10" x14ac:dyDescent="0.25">
      <c r="A2" s="19">
        <v>41623</v>
      </c>
      <c r="B2" s="20">
        <v>3.4722222222222224E-2</v>
      </c>
      <c r="C2" t="str">
        <f>TEXT(A2,"YY")</f>
        <v>13</v>
      </c>
      <c r="D2" t="str">
        <f>TEXT(A2,"mm")</f>
        <v>12</v>
      </c>
      <c r="E2" t="str">
        <f>TEXT(A2,"dd")</f>
        <v>15</v>
      </c>
      <c r="F2">
        <f>YEAR($A2)</f>
        <v>2013</v>
      </c>
      <c r="G2">
        <f>MONTH($A2)</f>
        <v>12</v>
      </c>
      <c r="H2">
        <f>DAY($A2)</f>
        <v>15</v>
      </c>
      <c r="I2" t="str">
        <f>TEXT($A2,"YY")</f>
        <v>13</v>
      </c>
    </row>
    <row r="3" spans="1:10" x14ac:dyDescent="0.25">
      <c r="A3" s="19">
        <v>41758</v>
      </c>
      <c r="B3" s="20">
        <v>0.98611111111111116</v>
      </c>
      <c r="C3" t="str">
        <f t="shared" ref="C3:C66" si="0">TEXT(A3,"YY")</f>
        <v>14</v>
      </c>
      <c r="D3" t="str">
        <f t="shared" ref="D3:D66" si="1">TEXT(A3,"mm")</f>
        <v>04</v>
      </c>
      <c r="E3" t="str">
        <f t="shared" ref="E3:E66" si="2">TEXT(A3,"dd")</f>
        <v>29</v>
      </c>
      <c r="F3">
        <f t="shared" ref="F3:F66" si="3">YEAR($A3)</f>
        <v>2014</v>
      </c>
      <c r="G3">
        <f t="shared" ref="G3:G66" si="4">MONTH($A3)</f>
        <v>4</v>
      </c>
      <c r="H3">
        <f t="shared" ref="H3:H66" si="5">DAY($A3)</f>
        <v>29</v>
      </c>
      <c r="I3" t="str">
        <f t="shared" ref="I3:I66" si="6">TEXT($A3,"YY")</f>
        <v>14</v>
      </c>
      <c r="J3" s="31">
        <f ca="1">NOW()</f>
        <v>46284.438978356484</v>
      </c>
    </row>
    <row r="4" spans="1:10" x14ac:dyDescent="0.25">
      <c r="A4" s="19">
        <v>41273</v>
      </c>
      <c r="B4" s="20">
        <v>1.4583333333333334E-2</v>
      </c>
      <c r="C4" t="str">
        <f t="shared" si="0"/>
        <v>12</v>
      </c>
      <c r="D4" t="str">
        <f t="shared" si="1"/>
        <v>12</v>
      </c>
      <c r="E4" t="str">
        <f t="shared" si="2"/>
        <v>30</v>
      </c>
      <c r="F4">
        <f t="shared" si="3"/>
        <v>2012</v>
      </c>
      <c r="G4">
        <f t="shared" si="4"/>
        <v>12</v>
      </c>
      <c r="H4">
        <f t="shared" si="5"/>
        <v>30</v>
      </c>
      <c r="I4" t="str">
        <f t="shared" si="6"/>
        <v>12</v>
      </c>
      <c r="J4" s="19">
        <f ca="1">TODAY()</f>
        <v>46284</v>
      </c>
    </row>
    <row r="5" spans="1:10" x14ac:dyDescent="0.25">
      <c r="A5" s="19">
        <v>41971</v>
      </c>
      <c r="B5" s="20">
        <v>2.1527777777777778E-2</v>
      </c>
      <c r="C5" t="str">
        <f t="shared" si="0"/>
        <v>14</v>
      </c>
      <c r="D5" t="str">
        <f t="shared" si="1"/>
        <v>11</v>
      </c>
      <c r="E5" t="str">
        <f t="shared" si="2"/>
        <v>28</v>
      </c>
      <c r="F5">
        <f t="shared" si="3"/>
        <v>2014</v>
      </c>
      <c r="G5">
        <f t="shared" si="4"/>
        <v>11</v>
      </c>
      <c r="H5">
        <f t="shared" si="5"/>
        <v>28</v>
      </c>
      <c r="I5" t="str">
        <f t="shared" si="6"/>
        <v>14</v>
      </c>
      <c r="J5">
        <f ca="1">MINUTE(J3)</f>
        <v>32</v>
      </c>
    </row>
    <row r="6" spans="1:10" x14ac:dyDescent="0.25">
      <c r="A6" s="19">
        <v>41573</v>
      </c>
      <c r="B6" s="20">
        <v>0.96597222222222223</v>
      </c>
      <c r="C6" t="str">
        <f t="shared" si="0"/>
        <v>13</v>
      </c>
      <c r="D6" t="str">
        <f t="shared" si="1"/>
        <v>10</v>
      </c>
      <c r="E6" t="str">
        <f t="shared" si="2"/>
        <v>26</v>
      </c>
      <c r="F6">
        <f t="shared" si="3"/>
        <v>2013</v>
      </c>
      <c r="G6">
        <f t="shared" si="4"/>
        <v>10</v>
      </c>
      <c r="H6">
        <f t="shared" si="5"/>
        <v>26</v>
      </c>
      <c r="I6" t="str">
        <f t="shared" si="6"/>
        <v>13</v>
      </c>
    </row>
    <row r="7" spans="1:10" x14ac:dyDescent="0.25">
      <c r="A7" s="19">
        <v>42437</v>
      </c>
      <c r="B7" s="20">
        <v>0.95277777777777772</v>
      </c>
      <c r="C7" t="str">
        <f t="shared" si="0"/>
        <v>16</v>
      </c>
      <c r="D7" t="str">
        <f t="shared" si="1"/>
        <v>03</v>
      </c>
      <c r="E7" t="str">
        <f t="shared" si="2"/>
        <v>08</v>
      </c>
      <c r="F7">
        <f t="shared" si="3"/>
        <v>2016</v>
      </c>
      <c r="G7">
        <f t="shared" si="4"/>
        <v>3</v>
      </c>
      <c r="H7">
        <f t="shared" si="5"/>
        <v>8</v>
      </c>
      <c r="I7" t="str">
        <f t="shared" si="6"/>
        <v>16</v>
      </c>
    </row>
    <row r="8" spans="1:10" x14ac:dyDescent="0.25">
      <c r="A8" s="19">
        <v>41688</v>
      </c>
      <c r="B8" s="20">
        <v>1.5972222222222221E-2</v>
      </c>
      <c r="C8" t="str">
        <f t="shared" si="0"/>
        <v>14</v>
      </c>
      <c r="D8" t="str">
        <f t="shared" si="1"/>
        <v>02</v>
      </c>
      <c r="E8" t="str">
        <f t="shared" si="2"/>
        <v>18</v>
      </c>
      <c r="F8">
        <f t="shared" si="3"/>
        <v>2014</v>
      </c>
      <c r="G8">
        <f t="shared" si="4"/>
        <v>2</v>
      </c>
      <c r="H8">
        <f t="shared" si="5"/>
        <v>18</v>
      </c>
      <c r="I8" t="str">
        <f t="shared" si="6"/>
        <v>14</v>
      </c>
    </row>
    <row r="9" spans="1:10" x14ac:dyDescent="0.25">
      <c r="A9" s="19">
        <v>41236</v>
      </c>
      <c r="B9" s="20">
        <v>4.8611111111111112E-2</v>
      </c>
      <c r="C9" t="str">
        <f t="shared" si="0"/>
        <v>12</v>
      </c>
      <c r="D9" t="str">
        <f t="shared" si="1"/>
        <v>11</v>
      </c>
      <c r="E9" t="str">
        <f t="shared" si="2"/>
        <v>23</v>
      </c>
      <c r="F9">
        <f t="shared" si="3"/>
        <v>2012</v>
      </c>
      <c r="G9">
        <f t="shared" si="4"/>
        <v>11</v>
      </c>
      <c r="H9">
        <f t="shared" si="5"/>
        <v>23</v>
      </c>
      <c r="I9" t="str">
        <f t="shared" si="6"/>
        <v>12</v>
      </c>
    </row>
    <row r="10" spans="1:10" x14ac:dyDescent="0.25">
      <c r="A10" s="19">
        <v>41996</v>
      </c>
      <c r="B10" s="20">
        <v>5.5555555555555552E-2</v>
      </c>
      <c r="C10" t="str">
        <f t="shared" si="0"/>
        <v>14</v>
      </c>
      <c r="D10" t="str">
        <f t="shared" si="1"/>
        <v>12</v>
      </c>
      <c r="E10" t="str">
        <f t="shared" si="2"/>
        <v>23</v>
      </c>
      <c r="F10">
        <f t="shared" si="3"/>
        <v>2014</v>
      </c>
      <c r="G10">
        <f t="shared" si="4"/>
        <v>12</v>
      </c>
      <c r="H10">
        <f t="shared" si="5"/>
        <v>23</v>
      </c>
      <c r="I10" t="str">
        <f t="shared" si="6"/>
        <v>14</v>
      </c>
    </row>
    <row r="11" spans="1:10" x14ac:dyDescent="0.25">
      <c r="A11" s="19">
        <v>41216</v>
      </c>
      <c r="B11" s="20">
        <v>0.99027777777777781</v>
      </c>
      <c r="C11" t="str">
        <f t="shared" si="0"/>
        <v>12</v>
      </c>
      <c r="D11" t="str">
        <f t="shared" si="1"/>
        <v>11</v>
      </c>
      <c r="E11" t="str">
        <f t="shared" si="2"/>
        <v>03</v>
      </c>
      <c r="F11">
        <f t="shared" si="3"/>
        <v>2012</v>
      </c>
      <c r="G11">
        <f t="shared" si="4"/>
        <v>11</v>
      </c>
      <c r="H11">
        <f t="shared" si="5"/>
        <v>3</v>
      </c>
      <c r="I11" t="str">
        <f t="shared" si="6"/>
        <v>12</v>
      </c>
    </row>
    <row r="12" spans="1:10" x14ac:dyDescent="0.25">
      <c r="A12" s="19">
        <v>41481</v>
      </c>
      <c r="B12" s="20">
        <v>7.6388888888888886E-3</v>
      </c>
      <c r="C12" t="str">
        <f t="shared" si="0"/>
        <v>13</v>
      </c>
      <c r="D12" t="str">
        <f t="shared" si="1"/>
        <v>07</v>
      </c>
      <c r="E12" t="str">
        <f t="shared" si="2"/>
        <v>26</v>
      </c>
      <c r="F12">
        <f t="shared" si="3"/>
        <v>2013</v>
      </c>
      <c r="G12">
        <f t="shared" si="4"/>
        <v>7</v>
      </c>
      <c r="H12">
        <f t="shared" si="5"/>
        <v>26</v>
      </c>
      <c r="I12" t="str">
        <f t="shared" si="6"/>
        <v>13</v>
      </c>
    </row>
    <row r="13" spans="1:10" x14ac:dyDescent="0.25">
      <c r="A13" s="19">
        <v>41626</v>
      </c>
      <c r="B13" s="20">
        <v>2.7083333333333334E-2</v>
      </c>
      <c r="C13" t="str">
        <f t="shared" si="0"/>
        <v>13</v>
      </c>
      <c r="D13" t="str">
        <f t="shared" si="1"/>
        <v>12</v>
      </c>
      <c r="E13" t="str">
        <f t="shared" si="2"/>
        <v>18</v>
      </c>
      <c r="F13">
        <f t="shared" si="3"/>
        <v>2013</v>
      </c>
      <c r="G13">
        <f t="shared" si="4"/>
        <v>12</v>
      </c>
      <c r="H13">
        <f t="shared" si="5"/>
        <v>18</v>
      </c>
      <c r="I13" t="str">
        <f t="shared" si="6"/>
        <v>13</v>
      </c>
    </row>
    <row r="14" spans="1:10" x14ac:dyDescent="0.25">
      <c r="A14" s="19">
        <v>41430</v>
      </c>
      <c r="B14" s="20">
        <v>4.5138888888888888E-2</v>
      </c>
      <c r="C14" t="str">
        <f t="shared" si="0"/>
        <v>13</v>
      </c>
      <c r="D14" t="str">
        <f t="shared" si="1"/>
        <v>06</v>
      </c>
      <c r="E14" t="str">
        <f t="shared" si="2"/>
        <v>05</v>
      </c>
      <c r="F14">
        <f t="shared" si="3"/>
        <v>2013</v>
      </c>
      <c r="G14">
        <f t="shared" si="4"/>
        <v>6</v>
      </c>
      <c r="H14">
        <f t="shared" si="5"/>
        <v>5</v>
      </c>
      <c r="I14" t="str">
        <f t="shared" si="6"/>
        <v>13</v>
      </c>
    </row>
    <row r="15" spans="1:10" x14ac:dyDescent="0.25">
      <c r="A15" s="19">
        <v>42701</v>
      </c>
      <c r="B15" s="20">
        <v>0.93680555555555556</v>
      </c>
      <c r="C15" t="str">
        <f t="shared" si="0"/>
        <v>16</v>
      </c>
      <c r="D15" t="str">
        <f t="shared" si="1"/>
        <v>11</v>
      </c>
      <c r="E15" t="str">
        <f t="shared" si="2"/>
        <v>27</v>
      </c>
      <c r="F15">
        <f t="shared" si="3"/>
        <v>2016</v>
      </c>
      <c r="G15">
        <f t="shared" si="4"/>
        <v>11</v>
      </c>
      <c r="H15">
        <f t="shared" si="5"/>
        <v>27</v>
      </c>
      <c r="I15" t="str">
        <f t="shared" si="6"/>
        <v>16</v>
      </c>
    </row>
    <row r="16" spans="1:10" x14ac:dyDescent="0.25">
      <c r="A16" s="19">
        <v>42281</v>
      </c>
      <c r="B16" s="20">
        <v>7.0833333333333331E-2</v>
      </c>
      <c r="C16" t="str">
        <f t="shared" si="0"/>
        <v>15</v>
      </c>
      <c r="D16" t="str">
        <f t="shared" si="1"/>
        <v>10</v>
      </c>
      <c r="E16" t="str">
        <f t="shared" si="2"/>
        <v>04</v>
      </c>
      <c r="F16">
        <f t="shared" si="3"/>
        <v>2015</v>
      </c>
      <c r="G16">
        <f t="shared" si="4"/>
        <v>10</v>
      </c>
      <c r="H16">
        <f t="shared" si="5"/>
        <v>4</v>
      </c>
      <c r="I16" t="str">
        <f t="shared" si="6"/>
        <v>15</v>
      </c>
    </row>
    <row r="17" spans="1:9" x14ac:dyDescent="0.25">
      <c r="A17" s="19">
        <v>41145</v>
      </c>
      <c r="B17" s="20">
        <v>0.96736111111111112</v>
      </c>
      <c r="C17" t="str">
        <f t="shared" si="0"/>
        <v>12</v>
      </c>
      <c r="D17" t="str">
        <f t="shared" si="1"/>
        <v>08</v>
      </c>
      <c r="E17" t="str">
        <f t="shared" si="2"/>
        <v>24</v>
      </c>
      <c r="F17">
        <f t="shared" si="3"/>
        <v>2012</v>
      </c>
      <c r="G17">
        <f t="shared" si="4"/>
        <v>8</v>
      </c>
      <c r="H17">
        <f t="shared" si="5"/>
        <v>24</v>
      </c>
      <c r="I17" t="str">
        <f t="shared" si="6"/>
        <v>12</v>
      </c>
    </row>
    <row r="18" spans="1:9" x14ac:dyDescent="0.25">
      <c r="A18" s="19">
        <v>42296</v>
      </c>
      <c r="B18" s="20">
        <v>0.95277777777777772</v>
      </c>
      <c r="C18" t="str">
        <f t="shared" si="0"/>
        <v>15</v>
      </c>
      <c r="D18" t="str">
        <f t="shared" si="1"/>
        <v>10</v>
      </c>
      <c r="E18" t="str">
        <f t="shared" si="2"/>
        <v>19</v>
      </c>
      <c r="F18">
        <f t="shared" si="3"/>
        <v>2015</v>
      </c>
      <c r="G18">
        <f t="shared" si="4"/>
        <v>10</v>
      </c>
      <c r="H18">
        <f t="shared" si="5"/>
        <v>19</v>
      </c>
      <c r="I18" t="str">
        <f t="shared" si="6"/>
        <v>15</v>
      </c>
    </row>
    <row r="19" spans="1:9" x14ac:dyDescent="0.25">
      <c r="A19" s="19">
        <v>41560</v>
      </c>
      <c r="B19" s="20">
        <v>4.2361111111111113E-2</v>
      </c>
      <c r="C19" t="str">
        <f t="shared" si="0"/>
        <v>13</v>
      </c>
      <c r="D19" t="str">
        <f t="shared" si="1"/>
        <v>10</v>
      </c>
      <c r="E19" t="str">
        <f t="shared" si="2"/>
        <v>13</v>
      </c>
      <c r="F19">
        <f t="shared" si="3"/>
        <v>2013</v>
      </c>
      <c r="G19">
        <f t="shared" si="4"/>
        <v>10</v>
      </c>
      <c r="H19">
        <f t="shared" si="5"/>
        <v>13</v>
      </c>
      <c r="I19" t="str">
        <f t="shared" si="6"/>
        <v>13</v>
      </c>
    </row>
    <row r="20" spans="1:9" x14ac:dyDescent="0.25">
      <c r="A20" s="19">
        <v>42388</v>
      </c>
      <c r="B20" s="20">
        <v>0.93958333333333333</v>
      </c>
      <c r="C20" t="str">
        <f t="shared" si="0"/>
        <v>16</v>
      </c>
      <c r="D20" t="str">
        <f t="shared" si="1"/>
        <v>01</v>
      </c>
      <c r="E20" t="str">
        <f t="shared" si="2"/>
        <v>19</v>
      </c>
      <c r="F20">
        <f t="shared" si="3"/>
        <v>2016</v>
      </c>
      <c r="G20">
        <f t="shared" si="4"/>
        <v>1</v>
      </c>
      <c r="H20">
        <f t="shared" si="5"/>
        <v>19</v>
      </c>
      <c r="I20" t="str">
        <f t="shared" si="6"/>
        <v>16</v>
      </c>
    </row>
    <row r="21" spans="1:9" x14ac:dyDescent="0.25">
      <c r="A21" s="19">
        <v>41715</v>
      </c>
      <c r="B21" s="20">
        <v>0.96944444444444444</v>
      </c>
      <c r="C21" t="str">
        <f t="shared" si="0"/>
        <v>14</v>
      </c>
      <c r="D21" t="str">
        <f t="shared" si="1"/>
        <v>03</v>
      </c>
      <c r="E21" t="str">
        <f t="shared" si="2"/>
        <v>17</v>
      </c>
      <c r="F21">
        <f t="shared" si="3"/>
        <v>2014</v>
      </c>
      <c r="G21">
        <f t="shared" si="4"/>
        <v>3</v>
      </c>
      <c r="H21">
        <f t="shared" si="5"/>
        <v>17</v>
      </c>
      <c r="I21" t="str">
        <f t="shared" si="6"/>
        <v>14</v>
      </c>
    </row>
    <row r="22" spans="1:9" x14ac:dyDescent="0.25">
      <c r="A22" s="19">
        <v>41801</v>
      </c>
      <c r="B22" s="20">
        <v>8.3333333333333332E-3</v>
      </c>
      <c r="C22" t="str">
        <f t="shared" si="0"/>
        <v>14</v>
      </c>
      <c r="D22" t="str">
        <f t="shared" si="1"/>
        <v>06</v>
      </c>
      <c r="E22" t="str">
        <f t="shared" si="2"/>
        <v>11</v>
      </c>
      <c r="F22">
        <f t="shared" si="3"/>
        <v>2014</v>
      </c>
      <c r="G22">
        <f t="shared" si="4"/>
        <v>6</v>
      </c>
      <c r="H22">
        <f t="shared" si="5"/>
        <v>11</v>
      </c>
      <c r="I22" t="str">
        <f t="shared" si="6"/>
        <v>14</v>
      </c>
    </row>
    <row r="23" spans="1:9" x14ac:dyDescent="0.25">
      <c r="A23" s="19">
        <v>41662</v>
      </c>
      <c r="B23" s="20">
        <v>1.1805555555555555E-2</v>
      </c>
      <c r="C23" t="str">
        <f t="shared" si="0"/>
        <v>14</v>
      </c>
      <c r="D23" t="str">
        <f t="shared" si="1"/>
        <v>01</v>
      </c>
      <c r="E23" t="str">
        <f t="shared" si="2"/>
        <v>23</v>
      </c>
      <c r="F23">
        <f t="shared" si="3"/>
        <v>2014</v>
      </c>
      <c r="G23">
        <f t="shared" si="4"/>
        <v>1</v>
      </c>
      <c r="H23">
        <f t="shared" si="5"/>
        <v>23</v>
      </c>
      <c r="I23" t="str">
        <f t="shared" si="6"/>
        <v>14</v>
      </c>
    </row>
    <row r="24" spans="1:9" x14ac:dyDescent="0.25">
      <c r="A24" s="19">
        <v>42053</v>
      </c>
      <c r="B24" s="20">
        <v>2.361111111111111E-2</v>
      </c>
      <c r="C24" t="str">
        <f t="shared" si="0"/>
        <v>15</v>
      </c>
      <c r="D24" t="str">
        <f t="shared" si="1"/>
        <v>02</v>
      </c>
      <c r="E24" t="str">
        <f t="shared" si="2"/>
        <v>18</v>
      </c>
      <c r="F24">
        <f t="shared" si="3"/>
        <v>2015</v>
      </c>
      <c r="G24">
        <f t="shared" si="4"/>
        <v>2</v>
      </c>
      <c r="H24">
        <f t="shared" si="5"/>
        <v>18</v>
      </c>
      <c r="I24" t="str">
        <f t="shared" si="6"/>
        <v>15</v>
      </c>
    </row>
    <row r="25" spans="1:9" x14ac:dyDescent="0.25">
      <c r="A25" s="19">
        <v>41527</v>
      </c>
      <c r="B25" s="20">
        <v>4.1666666666666666E-3</v>
      </c>
      <c r="C25" t="str">
        <f t="shared" si="0"/>
        <v>13</v>
      </c>
      <c r="D25" t="str">
        <f t="shared" si="1"/>
        <v>09</v>
      </c>
      <c r="E25" t="str">
        <f t="shared" si="2"/>
        <v>10</v>
      </c>
      <c r="F25">
        <f t="shared" si="3"/>
        <v>2013</v>
      </c>
      <c r="G25">
        <f t="shared" si="4"/>
        <v>9</v>
      </c>
      <c r="H25">
        <f t="shared" si="5"/>
        <v>10</v>
      </c>
      <c r="I25" t="str">
        <f t="shared" si="6"/>
        <v>13</v>
      </c>
    </row>
    <row r="26" spans="1:9" x14ac:dyDescent="0.25">
      <c r="A26" s="19">
        <v>41351</v>
      </c>
      <c r="B26" s="20">
        <v>8.3333333333333329E-2</v>
      </c>
      <c r="C26" t="str">
        <f t="shared" si="0"/>
        <v>13</v>
      </c>
      <c r="D26" t="str">
        <f t="shared" si="1"/>
        <v>03</v>
      </c>
      <c r="E26" t="str">
        <f t="shared" si="2"/>
        <v>18</v>
      </c>
      <c r="F26">
        <f t="shared" si="3"/>
        <v>2013</v>
      </c>
      <c r="G26">
        <f t="shared" si="4"/>
        <v>3</v>
      </c>
      <c r="H26">
        <f t="shared" si="5"/>
        <v>18</v>
      </c>
      <c r="I26" t="str">
        <f t="shared" si="6"/>
        <v>13</v>
      </c>
    </row>
    <row r="27" spans="1:9" x14ac:dyDescent="0.25">
      <c r="A27" s="19">
        <v>41793</v>
      </c>
      <c r="B27" s="20">
        <v>4.2361111111111113E-2</v>
      </c>
      <c r="C27" t="str">
        <f t="shared" si="0"/>
        <v>14</v>
      </c>
      <c r="D27" t="str">
        <f t="shared" si="1"/>
        <v>06</v>
      </c>
      <c r="E27" t="str">
        <f t="shared" si="2"/>
        <v>03</v>
      </c>
      <c r="F27">
        <f t="shared" si="3"/>
        <v>2014</v>
      </c>
      <c r="G27">
        <f t="shared" si="4"/>
        <v>6</v>
      </c>
      <c r="H27">
        <f t="shared" si="5"/>
        <v>3</v>
      </c>
      <c r="I27" t="str">
        <f t="shared" si="6"/>
        <v>14</v>
      </c>
    </row>
    <row r="28" spans="1:9" x14ac:dyDescent="0.25">
      <c r="A28" s="19">
        <v>42582</v>
      </c>
      <c r="B28" s="20">
        <v>0.97152777777777777</v>
      </c>
      <c r="C28" t="str">
        <f t="shared" si="0"/>
        <v>16</v>
      </c>
      <c r="D28" t="str">
        <f t="shared" si="1"/>
        <v>07</v>
      </c>
      <c r="E28" t="str">
        <f t="shared" si="2"/>
        <v>31</v>
      </c>
      <c r="F28">
        <f t="shared" si="3"/>
        <v>2016</v>
      </c>
      <c r="G28">
        <f t="shared" si="4"/>
        <v>7</v>
      </c>
      <c r="H28">
        <f t="shared" si="5"/>
        <v>31</v>
      </c>
      <c r="I28" t="str">
        <f t="shared" si="6"/>
        <v>16</v>
      </c>
    </row>
    <row r="29" spans="1:9" x14ac:dyDescent="0.25">
      <c r="A29" s="19">
        <v>41973</v>
      </c>
      <c r="B29" s="20">
        <v>0.95763888888888893</v>
      </c>
      <c r="C29" t="str">
        <f t="shared" si="0"/>
        <v>14</v>
      </c>
      <c r="D29" t="str">
        <f t="shared" si="1"/>
        <v>11</v>
      </c>
      <c r="E29" t="str">
        <f t="shared" si="2"/>
        <v>30</v>
      </c>
      <c r="F29">
        <f t="shared" si="3"/>
        <v>2014</v>
      </c>
      <c r="G29">
        <f t="shared" si="4"/>
        <v>11</v>
      </c>
      <c r="H29">
        <f t="shared" si="5"/>
        <v>30</v>
      </c>
      <c r="I29" t="str">
        <f t="shared" si="6"/>
        <v>14</v>
      </c>
    </row>
    <row r="30" spans="1:9" x14ac:dyDescent="0.25">
      <c r="A30" s="19">
        <v>42682</v>
      </c>
      <c r="B30" s="20">
        <v>1.1805555555555555E-2</v>
      </c>
      <c r="C30" t="str">
        <f t="shared" si="0"/>
        <v>16</v>
      </c>
      <c r="D30" t="str">
        <f t="shared" si="1"/>
        <v>11</v>
      </c>
      <c r="E30" t="str">
        <f t="shared" si="2"/>
        <v>08</v>
      </c>
      <c r="F30">
        <f t="shared" si="3"/>
        <v>2016</v>
      </c>
      <c r="G30">
        <f t="shared" si="4"/>
        <v>11</v>
      </c>
      <c r="H30">
        <f t="shared" si="5"/>
        <v>8</v>
      </c>
      <c r="I30" t="str">
        <f t="shared" si="6"/>
        <v>16</v>
      </c>
    </row>
    <row r="31" spans="1:9" x14ac:dyDescent="0.25">
      <c r="A31" s="19">
        <v>41719</v>
      </c>
      <c r="B31" s="20">
        <v>0.9555555555555556</v>
      </c>
      <c r="C31" t="str">
        <f t="shared" si="0"/>
        <v>14</v>
      </c>
      <c r="D31" t="str">
        <f t="shared" si="1"/>
        <v>03</v>
      </c>
      <c r="E31" t="str">
        <f t="shared" si="2"/>
        <v>21</v>
      </c>
      <c r="F31">
        <f t="shared" si="3"/>
        <v>2014</v>
      </c>
      <c r="G31">
        <f t="shared" si="4"/>
        <v>3</v>
      </c>
      <c r="H31">
        <f t="shared" si="5"/>
        <v>21</v>
      </c>
      <c r="I31" t="str">
        <f t="shared" si="6"/>
        <v>14</v>
      </c>
    </row>
    <row r="32" spans="1:9" x14ac:dyDescent="0.25">
      <c r="A32" s="19">
        <v>41349</v>
      </c>
      <c r="B32" s="20">
        <v>0.97222222222222221</v>
      </c>
      <c r="C32" t="str">
        <f t="shared" si="0"/>
        <v>13</v>
      </c>
      <c r="D32" t="str">
        <f t="shared" si="1"/>
        <v>03</v>
      </c>
      <c r="E32" t="str">
        <f t="shared" si="2"/>
        <v>16</v>
      </c>
      <c r="F32">
        <f t="shared" si="3"/>
        <v>2013</v>
      </c>
      <c r="G32">
        <f t="shared" si="4"/>
        <v>3</v>
      </c>
      <c r="H32">
        <f t="shared" si="5"/>
        <v>16</v>
      </c>
      <c r="I32" t="str">
        <f t="shared" si="6"/>
        <v>13</v>
      </c>
    </row>
    <row r="33" spans="1:9" x14ac:dyDescent="0.25">
      <c r="A33" s="19">
        <v>41336</v>
      </c>
      <c r="B33" s="20">
        <v>4.027777777777778E-2</v>
      </c>
      <c r="C33" t="str">
        <f t="shared" si="0"/>
        <v>13</v>
      </c>
      <c r="D33" t="str">
        <f t="shared" si="1"/>
        <v>03</v>
      </c>
      <c r="E33" t="str">
        <f t="shared" si="2"/>
        <v>03</v>
      </c>
      <c r="F33">
        <f t="shared" si="3"/>
        <v>2013</v>
      </c>
      <c r="G33">
        <f t="shared" si="4"/>
        <v>3</v>
      </c>
      <c r="H33">
        <f t="shared" si="5"/>
        <v>3</v>
      </c>
      <c r="I33" t="str">
        <f t="shared" si="6"/>
        <v>13</v>
      </c>
    </row>
    <row r="34" spans="1:9" x14ac:dyDescent="0.25">
      <c r="A34" s="19">
        <v>40959</v>
      </c>
      <c r="B34" s="20">
        <v>0.98611111111111116</v>
      </c>
      <c r="C34" t="str">
        <f t="shared" si="0"/>
        <v>12</v>
      </c>
      <c r="D34" t="str">
        <f t="shared" si="1"/>
        <v>02</v>
      </c>
      <c r="E34" t="str">
        <f t="shared" si="2"/>
        <v>20</v>
      </c>
      <c r="F34">
        <f t="shared" si="3"/>
        <v>2012</v>
      </c>
      <c r="G34">
        <f t="shared" si="4"/>
        <v>2</v>
      </c>
      <c r="H34">
        <f t="shared" si="5"/>
        <v>20</v>
      </c>
      <c r="I34" t="str">
        <f t="shared" si="6"/>
        <v>12</v>
      </c>
    </row>
    <row r="35" spans="1:9" x14ac:dyDescent="0.25">
      <c r="A35" s="19">
        <v>42188</v>
      </c>
      <c r="B35" s="20">
        <v>3.125E-2</v>
      </c>
      <c r="C35" t="str">
        <f t="shared" si="0"/>
        <v>15</v>
      </c>
      <c r="D35" t="str">
        <f t="shared" si="1"/>
        <v>07</v>
      </c>
      <c r="E35" t="str">
        <f t="shared" si="2"/>
        <v>03</v>
      </c>
      <c r="F35">
        <f t="shared" si="3"/>
        <v>2015</v>
      </c>
      <c r="G35">
        <f t="shared" si="4"/>
        <v>7</v>
      </c>
      <c r="H35">
        <f t="shared" si="5"/>
        <v>3</v>
      </c>
      <c r="I35" t="str">
        <f t="shared" si="6"/>
        <v>15</v>
      </c>
    </row>
    <row r="36" spans="1:9" x14ac:dyDescent="0.25">
      <c r="A36" s="19">
        <v>42287</v>
      </c>
      <c r="B36" s="20">
        <v>3.6111111111111108E-2</v>
      </c>
      <c r="C36" t="str">
        <f t="shared" si="0"/>
        <v>15</v>
      </c>
      <c r="D36" t="str">
        <f t="shared" si="1"/>
        <v>10</v>
      </c>
      <c r="E36" t="str">
        <f t="shared" si="2"/>
        <v>10</v>
      </c>
      <c r="F36">
        <f t="shared" si="3"/>
        <v>2015</v>
      </c>
      <c r="G36">
        <f t="shared" si="4"/>
        <v>10</v>
      </c>
      <c r="H36">
        <f t="shared" si="5"/>
        <v>10</v>
      </c>
      <c r="I36" t="str">
        <f t="shared" si="6"/>
        <v>15</v>
      </c>
    </row>
    <row r="37" spans="1:9" x14ac:dyDescent="0.25">
      <c r="A37" s="19">
        <v>42304</v>
      </c>
      <c r="B37" s="20">
        <v>4.6527777777777779E-2</v>
      </c>
      <c r="C37" t="str">
        <f t="shared" si="0"/>
        <v>15</v>
      </c>
      <c r="D37" t="str">
        <f t="shared" si="1"/>
        <v>10</v>
      </c>
      <c r="E37" t="str">
        <f t="shared" si="2"/>
        <v>27</v>
      </c>
      <c r="F37">
        <f t="shared" si="3"/>
        <v>2015</v>
      </c>
      <c r="G37">
        <f t="shared" si="4"/>
        <v>10</v>
      </c>
      <c r="H37">
        <f t="shared" si="5"/>
        <v>27</v>
      </c>
      <c r="I37" t="str">
        <f t="shared" si="6"/>
        <v>15</v>
      </c>
    </row>
    <row r="38" spans="1:9" x14ac:dyDescent="0.25">
      <c r="A38" s="19">
        <v>41820</v>
      </c>
      <c r="B38" s="20">
        <v>5.0694444444444445E-2</v>
      </c>
      <c r="C38" t="str">
        <f t="shared" si="0"/>
        <v>14</v>
      </c>
      <c r="D38" t="str">
        <f t="shared" si="1"/>
        <v>06</v>
      </c>
      <c r="E38" t="str">
        <f t="shared" si="2"/>
        <v>30</v>
      </c>
      <c r="F38">
        <f t="shared" si="3"/>
        <v>2014</v>
      </c>
      <c r="G38">
        <f t="shared" si="4"/>
        <v>6</v>
      </c>
      <c r="H38">
        <f t="shared" si="5"/>
        <v>30</v>
      </c>
      <c r="I38" t="str">
        <f t="shared" si="6"/>
        <v>14</v>
      </c>
    </row>
    <row r="39" spans="1:9" x14ac:dyDescent="0.25">
      <c r="A39" s="19">
        <v>41583</v>
      </c>
      <c r="B39" s="20">
        <v>7.5694444444444439E-2</v>
      </c>
      <c r="C39" t="str">
        <f t="shared" si="0"/>
        <v>13</v>
      </c>
      <c r="D39" t="str">
        <f t="shared" si="1"/>
        <v>11</v>
      </c>
      <c r="E39" t="str">
        <f t="shared" si="2"/>
        <v>05</v>
      </c>
      <c r="F39">
        <f t="shared" si="3"/>
        <v>2013</v>
      </c>
      <c r="G39">
        <f t="shared" si="4"/>
        <v>11</v>
      </c>
      <c r="H39">
        <f t="shared" si="5"/>
        <v>5</v>
      </c>
      <c r="I39" t="str">
        <f t="shared" si="6"/>
        <v>13</v>
      </c>
    </row>
    <row r="40" spans="1:9" x14ac:dyDescent="0.25">
      <c r="A40" s="19">
        <v>41573</v>
      </c>
      <c r="B40" s="20">
        <v>8.3333333333333332E-3</v>
      </c>
      <c r="C40" t="str">
        <f t="shared" si="0"/>
        <v>13</v>
      </c>
      <c r="D40" t="str">
        <f t="shared" si="1"/>
        <v>10</v>
      </c>
      <c r="E40" t="str">
        <f t="shared" si="2"/>
        <v>26</v>
      </c>
      <c r="F40">
        <f t="shared" si="3"/>
        <v>2013</v>
      </c>
      <c r="G40">
        <f t="shared" si="4"/>
        <v>10</v>
      </c>
      <c r="H40">
        <f t="shared" si="5"/>
        <v>26</v>
      </c>
      <c r="I40" t="str">
        <f t="shared" si="6"/>
        <v>13</v>
      </c>
    </row>
    <row r="41" spans="1:9" x14ac:dyDescent="0.25">
      <c r="A41" s="19">
        <v>42497</v>
      </c>
      <c r="B41" s="20">
        <v>4.8611111111111112E-3</v>
      </c>
      <c r="C41" t="str">
        <f t="shared" si="0"/>
        <v>16</v>
      </c>
      <c r="D41" t="str">
        <f t="shared" si="1"/>
        <v>05</v>
      </c>
      <c r="E41" t="str">
        <f t="shared" si="2"/>
        <v>07</v>
      </c>
      <c r="F41">
        <f t="shared" si="3"/>
        <v>2016</v>
      </c>
      <c r="G41">
        <f t="shared" si="4"/>
        <v>5</v>
      </c>
      <c r="H41">
        <f t="shared" si="5"/>
        <v>7</v>
      </c>
      <c r="I41" t="str">
        <f t="shared" si="6"/>
        <v>16</v>
      </c>
    </row>
    <row r="42" spans="1:9" x14ac:dyDescent="0.25">
      <c r="A42" s="19">
        <v>40956</v>
      </c>
      <c r="B42" s="20">
        <v>3.4027777777777775E-2</v>
      </c>
      <c r="C42" t="str">
        <f t="shared" si="0"/>
        <v>12</v>
      </c>
      <c r="D42" t="str">
        <f t="shared" si="1"/>
        <v>02</v>
      </c>
      <c r="E42" t="str">
        <f t="shared" si="2"/>
        <v>17</v>
      </c>
      <c r="F42">
        <f t="shared" si="3"/>
        <v>2012</v>
      </c>
      <c r="G42">
        <f t="shared" si="4"/>
        <v>2</v>
      </c>
      <c r="H42">
        <f t="shared" si="5"/>
        <v>17</v>
      </c>
      <c r="I42" t="str">
        <f t="shared" si="6"/>
        <v>12</v>
      </c>
    </row>
    <row r="43" spans="1:9" x14ac:dyDescent="0.25">
      <c r="A43" s="19">
        <v>41328</v>
      </c>
      <c r="B43" s="20">
        <v>3.6805555555555557E-2</v>
      </c>
      <c r="C43" t="str">
        <f t="shared" si="0"/>
        <v>13</v>
      </c>
      <c r="D43" t="str">
        <f t="shared" si="1"/>
        <v>02</v>
      </c>
      <c r="E43" t="str">
        <f t="shared" si="2"/>
        <v>23</v>
      </c>
      <c r="F43">
        <f t="shared" si="3"/>
        <v>2013</v>
      </c>
      <c r="G43">
        <f t="shared" si="4"/>
        <v>2</v>
      </c>
      <c r="H43">
        <f t="shared" si="5"/>
        <v>23</v>
      </c>
      <c r="I43" t="str">
        <f t="shared" si="6"/>
        <v>13</v>
      </c>
    </row>
    <row r="44" spans="1:9" x14ac:dyDescent="0.25">
      <c r="A44" s="19">
        <v>41293</v>
      </c>
      <c r="B44" s="20">
        <v>4.7222222222222221E-2</v>
      </c>
      <c r="C44" t="str">
        <f t="shared" si="0"/>
        <v>13</v>
      </c>
      <c r="D44" t="str">
        <f t="shared" si="1"/>
        <v>01</v>
      </c>
      <c r="E44" t="str">
        <f t="shared" si="2"/>
        <v>19</v>
      </c>
      <c r="F44">
        <f t="shared" si="3"/>
        <v>2013</v>
      </c>
      <c r="G44">
        <f t="shared" si="4"/>
        <v>1</v>
      </c>
      <c r="H44">
        <f t="shared" si="5"/>
        <v>19</v>
      </c>
      <c r="I44" t="str">
        <f t="shared" si="6"/>
        <v>13</v>
      </c>
    </row>
    <row r="45" spans="1:9" x14ac:dyDescent="0.25">
      <c r="A45" s="19">
        <v>41594</v>
      </c>
      <c r="B45" s="20">
        <v>0.99027777777777781</v>
      </c>
      <c r="C45" t="str">
        <f t="shared" si="0"/>
        <v>13</v>
      </c>
      <c r="D45" t="str">
        <f t="shared" si="1"/>
        <v>11</v>
      </c>
      <c r="E45" t="str">
        <f t="shared" si="2"/>
        <v>16</v>
      </c>
      <c r="F45">
        <f t="shared" si="3"/>
        <v>2013</v>
      </c>
      <c r="G45">
        <f t="shared" si="4"/>
        <v>11</v>
      </c>
      <c r="H45">
        <f t="shared" si="5"/>
        <v>16</v>
      </c>
      <c r="I45" t="str">
        <f t="shared" si="6"/>
        <v>13</v>
      </c>
    </row>
    <row r="46" spans="1:9" x14ac:dyDescent="0.25">
      <c r="A46" s="19">
        <v>42552</v>
      </c>
      <c r="B46" s="20">
        <v>0.98750000000000004</v>
      </c>
      <c r="C46" t="str">
        <f t="shared" si="0"/>
        <v>16</v>
      </c>
      <c r="D46" t="str">
        <f t="shared" si="1"/>
        <v>07</v>
      </c>
      <c r="E46" t="str">
        <f t="shared" si="2"/>
        <v>01</v>
      </c>
      <c r="F46">
        <f t="shared" si="3"/>
        <v>2016</v>
      </c>
      <c r="G46">
        <f t="shared" si="4"/>
        <v>7</v>
      </c>
      <c r="H46">
        <f t="shared" si="5"/>
        <v>1</v>
      </c>
      <c r="I46" t="str">
        <f t="shared" si="6"/>
        <v>16</v>
      </c>
    </row>
    <row r="47" spans="1:9" x14ac:dyDescent="0.25">
      <c r="A47" s="19">
        <v>41058</v>
      </c>
      <c r="B47" s="20">
        <v>1.9444444444444445E-2</v>
      </c>
      <c r="C47" t="str">
        <f t="shared" si="0"/>
        <v>12</v>
      </c>
      <c r="D47" t="str">
        <f t="shared" si="1"/>
        <v>05</v>
      </c>
      <c r="E47" t="str">
        <f t="shared" si="2"/>
        <v>29</v>
      </c>
      <c r="F47">
        <f t="shared" si="3"/>
        <v>2012</v>
      </c>
      <c r="G47">
        <f t="shared" si="4"/>
        <v>5</v>
      </c>
      <c r="H47">
        <f t="shared" si="5"/>
        <v>29</v>
      </c>
      <c r="I47" t="str">
        <f t="shared" si="6"/>
        <v>12</v>
      </c>
    </row>
    <row r="48" spans="1:9" x14ac:dyDescent="0.25">
      <c r="A48" s="19">
        <v>41177</v>
      </c>
      <c r="B48" s="20">
        <v>0.99027777777777781</v>
      </c>
      <c r="C48" t="str">
        <f t="shared" si="0"/>
        <v>12</v>
      </c>
      <c r="D48" t="str">
        <f t="shared" si="1"/>
        <v>09</v>
      </c>
      <c r="E48" t="str">
        <f t="shared" si="2"/>
        <v>25</v>
      </c>
      <c r="F48">
        <f t="shared" si="3"/>
        <v>2012</v>
      </c>
      <c r="G48">
        <f t="shared" si="4"/>
        <v>9</v>
      </c>
      <c r="H48">
        <f t="shared" si="5"/>
        <v>25</v>
      </c>
      <c r="I48" t="str">
        <f t="shared" si="6"/>
        <v>12</v>
      </c>
    </row>
    <row r="49" spans="1:9" x14ac:dyDescent="0.25">
      <c r="A49" s="19">
        <v>41770</v>
      </c>
      <c r="B49" s="20">
        <v>2.1527777777777778E-2</v>
      </c>
      <c r="C49" t="str">
        <f t="shared" si="0"/>
        <v>14</v>
      </c>
      <c r="D49" t="str">
        <f t="shared" si="1"/>
        <v>05</v>
      </c>
      <c r="E49" t="str">
        <f t="shared" si="2"/>
        <v>11</v>
      </c>
      <c r="F49">
        <f t="shared" si="3"/>
        <v>2014</v>
      </c>
      <c r="G49">
        <f t="shared" si="4"/>
        <v>5</v>
      </c>
      <c r="H49">
        <f t="shared" si="5"/>
        <v>11</v>
      </c>
      <c r="I49" t="str">
        <f t="shared" si="6"/>
        <v>14</v>
      </c>
    </row>
    <row r="50" spans="1:9" x14ac:dyDescent="0.25">
      <c r="A50" s="19">
        <v>41293</v>
      </c>
      <c r="B50" s="20">
        <v>0.96319444444444446</v>
      </c>
      <c r="C50" t="str">
        <f t="shared" si="0"/>
        <v>13</v>
      </c>
      <c r="D50" t="str">
        <f t="shared" si="1"/>
        <v>01</v>
      </c>
      <c r="E50" t="str">
        <f t="shared" si="2"/>
        <v>19</v>
      </c>
      <c r="F50">
        <f t="shared" si="3"/>
        <v>2013</v>
      </c>
      <c r="G50">
        <f t="shared" si="4"/>
        <v>1</v>
      </c>
      <c r="H50">
        <f t="shared" si="5"/>
        <v>19</v>
      </c>
      <c r="I50" t="str">
        <f t="shared" si="6"/>
        <v>13</v>
      </c>
    </row>
    <row r="51" spans="1:9" x14ac:dyDescent="0.25">
      <c r="A51" s="19">
        <v>41918</v>
      </c>
      <c r="B51" s="20">
        <v>0.98611111111111116</v>
      </c>
      <c r="C51" t="str">
        <f t="shared" si="0"/>
        <v>14</v>
      </c>
      <c r="D51" t="str">
        <f t="shared" si="1"/>
        <v>10</v>
      </c>
      <c r="E51" t="str">
        <f t="shared" si="2"/>
        <v>06</v>
      </c>
      <c r="F51">
        <f t="shared" si="3"/>
        <v>2014</v>
      </c>
      <c r="G51">
        <f t="shared" si="4"/>
        <v>10</v>
      </c>
      <c r="H51">
        <f t="shared" si="5"/>
        <v>6</v>
      </c>
      <c r="I51" t="str">
        <f t="shared" si="6"/>
        <v>14</v>
      </c>
    </row>
    <row r="52" spans="1:9" x14ac:dyDescent="0.25">
      <c r="A52" s="19">
        <v>41046</v>
      </c>
      <c r="B52" s="20">
        <v>9.8611111111111108E-2</v>
      </c>
      <c r="C52" t="str">
        <f t="shared" si="0"/>
        <v>12</v>
      </c>
      <c r="D52" t="str">
        <f t="shared" si="1"/>
        <v>05</v>
      </c>
      <c r="E52" t="str">
        <f t="shared" si="2"/>
        <v>17</v>
      </c>
      <c r="F52">
        <f t="shared" si="3"/>
        <v>2012</v>
      </c>
      <c r="G52">
        <f t="shared" si="4"/>
        <v>5</v>
      </c>
      <c r="H52">
        <f t="shared" si="5"/>
        <v>17</v>
      </c>
      <c r="I52" t="str">
        <f t="shared" si="6"/>
        <v>12</v>
      </c>
    </row>
    <row r="53" spans="1:9" x14ac:dyDescent="0.25">
      <c r="A53" s="19">
        <v>42295</v>
      </c>
      <c r="B53" s="20">
        <v>3.9583333333333331E-2</v>
      </c>
      <c r="C53" t="str">
        <f t="shared" si="0"/>
        <v>15</v>
      </c>
      <c r="D53" t="str">
        <f t="shared" si="1"/>
        <v>10</v>
      </c>
      <c r="E53" t="str">
        <f t="shared" si="2"/>
        <v>18</v>
      </c>
      <c r="F53">
        <f t="shared" si="3"/>
        <v>2015</v>
      </c>
      <c r="G53">
        <f t="shared" si="4"/>
        <v>10</v>
      </c>
      <c r="H53">
        <f t="shared" si="5"/>
        <v>18</v>
      </c>
      <c r="I53" t="str">
        <f t="shared" si="6"/>
        <v>15</v>
      </c>
    </row>
    <row r="54" spans="1:9" x14ac:dyDescent="0.25">
      <c r="A54" s="19">
        <v>41755</v>
      </c>
      <c r="B54" s="20">
        <v>0.99236111111111114</v>
      </c>
      <c r="C54" t="str">
        <f t="shared" si="0"/>
        <v>14</v>
      </c>
      <c r="D54" t="str">
        <f t="shared" si="1"/>
        <v>04</v>
      </c>
      <c r="E54" t="str">
        <f t="shared" si="2"/>
        <v>26</v>
      </c>
      <c r="F54">
        <f t="shared" si="3"/>
        <v>2014</v>
      </c>
      <c r="G54">
        <f t="shared" si="4"/>
        <v>4</v>
      </c>
      <c r="H54">
        <f t="shared" si="5"/>
        <v>26</v>
      </c>
      <c r="I54" t="str">
        <f t="shared" si="6"/>
        <v>14</v>
      </c>
    </row>
    <row r="55" spans="1:9" x14ac:dyDescent="0.25">
      <c r="A55" s="19">
        <v>40945</v>
      </c>
      <c r="B55" s="20">
        <v>3.8194444444444448E-2</v>
      </c>
      <c r="C55" t="str">
        <f t="shared" si="0"/>
        <v>12</v>
      </c>
      <c r="D55" t="str">
        <f t="shared" si="1"/>
        <v>02</v>
      </c>
      <c r="E55" t="str">
        <f t="shared" si="2"/>
        <v>06</v>
      </c>
      <c r="F55">
        <f t="shared" si="3"/>
        <v>2012</v>
      </c>
      <c r="G55">
        <f t="shared" si="4"/>
        <v>2</v>
      </c>
      <c r="H55">
        <f t="shared" si="5"/>
        <v>6</v>
      </c>
      <c r="I55" t="str">
        <f t="shared" si="6"/>
        <v>12</v>
      </c>
    </row>
    <row r="56" spans="1:9" x14ac:dyDescent="0.25">
      <c r="A56" s="19">
        <v>41103</v>
      </c>
      <c r="B56" s="20">
        <v>7.6388888888888895E-2</v>
      </c>
      <c r="C56" t="str">
        <f t="shared" si="0"/>
        <v>12</v>
      </c>
      <c r="D56" t="str">
        <f t="shared" si="1"/>
        <v>07</v>
      </c>
      <c r="E56" t="str">
        <f t="shared" si="2"/>
        <v>13</v>
      </c>
      <c r="F56">
        <f t="shared" si="3"/>
        <v>2012</v>
      </c>
      <c r="G56">
        <f t="shared" si="4"/>
        <v>7</v>
      </c>
      <c r="H56">
        <f t="shared" si="5"/>
        <v>13</v>
      </c>
      <c r="I56" t="str">
        <f t="shared" si="6"/>
        <v>12</v>
      </c>
    </row>
    <row r="57" spans="1:9" x14ac:dyDescent="0.25">
      <c r="A57" s="19">
        <v>41039</v>
      </c>
      <c r="B57" s="20">
        <v>7.4999999999999997E-2</v>
      </c>
      <c r="C57" t="str">
        <f t="shared" si="0"/>
        <v>12</v>
      </c>
      <c r="D57" t="str">
        <f t="shared" si="1"/>
        <v>05</v>
      </c>
      <c r="E57" t="str">
        <f t="shared" si="2"/>
        <v>10</v>
      </c>
      <c r="F57">
        <f t="shared" si="3"/>
        <v>2012</v>
      </c>
      <c r="G57">
        <f t="shared" si="4"/>
        <v>5</v>
      </c>
      <c r="H57">
        <f t="shared" si="5"/>
        <v>10</v>
      </c>
      <c r="I57" t="str">
        <f t="shared" si="6"/>
        <v>12</v>
      </c>
    </row>
    <row r="58" spans="1:9" x14ac:dyDescent="0.25">
      <c r="A58" s="19">
        <v>40931</v>
      </c>
      <c r="B58" s="20">
        <v>6.458333333333334E-2</v>
      </c>
      <c r="C58" t="str">
        <f t="shared" si="0"/>
        <v>12</v>
      </c>
      <c r="D58" t="str">
        <f t="shared" si="1"/>
        <v>01</v>
      </c>
      <c r="E58" t="str">
        <f t="shared" si="2"/>
        <v>23</v>
      </c>
      <c r="F58">
        <f t="shared" si="3"/>
        <v>2012</v>
      </c>
      <c r="G58">
        <f t="shared" si="4"/>
        <v>1</v>
      </c>
      <c r="H58">
        <f t="shared" si="5"/>
        <v>23</v>
      </c>
      <c r="I58" t="str">
        <f t="shared" si="6"/>
        <v>12</v>
      </c>
    </row>
    <row r="59" spans="1:9" x14ac:dyDescent="0.25">
      <c r="A59" s="19">
        <v>42667</v>
      </c>
      <c r="B59" s="20">
        <v>3.472222222222222E-3</v>
      </c>
      <c r="C59" t="str">
        <f t="shared" si="0"/>
        <v>16</v>
      </c>
      <c r="D59" t="str">
        <f t="shared" si="1"/>
        <v>10</v>
      </c>
      <c r="E59" t="str">
        <f t="shared" si="2"/>
        <v>24</v>
      </c>
      <c r="F59">
        <f t="shared" si="3"/>
        <v>2016</v>
      </c>
      <c r="G59">
        <f t="shared" si="4"/>
        <v>10</v>
      </c>
      <c r="H59">
        <f t="shared" si="5"/>
        <v>24</v>
      </c>
      <c r="I59" t="str">
        <f t="shared" si="6"/>
        <v>16</v>
      </c>
    </row>
    <row r="60" spans="1:9" x14ac:dyDescent="0.25">
      <c r="A60" s="19">
        <v>41449</v>
      </c>
      <c r="B60" s="20">
        <v>6.1111111111111109E-2</v>
      </c>
      <c r="C60" t="str">
        <f t="shared" si="0"/>
        <v>13</v>
      </c>
      <c r="D60" t="str">
        <f t="shared" si="1"/>
        <v>06</v>
      </c>
      <c r="E60" t="str">
        <f t="shared" si="2"/>
        <v>24</v>
      </c>
      <c r="F60">
        <f t="shared" si="3"/>
        <v>2013</v>
      </c>
      <c r="G60">
        <f t="shared" si="4"/>
        <v>6</v>
      </c>
      <c r="H60">
        <f t="shared" si="5"/>
        <v>24</v>
      </c>
      <c r="I60" t="str">
        <f t="shared" si="6"/>
        <v>13</v>
      </c>
    </row>
    <row r="61" spans="1:9" x14ac:dyDescent="0.25">
      <c r="A61" s="19">
        <v>42007</v>
      </c>
      <c r="B61" s="20">
        <v>2.013888888888889E-2</v>
      </c>
      <c r="C61" t="str">
        <f t="shared" si="0"/>
        <v>15</v>
      </c>
      <c r="D61" t="str">
        <f t="shared" si="1"/>
        <v>01</v>
      </c>
      <c r="E61" t="str">
        <f t="shared" si="2"/>
        <v>03</v>
      </c>
      <c r="F61">
        <f t="shared" si="3"/>
        <v>2015</v>
      </c>
      <c r="G61">
        <f t="shared" si="4"/>
        <v>1</v>
      </c>
      <c r="H61">
        <f t="shared" si="5"/>
        <v>3</v>
      </c>
      <c r="I61" t="str">
        <f t="shared" si="6"/>
        <v>15</v>
      </c>
    </row>
    <row r="62" spans="1:9" x14ac:dyDescent="0.25">
      <c r="A62" s="19">
        <v>41932</v>
      </c>
      <c r="B62" s="20">
        <v>2.7777777777777776E-2</v>
      </c>
      <c r="C62" t="str">
        <f t="shared" si="0"/>
        <v>14</v>
      </c>
      <c r="D62" t="str">
        <f t="shared" si="1"/>
        <v>10</v>
      </c>
      <c r="E62" t="str">
        <f t="shared" si="2"/>
        <v>20</v>
      </c>
      <c r="F62">
        <f t="shared" si="3"/>
        <v>2014</v>
      </c>
      <c r="G62">
        <f t="shared" si="4"/>
        <v>10</v>
      </c>
      <c r="H62">
        <f t="shared" si="5"/>
        <v>20</v>
      </c>
      <c r="I62" t="str">
        <f t="shared" si="6"/>
        <v>14</v>
      </c>
    </row>
    <row r="63" spans="1:9" x14ac:dyDescent="0.25">
      <c r="A63" s="19">
        <v>42271</v>
      </c>
      <c r="B63" s="20">
        <v>0.05</v>
      </c>
      <c r="C63" t="str">
        <f t="shared" si="0"/>
        <v>15</v>
      </c>
      <c r="D63" t="str">
        <f t="shared" si="1"/>
        <v>09</v>
      </c>
      <c r="E63" t="str">
        <f t="shared" si="2"/>
        <v>24</v>
      </c>
      <c r="F63">
        <f t="shared" si="3"/>
        <v>2015</v>
      </c>
      <c r="G63">
        <f t="shared" si="4"/>
        <v>9</v>
      </c>
      <c r="H63">
        <f t="shared" si="5"/>
        <v>24</v>
      </c>
      <c r="I63" t="str">
        <f t="shared" si="6"/>
        <v>15</v>
      </c>
    </row>
    <row r="64" spans="1:9" x14ac:dyDescent="0.25">
      <c r="A64" s="19">
        <v>41063</v>
      </c>
      <c r="B64" s="20">
        <v>2.2916666666666665E-2</v>
      </c>
      <c r="C64" t="str">
        <f t="shared" si="0"/>
        <v>12</v>
      </c>
      <c r="D64" t="str">
        <f t="shared" si="1"/>
        <v>06</v>
      </c>
      <c r="E64" t="str">
        <f t="shared" si="2"/>
        <v>03</v>
      </c>
      <c r="F64">
        <f t="shared" si="3"/>
        <v>2012</v>
      </c>
      <c r="G64">
        <f t="shared" si="4"/>
        <v>6</v>
      </c>
      <c r="H64">
        <f t="shared" si="5"/>
        <v>3</v>
      </c>
      <c r="I64" t="str">
        <f t="shared" si="6"/>
        <v>12</v>
      </c>
    </row>
    <row r="65" spans="1:9" x14ac:dyDescent="0.25">
      <c r="A65" s="19">
        <v>41406</v>
      </c>
      <c r="B65" s="20">
        <v>1.5277777777777777E-2</v>
      </c>
      <c r="C65" t="str">
        <f t="shared" si="0"/>
        <v>13</v>
      </c>
      <c r="D65" t="str">
        <f t="shared" si="1"/>
        <v>05</v>
      </c>
      <c r="E65" t="str">
        <f t="shared" si="2"/>
        <v>12</v>
      </c>
      <c r="F65">
        <f t="shared" si="3"/>
        <v>2013</v>
      </c>
      <c r="G65">
        <f t="shared" si="4"/>
        <v>5</v>
      </c>
      <c r="H65">
        <f t="shared" si="5"/>
        <v>12</v>
      </c>
      <c r="I65" t="str">
        <f t="shared" si="6"/>
        <v>13</v>
      </c>
    </row>
    <row r="66" spans="1:9" x14ac:dyDescent="0.25">
      <c r="A66" s="19">
        <v>41806</v>
      </c>
      <c r="B66" s="20">
        <v>0.94097222222222221</v>
      </c>
      <c r="C66" t="str">
        <f t="shared" si="0"/>
        <v>14</v>
      </c>
      <c r="D66" t="str">
        <f t="shared" si="1"/>
        <v>06</v>
      </c>
      <c r="E66" t="str">
        <f t="shared" si="2"/>
        <v>16</v>
      </c>
      <c r="F66">
        <f t="shared" si="3"/>
        <v>2014</v>
      </c>
      <c r="G66">
        <f t="shared" si="4"/>
        <v>6</v>
      </c>
      <c r="H66">
        <f t="shared" si="5"/>
        <v>16</v>
      </c>
      <c r="I66" t="str">
        <f t="shared" si="6"/>
        <v>14</v>
      </c>
    </row>
    <row r="67" spans="1:9" x14ac:dyDescent="0.25">
      <c r="A67" s="19">
        <v>41716</v>
      </c>
      <c r="B67" s="20">
        <v>0.97499999999999998</v>
      </c>
      <c r="C67" t="str">
        <f t="shared" ref="C67:C130" si="7">TEXT(A67,"YY")</f>
        <v>14</v>
      </c>
      <c r="D67" t="str">
        <f t="shared" ref="D67:D130" si="8">TEXT(A67,"mm")</f>
        <v>03</v>
      </c>
      <c r="E67" t="str">
        <f t="shared" ref="E67:E130" si="9">TEXT(A67,"dd")</f>
        <v>18</v>
      </c>
      <c r="F67">
        <f t="shared" ref="F67:F130" si="10">YEAR($A67)</f>
        <v>2014</v>
      </c>
      <c r="G67">
        <f t="shared" ref="G67:G130" si="11">MONTH($A67)</f>
        <v>3</v>
      </c>
      <c r="H67">
        <f t="shared" ref="H67:H130" si="12">DAY($A67)</f>
        <v>18</v>
      </c>
      <c r="I67" t="str">
        <f t="shared" ref="I67:I130" si="13">TEXT($A67,"YY")</f>
        <v>14</v>
      </c>
    </row>
    <row r="68" spans="1:9" x14ac:dyDescent="0.25">
      <c r="A68" s="19">
        <v>41581</v>
      </c>
      <c r="B68" s="20">
        <v>0.97986111111111107</v>
      </c>
      <c r="C68" t="str">
        <f t="shared" si="7"/>
        <v>13</v>
      </c>
      <c r="D68" t="str">
        <f t="shared" si="8"/>
        <v>11</v>
      </c>
      <c r="E68" t="str">
        <f t="shared" si="9"/>
        <v>03</v>
      </c>
      <c r="F68">
        <f t="shared" si="10"/>
        <v>2013</v>
      </c>
      <c r="G68">
        <f t="shared" si="11"/>
        <v>11</v>
      </c>
      <c r="H68">
        <f t="shared" si="12"/>
        <v>3</v>
      </c>
      <c r="I68" t="str">
        <f t="shared" si="13"/>
        <v>13</v>
      </c>
    </row>
    <row r="69" spans="1:9" x14ac:dyDescent="0.25">
      <c r="A69" s="19">
        <v>41562</v>
      </c>
      <c r="B69" s="20">
        <v>2.2222222222222223E-2</v>
      </c>
      <c r="C69" t="str">
        <f t="shared" si="7"/>
        <v>13</v>
      </c>
      <c r="D69" t="str">
        <f t="shared" si="8"/>
        <v>10</v>
      </c>
      <c r="E69" t="str">
        <f t="shared" si="9"/>
        <v>15</v>
      </c>
      <c r="F69">
        <f t="shared" si="10"/>
        <v>2013</v>
      </c>
      <c r="G69">
        <f t="shared" si="11"/>
        <v>10</v>
      </c>
      <c r="H69">
        <f t="shared" si="12"/>
        <v>15</v>
      </c>
      <c r="I69" t="str">
        <f t="shared" si="13"/>
        <v>13</v>
      </c>
    </row>
    <row r="70" spans="1:9" x14ac:dyDescent="0.25">
      <c r="A70" s="19">
        <v>40999</v>
      </c>
      <c r="B70" s="20">
        <v>7.2916666666666671E-2</v>
      </c>
      <c r="C70" t="str">
        <f t="shared" si="7"/>
        <v>12</v>
      </c>
      <c r="D70" t="str">
        <f t="shared" si="8"/>
        <v>03</v>
      </c>
      <c r="E70" t="str">
        <f t="shared" si="9"/>
        <v>31</v>
      </c>
      <c r="F70">
        <f t="shared" si="10"/>
        <v>2012</v>
      </c>
      <c r="G70">
        <f t="shared" si="11"/>
        <v>3</v>
      </c>
      <c r="H70">
        <f t="shared" si="12"/>
        <v>31</v>
      </c>
      <c r="I70" t="str">
        <f t="shared" si="13"/>
        <v>12</v>
      </c>
    </row>
    <row r="71" spans="1:9" x14ac:dyDescent="0.25">
      <c r="A71" s="19">
        <v>41069</v>
      </c>
      <c r="B71" s="20">
        <v>2.8472222222222222E-2</v>
      </c>
      <c r="C71" t="str">
        <f t="shared" si="7"/>
        <v>12</v>
      </c>
      <c r="D71" t="str">
        <f t="shared" si="8"/>
        <v>06</v>
      </c>
      <c r="E71" t="str">
        <f t="shared" si="9"/>
        <v>09</v>
      </c>
      <c r="F71">
        <f t="shared" si="10"/>
        <v>2012</v>
      </c>
      <c r="G71">
        <f t="shared" si="11"/>
        <v>6</v>
      </c>
      <c r="H71">
        <f t="shared" si="12"/>
        <v>9</v>
      </c>
      <c r="I71" t="str">
        <f t="shared" si="13"/>
        <v>12</v>
      </c>
    </row>
    <row r="72" spans="1:9" x14ac:dyDescent="0.25">
      <c r="A72" s="19">
        <v>41231</v>
      </c>
      <c r="B72" s="20">
        <v>1.1111111111111112E-2</v>
      </c>
      <c r="C72" t="str">
        <f t="shared" si="7"/>
        <v>12</v>
      </c>
      <c r="D72" t="str">
        <f t="shared" si="8"/>
        <v>11</v>
      </c>
      <c r="E72" t="str">
        <f t="shared" si="9"/>
        <v>18</v>
      </c>
      <c r="F72">
        <f t="shared" si="10"/>
        <v>2012</v>
      </c>
      <c r="G72">
        <f t="shared" si="11"/>
        <v>11</v>
      </c>
      <c r="H72">
        <f t="shared" si="12"/>
        <v>18</v>
      </c>
      <c r="I72" t="str">
        <f t="shared" si="13"/>
        <v>12</v>
      </c>
    </row>
    <row r="73" spans="1:9" x14ac:dyDescent="0.25">
      <c r="A73" s="19">
        <v>41829</v>
      </c>
      <c r="B73" s="20">
        <v>0.98124999999999996</v>
      </c>
      <c r="C73" t="str">
        <f t="shared" si="7"/>
        <v>14</v>
      </c>
      <c r="D73" t="str">
        <f t="shared" si="8"/>
        <v>07</v>
      </c>
      <c r="E73" t="str">
        <f t="shared" si="9"/>
        <v>09</v>
      </c>
      <c r="F73">
        <f t="shared" si="10"/>
        <v>2014</v>
      </c>
      <c r="G73">
        <f t="shared" si="11"/>
        <v>7</v>
      </c>
      <c r="H73">
        <f t="shared" si="12"/>
        <v>9</v>
      </c>
      <c r="I73" t="str">
        <f t="shared" si="13"/>
        <v>14</v>
      </c>
    </row>
    <row r="74" spans="1:9" x14ac:dyDescent="0.25">
      <c r="A74" s="19">
        <v>41174</v>
      </c>
      <c r="B74" s="20">
        <v>2.2916666666666665E-2</v>
      </c>
      <c r="C74" t="str">
        <f t="shared" si="7"/>
        <v>12</v>
      </c>
      <c r="D74" t="str">
        <f t="shared" si="8"/>
        <v>09</v>
      </c>
      <c r="E74" t="str">
        <f t="shared" si="9"/>
        <v>22</v>
      </c>
      <c r="F74">
        <f t="shared" si="10"/>
        <v>2012</v>
      </c>
      <c r="G74">
        <f t="shared" si="11"/>
        <v>9</v>
      </c>
      <c r="H74">
        <f t="shared" si="12"/>
        <v>22</v>
      </c>
      <c r="I74" t="str">
        <f t="shared" si="13"/>
        <v>12</v>
      </c>
    </row>
    <row r="75" spans="1:9" x14ac:dyDescent="0.25">
      <c r="A75" s="19">
        <v>41823</v>
      </c>
      <c r="B75" s="20">
        <v>6.9444444444444447E-4</v>
      </c>
      <c r="C75" t="str">
        <f t="shared" si="7"/>
        <v>14</v>
      </c>
      <c r="D75" t="str">
        <f t="shared" si="8"/>
        <v>07</v>
      </c>
      <c r="E75" t="str">
        <f t="shared" si="9"/>
        <v>03</v>
      </c>
      <c r="F75">
        <f t="shared" si="10"/>
        <v>2014</v>
      </c>
      <c r="G75">
        <f t="shared" si="11"/>
        <v>7</v>
      </c>
      <c r="H75">
        <f t="shared" si="12"/>
        <v>3</v>
      </c>
      <c r="I75" t="str">
        <f t="shared" si="13"/>
        <v>14</v>
      </c>
    </row>
    <row r="76" spans="1:9" x14ac:dyDescent="0.25">
      <c r="A76" s="19">
        <v>41210</v>
      </c>
      <c r="B76" s="20">
        <v>2.7777777777777779E-3</v>
      </c>
      <c r="C76" t="str">
        <f t="shared" si="7"/>
        <v>12</v>
      </c>
      <c r="D76" t="str">
        <f t="shared" si="8"/>
        <v>10</v>
      </c>
      <c r="E76" t="str">
        <f t="shared" si="9"/>
        <v>28</v>
      </c>
      <c r="F76">
        <f t="shared" si="10"/>
        <v>2012</v>
      </c>
      <c r="G76">
        <f t="shared" si="11"/>
        <v>10</v>
      </c>
      <c r="H76">
        <f t="shared" si="12"/>
        <v>28</v>
      </c>
      <c r="I76" t="str">
        <f t="shared" si="13"/>
        <v>12</v>
      </c>
    </row>
    <row r="77" spans="1:9" x14ac:dyDescent="0.25">
      <c r="A77" s="19">
        <v>41303</v>
      </c>
      <c r="B77" s="20">
        <v>5.9722222222222225E-2</v>
      </c>
      <c r="C77" t="str">
        <f t="shared" si="7"/>
        <v>13</v>
      </c>
      <c r="D77" t="str">
        <f t="shared" si="8"/>
        <v>01</v>
      </c>
      <c r="E77" t="str">
        <f t="shared" si="9"/>
        <v>29</v>
      </c>
      <c r="F77">
        <f t="shared" si="10"/>
        <v>2013</v>
      </c>
      <c r="G77">
        <f t="shared" si="11"/>
        <v>1</v>
      </c>
      <c r="H77">
        <f t="shared" si="12"/>
        <v>29</v>
      </c>
      <c r="I77" t="str">
        <f t="shared" si="13"/>
        <v>13</v>
      </c>
    </row>
    <row r="78" spans="1:9" x14ac:dyDescent="0.25">
      <c r="A78" s="19">
        <v>42462</v>
      </c>
      <c r="B78" s="20">
        <v>0.96388888888888891</v>
      </c>
      <c r="C78" t="str">
        <f t="shared" si="7"/>
        <v>16</v>
      </c>
      <c r="D78" t="str">
        <f t="shared" si="8"/>
        <v>04</v>
      </c>
      <c r="E78" t="str">
        <f t="shared" si="9"/>
        <v>02</v>
      </c>
      <c r="F78">
        <f t="shared" si="10"/>
        <v>2016</v>
      </c>
      <c r="G78">
        <f t="shared" si="11"/>
        <v>4</v>
      </c>
      <c r="H78">
        <f t="shared" si="12"/>
        <v>2</v>
      </c>
      <c r="I78" t="str">
        <f t="shared" si="13"/>
        <v>16</v>
      </c>
    </row>
    <row r="79" spans="1:9" x14ac:dyDescent="0.25">
      <c r="A79" s="19">
        <v>41626</v>
      </c>
      <c r="B79" s="20">
        <v>2.4305555555555556E-2</v>
      </c>
      <c r="C79" t="str">
        <f t="shared" si="7"/>
        <v>13</v>
      </c>
      <c r="D79" t="str">
        <f t="shared" si="8"/>
        <v>12</v>
      </c>
      <c r="E79" t="str">
        <f t="shared" si="9"/>
        <v>18</v>
      </c>
      <c r="F79">
        <f t="shared" si="10"/>
        <v>2013</v>
      </c>
      <c r="G79">
        <f t="shared" si="11"/>
        <v>12</v>
      </c>
      <c r="H79">
        <f t="shared" si="12"/>
        <v>18</v>
      </c>
      <c r="I79" t="str">
        <f t="shared" si="13"/>
        <v>13</v>
      </c>
    </row>
    <row r="80" spans="1:9" x14ac:dyDescent="0.25">
      <c r="A80" s="19">
        <v>41589</v>
      </c>
      <c r="B80" s="20">
        <v>1.3888888888888888E-2</v>
      </c>
      <c r="C80" t="str">
        <f t="shared" si="7"/>
        <v>13</v>
      </c>
      <c r="D80" t="str">
        <f t="shared" si="8"/>
        <v>11</v>
      </c>
      <c r="E80" t="str">
        <f t="shared" si="9"/>
        <v>11</v>
      </c>
      <c r="F80">
        <f t="shared" si="10"/>
        <v>2013</v>
      </c>
      <c r="G80">
        <f t="shared" si="11"/>
        <v>11</v>
      </c>
      <c r="H80">
        <f t="shared" si="12"/>
        <v>11</v>
      </c>
      <c r="I80" t="str">
        <f t="shared" si="13"/>
        <v>13</v>
      </c>
    </row>
    <row r="81" spans="1:9" x14ac:dyDescent="0.25">
      <c r="A81" s="19">
        <v>41797</v>
      </c>
      <c r="B81" s="20">
        <v>3.8194444444444448E-2</v>
      </c>
      <c r="C81" t="str">
        <f t="shared" si="7"/>
        <v>14</v>
      </c>
      <c r="D81" t="str">
        <f t="shared" si="8"/>
        <v>06</v>
      </c>
      <c r="E81" t="str">
        <f t="shared" si="9"/>
        <v>07</v>
      </c>
      <c r="F81">
        <f t="shared" si="10"/>
        <v>2014</v>
      </c>
      <c r="G81">
        <f t="shared" si="11"/>
        <v>6</v>
      </c>
      <c r="H81">
        <f t="shared" si="12"/>
        <v>7</v>
      </c>
      <c r="I81" t="str">
        <f t="shared" si="13"/>
        <v>14</v>
      </c>
    </row>
    <row r="82" spans="1:9" x14ac:dyDescent="0.25">
      <c r="A82" s="19">
        <v>41013</v>
      </c>
      <c r="B82" s="20">
        <v>6.1111111111111109E-2</v>
      </c>
      <c r="C82" t="str">
        <f t="shared" si="7"/>
        <v>12</v>
      </c>
      <c r="D82" t="str">
        <f t="shared" si="8"/>
        <v>04</v>
      </c>
      <c r="E82" t="str">
        <f t="shared" si="9"/>
        <v>14</v>
      </c>
      <c r="F82">
        <f t="shared" si="10"/>
        <v>2012</v>
      </c>
      <c r="G82">
        <f t="shared" si="11"/>
        <v>4</v>
      </c>
      <c r="H82">
        <f t="shared" si="12"/>
        <v>14</v>
      </c>
      <c r="I82" t="str">
        <f t="shared" si="13"/>
        <v>12</v>
      </c>
    </row>
    <row r="83" spans="1:9" x14ac:dyDescent="0.25">
      <c r="A83" s="19">
        <v>41540</v>
      </c>
      <c r="B83" s="20">
        <v>3.6805555555555557E-2</v>
      </c>
      <c r="C83" t="str">
        <f t="shared" si="7"/>
        <v>13</v>
      </c>
      <c r="D83" t="str">
        <f t="shared" si="8"/>
        <v>09</v>
      </c>
      <c r="E83" t="str">
        <f t="shared" si="9"/>
        <v>23</v>
      </c>
      <c r="F83">
        <f t="shared" si="10"/>
        <v>2013</v>
      </c>
      <c r="G83">
        <f t="shared" si="11"/>
        <v>9</v>
      </c>
      <c r="H83">
        <f t="shared" si="12"/>
        <v>23</v>
      </c>
      <c r="I83" t="str">
        <f t="shared" si="13"/>
        <v>13</v>
      </c>
    </row>
    <row r="84" spans="1:9" x14ac:dyDescent="0.25">
      <c r="A84" s="19">
        <v>41990</v>
      </c>
      <c r="B84" s="20">
        <v>0.97291666666666665</v>
      </c>
      <c r="C84" t="str">
        <f t="shared" si="7"/>
        <v>14</v>
      </c>
      <c r="D84" t="str">
        <f t="shared" si="8"/>
        <v>12</v>
      </c>
      <c r="E84" t="str">
        <f t="shared" si="9"/>
        <v>17</v>
      </c>
      <c r="F84">
        <f t="shared" si="10"/>
        <v>2014</v>
      </c>
      <c r="G84">
        <f t="shared" si="11"/>
        <v>12</v>
      </c>
      <c r="H84">
        <f t="shared" si="12"/>
        <v>17</v>
      </c>
      <c r="I84" t="str">
        <f t="shared" si="13"/>
        <v>14</v>
      </c>
    </row>
    <row r="85" spans="1:9" x14ac:dyDescent="0.25">
      <c r="A85" s="19">
        <v>41677</v>
      </c>
      <c r="B85" s="20">
        <v>0.96805555555555556</v>
      </c>
      <c r="C85" t="str">
        <f t="shared" si="7"/>
        <v>14</v>
      </c>
      <c r="D85" t="str">
        <f t="shared" si="8"/>
        <v>02</v>
      </c>
      <c r="E85" t="str">
        <f t="shared" si="9"/>
        <v>07</v>
      </c>
      <c r="F85">
        <f t="shared" si="10"/>
        <v>2014</v>
      </c>
      <c r="G85">
        <f t="shared" si="11"/>
        <v>2</v>
      </c>
      <c r="H85">
        <f t="shared" si="12"/>
        <v>7</v>
      </c>
      <c r="I85" t="str">
        <f t="shared" si="13"/>
        <v>14</v>
      </c>
    </row>
    <row r="86" spans="1:9" x14ac:dyDescent="0.25">
      <c r="A86" s="19">
        <v>42612</v>
      </c>
      <c r="B86" s="20">
        <v>0.97847222222222219</v>
      </c>
      <c r="C86" t="str">
        <f t="shared" si="7"/>
        <v>16</v>
      </c>
      <c r="D86" t="str">
        <f t="shared" si="8"/>
        <v>08</v>
      </c>
      <c r="E86" t="str">
        <f t="shared" si="9"/>
        <v>30</v>
      </c>
      <c r="F86">
        <f t="shared" si="10"/>
        <v>2016</v>
      </c>
      <c r="G86">
        <f t="shared" si="11"/>
        <v>8</v>
      </c>
      <c r="H86">
        <f t="shared" si="12"/>
        <v>30</v>
      </c>
      <c r="I86" t="str">
        <f t="shared" si="13"/>
        <v>16</v>
      </c>
    </row>
    <row r="87" spans="1:9" x14ac:dyDescent="0.25">
      <c r="A87" s="19">
        <v>41187</v>
      </c>
      <c r="B87" s="20">
        <v>1.5277777777777777E-2</v>
      </c>
      <c r="C87" t="str">
        <f t="shared" si="7"/>
        <v>12</v>
      </c>
      <c r="D87" t="str">
        <f t="shared" si="8"/>
        <v>10</v>
      </c>
      <c r="E87" t="str">
        <f t="shared" si="9"/>
        <v>05</v>
      </c>
      <c r="F87">
        <f t="shared" si="10"/>
        <v>2012</v>
      </c>
      <c r="G87">
        <f t="shared" si="11"/>
        <v>10</v>
      </c>
      <c r="H87">
        <f t="shared" si="12"/>
        <v>5</v>
      </c>
      <c r="I87" t="str">
        <f t="shared" si="13"/>
        <v>12</v>
      </c>
    </row>
    <row r="88" spans="1:9" x14ac:dyDescent="0.25">
      <c r="A88" s="19">
        <v>41311</v>
      </c>
      <c r="B88" s="20">
        <v>2.0833333333333333E-3</v>
      </c>
      <c r="C88" t="str">
        <f t="shared" si="7"/>
        <v>13</v>
      </c>
      <c r="D88" t="str">
        <f t="shared" si="8"/>
        <v>02</v>
      </c>
      <c r="E88" t="str">
        <f t="shared" si="9"/>
        <v>06</v>
      </c>
      <c r="F88">
        <f t="shared" si="10"/>
        <v>2013</v>
      </c>
      <c r="G88">
        <f t="shared" si="11"/>
        <v>2</v>
      </c>
      <c r="H88">
        <f t="shared" si="12"/>
        <v>6</v>
      </c>
      <c r="I88" t="str">
        <f t="shared" si="13"/>
        <v>13</v>
      </c>
    </row>
    <row r="89" spans="1:9" x14ac:dyDescent="0.25">
      <c r="A89" s="19">
        <v>40989</v>
      </c>
      <c r="B89" s="20">
        <v>3.7499999999999999E-2</v>
      </c>
      <c r="C89" t="str">
        <f t="shared" si="7"/>
        <v>12</v>
      </c>
      <c r="D89" t="str">
        <f t="shared" si="8"/>
        <v>03</v>
      </c>
      <c r="E89" t="str">
        <f t="shared" si="9"/>
        <v>21</v>
      </c>
      <c r="F89">
        <f t="shared" si="10"/>
        <v>2012</v>
      </c>
      <c r="G89">
        <f t="shared" si="11"/>
        <v>3</v>
      </c>
      <c r="H89">
        <f t="shared" si="12"/>
        <v>21</v>
      </c>
      <c r="I89" t="str">
        <f t="shared" si="13"/>
        <v>12</v>
      </c>
    </row>
    <row r="90" spans="1:9" x14ac:dyDescent="0.25">
      <c r="A90" s="19">
        <v>42671</v>
      </c>
      <c r="B90" s="20">
        <v>2.7777777777777779E-3</v>
      </c>
      <c r="C90" t="str">
        <f t="shared" si="7"/>
        <v>16</v>
      </c>
      <c r="D90" t="str">
        <f t="shared" si="8"/>
        <v>10</v>
      </c>
      <c r="E90" t="str">
        <f t="shared" si="9"/>
        <v>28</v>
      </c>
      <c r="F90">
        <f t="shared" si="10"/>
        <v>2016</v>
      </c>
      <c r="G90">
        <f t="shared" si="11"/>
        <v>10</v>
      </c>
      <c r="H90">
        <f t="shared" si="12"/>
        <v>28</v>
      </c>
      <c r="I90" t="str">
        <f t="shared" si="13"/>
        <v>16</v>
      </c>
    </row>
    <row r="91" spans="1:9" x14ac:dyDescent="0.25">
      <c r="A91" s="19">
        <v>41651</v>
      </c>
      <c r="B91" s="20">
        <v>0.98263888888888884</v>
      </c>
      <c r="C91" t="str">
        <f t="shared" si="7"/>
        <v>14</v>
      </c>
      <c r="D91" t="str">
        <f t="shared" si="8"/>
        <v>01</v>
      </c>
      <c r="E91" t="str">
        <f t="shared" si="9"/>
        <v>12</v>
      </c>
      <c r="F91">
        <f t="shared" si="10"/>
        <v>2014</v>
      </c>
      <c r="G91">
        <f t="shared" si="11"/>
        <v>1</v>
      </c>
      <c r="H91">
        <f t="shared" si="12"/>
        <v>12</v>
      </c>
      <c r="I91" t="str">
        <f t="shared" si="13"/>
        <v>14</v>
      </c>
    </row>
    <row r="92" spans="1:9" x14ac:dyDescent="0.25">
      <c r="A92" s="19">
        <v>41476</v>
      </c>
      <c r="B92" s="20">
        <v>7.6388888888888886E-3</v>
      </c>
      <c r="C92" t="str">
        <f t="shared" si="7"/>
        <v>13</v>
      </c>
      <c r="D92" t="str">
        <f t="shared" si="8"/>
        <v>07</v>
      </c>
      <c r="E92" t="str">
        <f t="shared" si="9"/>
        <v>21</v>
      </c>
      <c r="F92">
        <f t="shared" si="10"/>
        <v>2013</v>
      </c>
      <c r="G92">
        <f t="shared" si="11"/>
        <v>7</v>
      </c>
      <c r="H92">
        <f t="shared" si="12"/>
        <v>21</v>
      </c>
      <c r="I92" t="str">
        <f t="shared" si="13"/>
        <v>13</v>
      </c>
    </row>
    <row r="93" spans="1:9" x14ac:dyDescent="0.25">
      <c r="A93" s="19">
        <v>41948</v>
      </c>
      <c r="B93" s="20">
        <v>4.5138888888888888E-2</v>
      </c>
      <c r="C93" t="str">
        <f t="shared" si="7"/>
        <v>14</v>
      </c>
      <c r="D93" t="str">
        <f t="shared" si="8"/>
        <v>11</v>
      </c>
      <c r="E93" t="str">
        <f t="shared" si="9"/>
        <v>05</v>
      </c>
      <c r="F93">
        <f t="shared" si="10"/>
        <v>2014</v>
      </c>
      <c r="G93">
        <f t="shared" si="11"/>
        <v>11</v>
      </c>
      <c r="H93">
        <f t="shared" si="12"/>
        <v>5</v>
      </c>
      <c r="I93" t="str">
        <f t="shared" si="13"/>
        <v>14</v>
      </c>
    </row>
    <row r="94" spans="1:9" x14ac:dyDescent="0.25">
      <c r="A94" s="19">
        <v>42017</v>
      </c>
      <c r="B94" s="20">
        <v>4.8611111111111112E-3</v>
      </c>
      <c r="C94" t="str">
        <f t="shared" si="7"/>
        <v>15</v>
      </c>
      <c r="D94" t="str">
        <f t="shared" si="8"/>
        <v>01</v>
      </c>
      <c r="E94" t="str">
        <f t="shared" si="9"/>
        <v>13</v>
      </c>
      <c r="F94">
        <f t="shared" si="10"/>
        <v>2015</v>
      </c>
      <c r="G94">
        <f t="shared" si="11"/>
        <v>1</v>
      </c>
      <c r="H94">
        <f t="shared" si="12"/>
        <v>13</v>
      </c>
      <c r="I94" t="str">
        <f t="shared" si="13"/>
        <v>15</v>
      </c>
    </row>
    <row r="95" spans="1:9" x14ac:dyDescent="0.25">
      <c r="A95" s="19">
        <v>42010</v>
      </c>
      <c r="B95" s="20">
        <v>3.2638888888888891E-2</v>
      </c>
      <c r="C95" t="str">
        <f t="shared" si="7"/>
        <v>15</v>
      </c>
      <c r="D95" t="str">
        <f t="shared" si="8"/>
        <v>01</v>
      </c>
      <c r="E95" t="str">
        <f t="shared" si="9"/>
        <v>06</v>
      </c>
      <c r="F95">
        <f t="shared" si="10"/>
        <v>2015</v>
      </c>
      <c r="G95">
        <f t="shared" si="11"/>
        <v>1</v>
      </c>
      <c r="H95">
        <f t="shared" si="12"/>
        <v>6</v>
      </c>
      <c r="I95" t="str">
        <f t="shared" si="13"/>
        <v>15</v>
      </c>
    </row>
    <row r="96" spans="1:9" x14ac:dyDescent="0.25">
      <c r="A96" s="19">
        <v>41573</v>
      </c>
      <c r="B96" s="20">
        <v>6.9444444444444448E-2</v>
      </c>
      <c r="C96" t="str">
        <f t="shared" si="7"/>
        <v>13</v>
      </c>
      <c r="D96" t="str">
        <f t="shared" si="8"/>
        <v>10</v>
      </c>
      <c r="E96" t="str">
        <f t="shared" si="9"/>
        <v>26</v>
      </c>
      <c r="F96">
        <f t="shared" si="10"/>
        <v>2013</v>
      </c>
      <c r="G96">
        <f t="shared" si="11"/>
        <v>10</v>
      </c>
      <c r="H96">
        <f t="shared" si="12"/>
        <v>26</v>
      </c>
      <c r="I96" t="str">
        <f t="shared" si="13"/>
        <v>13</v>
      </c>
    </row>
    <row r="97" spans="1:9" x14ac:dyDescent="0.25">
      <c r="A97" s="19">
        <v>42006</v>
      </c>
      <c r="B97" s="20">
        <v>3.1944444444444442E-2</v>
      </c>
      <c r="C97" t="str">
        <f t="shared" si="7"/>
        <v>15</v>
      </c>
      <c r="D97" t="str">
        <f t="shared" si="8"/>
        <v>01</v>
      </c>
      <c r="E97" t="str">
        <f t="shared" si="9"/>
        <v>02</v>
      </c>
      <c r="F97">
        <f t="shared" si="10"/>
        <v>2015</v>
      </c>
      <c r="G97">
        <f t="shared" si="11"/>
        <v>1</v>
      </c>
      <c r="H97">
        <f t="shared" si="12"/>
        <v>2</v>
      </c>
      <c r="I97" t="str">
        <f t="shared" si="13"/>
        <v>15</v>
      </c>
    </row>
    <row r="98" spans="1:9" x14ac:dyDescent="0.25">
      <c r="A98" s="19">
        <v>41269</v>
      </c>
      <c r="B98" s="20">
        <v>2.2222222222222223E-2</v>
      </c>
      <c r="C98" t="str">
        <f t="shared" si="7"/>
        <v>12</v>
      </c>
      <c r="D98" t="str">
        <f t="shared" si="8"/>
        <v>12</v>
      </c>
      <c r="E98" t="str">
        <f t="shared" si="9"/>
        <v>26</v>
      </c>
      <c r="F98">
        <f t="shared" si="10"/>
        <v>2012</v>
      </c>
      <c r="G98">
        <f t="shared" si="11"/>
        <v>12</v>
      </c>
      <c r="H98">
        <f t="shared" si="12"/>
        <v>26</v>
      </c>
      <c r="I98" t="str">
        <f t="shared" si="13"/>
        <v>12</v>
      </c>
    </row>
    <row r="99" spans="1:9" x14ac:dyDescent="0.25">
      <c r="A99" s="19">
        <v>41082</v>
      </c>
      <c r="B99" s="20">
        <v>0.98402777777777772</v>
      </c>
      <c r="C99" t="str">
        <f t="shared" si="7"/>
        <v>12</v>
      </c>
      <c r="D99" t="str">
        <f t="shared" si="8"/>
        <v>06</v>
      </c>
      <c r="E99" t="str">
        <f t="shared" si="9"/>
        <v>22</v>
      </c>
      <c r="F99">
        <f t="shared" si="10"/>
        <v>2012</v>
      </c>
      <c r="G99">
        <f t="shared" si="11"/>
        <v>6</v>
      </c>
      <c r="H99">
        <f t="shared" si="12"/>
        <v>22</v>
      </c>
      <c r="I99" t="str">
        <f t="shared" si="13"/>
        <v>12</v>
      </c>
    </row>
    <row r="100" spans="1:9" x14ac:dyDescent="0.25">
      <c r="A100" s="19">
        <v>41361</v>
      </c>
      <c r="B100" s="20">
        <v>0.9770833333333333</v>
      </c>
      <c r="C100" t="str">
        <f t="shared" si="7"/>
        <v>13</v>
      </c>
      <c r="D100" t="str">
        <f t="shared" si="8"/>
        <v>03</v>
      </c>
      <c r="E100" t="str">
        <f t="shared" si="9"/>
        <v>28</v>
      </c>
      <c r="F100">
        <f t="shared" si="10"/>
        <v>2013</v>
      </c>
      <c r="G100">
        <f t="shared" si="11"/>
        <v>3</v>
      </c>
      <c r="H100">
        <f t="shared" si="12"/>
        <v>28</v>
      </c>
      <c r="I100" t="str">
        <f t="shared" si="13"/>
        <v>13</v>
      </c>
    </row>
    <row r="101" spans="1:9" x14ac:dyDescent="0.25">
      <c r="A101" s="19">
        <v>41719</v>
      </c>
      <c r="B101" s="20">
        <v>0.98472222222222228</v>
      </c>
      <c r="C101" t="str">
        <f t="shared" si="7"/>
        <v>14</v>
      </c>
      <c r="D101" t="str">
        <f t="shared" si="8"/>
        <v>03</v>
      </c>
      <c r="E101" t="str">
        <f t="shared" si="9"/>
        <v>21</v>
      </c>
      <c r="F101">
        <f t="shared" si="10"/>
        <v>2014</v>
      </c>
      <c r="G101">
        <f t="shared" si="11"/>
        <v>3</v>
      </c>
      <c r="H101">
        <f t="shared" si="12"/>
        <v>21</v>
      </c>
      <c r="I101" t="str">
        <f t="shared" si="13"/>
        <v>14</v>
      </c>
    </row>
    <row r="102" spans="1:9" x14ac:dyDescent="0.25">
      <c r="A102" s="19">
        <v>41330</v>
      </c>
      <c r="B102" s="20">
        <v>7.6388888888888886E-3</v>
      </c>
      <c r="C102" t="str">
        <f t="shared" si="7"/>
        <v>13</v>
      </c>
      <c r="D102" t="str">
        <f t="shared" si="8"/>
        <v>02</v>
      </c>
      <c r="E102" t="str">
        <f t="shared" si="9"/>
        <v>25</v>
      </c>
      <c r="F102">
        <f t="shared" si="10"/>
        <v>2013</v>
      </c>
      <c r="G102">
        <f t="shared" si="11"/>
        <v>2</v>
      </c>
      <c r="H102">
        <f t="shared" si="12"/>
        <v>25</v>
      </c>
      <c r="I102" t="str">
        <f t="shared" si="13"/>
        <v>13</v>
      </c>
    </row>
    <row r="103" spans="1:9" x14ac:dyDescent="0.25">
      <c r="A103" s="19">
        <v>41482</v>
      </c>
      <c r="B103" s="20">
        <v>2.7777777777777779E-3</v>
      </c>
      <c r="C103" t="str">
        <f t="shared" si="7"/>
        <v>13</v>
      </c>
      <c r="D103" t="str">
        <f t="shared" si="8"/>
        <v>07</v>
      </c>
      <c r="E103" t="str">
        <f t="shared" si="9"/>
        <v>27</v>
      </c>
      <c r="F103">
        <f t="shared" si="10"/>
        <v>2013</v>
      </c>
      <c r="G103">
        <f t="shared" si="11"/>
        <v>7</v>
      </c>
      <c r="H103">
        <f t="shared" si="12"/>
        <v>27</v>
      </c>
      <c r="I103" t="str">
        <f t="shared" si="13"/>
        <v>13</v>
      </c>
    </row>
    <row r="104" spans="1:9" x14ac:dyDescent="0.25">
      <c r="A104" s="19">
        <v>42252</v>
      </c>
      <c r="B104" s="20">
        <v>4.027777777777778E-2</v>
      </c>
      <c r="C104" t="str">
        <f t="shared" si="7"/>
        <v>15</v>
      </c>
      <c r="D104" t="str">
        <f t="shared" si="8"/>
        <v>09</v>
      </c>
      <c r="E104" t="str">
        <f t="shared" si="9"/>
        <v>05</v>
      </c>
      <c r="F104">
        <f t="shared" si="10"/>
        <v>2015</v>
      </c>
      <c r="G104">
        <f t="shared" si="11"/>
        <v>9</v>
      </c>
      <c r="H104">
        <f t="shared" si="12"/>
        <v>5</v>
      </c>
      <c r="I104" t="str">
        <f t="shared" si="13"/>
        <v>15</v>
      </c>
    </row>
    <row r="105" spans="1:9" x14ac:dyDescent="0.25">
      <c r="A105" s="19">
        <v>41340</v>
      </c>
      <c r="B105" s="20">
        <v>6.2500000000000003E-3</v>
      </c>
      <c r="C105" t="str">
        <f t="shared" si="7"/>
        <v>13</v>
      </c>
      <c r="D105" t="str">
        <f t="shared" si="8"/>
        <v>03</v>
      </c>
      <c r="E105" t="str">
        <f t="shared" si="9"/>
        <v>07</v>
      </c>
      <c r="F105">
        <f t="shared" si="10"/>
        <v>2013</v>
      </c>
      <c r="G105">
        <f t="shared" si="11"/>
        <v>3</v>
      </c>
      <c r="H105">
        <f t="shared" si="12"/>
        <v>7</v>
      </c>
      <c r="I105" t="str">
        <f t="shared" si="13"/>
        <v>13</v>
      </c>
    </row>
    <row r="106" spans="1:9" x14ac:dyDescent="0.25">
      <c r="A106" s="19">
        <v>42351</v>
      </c>
      <c r="B106" s="20">
        <v>0.95763888888888893</v>
      </c>
      <c r="C106" t="str">
        <f t="shared" si="7"/>
        <v>15</v>
      </c>
      <c r="D106" t="str">
        <f t="shared" si="8"/>
        <v>12</v>
      </c>
      <c r="E106" t="str">
        <f t="shared" si="9"/>
        <v>13</v>
      </c>
      <c r="F106">
        <f t="shared" si="10"/>
        <v>2015</v>
      </c>
      <c r="G106">
        <f t="shared" si="11"/>
        <v>12</v>
      </c>
      <c r="H106">
        <f t="shared" si="12"/>
        <v>13</v>
      </c>
      <c r="I106" t="str">
        <f t="shared" si="13"/>
        <v>15</v>
      </c>
    </row>
    <row r="107" spans="1:9" x14ac:dyDescent="0.25">
      <c r="A107" s="19">
        <v>41069</v>
      </c>
      <c r="B107" s="20">
        <v>3.472222222222222E-3</v>
      </c>
      <c r="C107" t="str">
        <f t="shared" si="7"/>
        <v>12</v>
      </c>
      <c r="D107" t="str">
        <f t="shared" si="8"/>
        <v>06</v>
      </c>
      <c r="E107" t="str">
        <f t="shared" si="9"/>
        <v>09</v>
      </c>
      <c r="F107">
        <f t="shared" si="10"/>
        <v>2012</v>
      </c>
      <c r="G107">
        <f t="shared" si="11"/>
        <v>6</v>
      </c>
      <c r="H107">
        <f t="shared" si="12"/>
        <v>9</v>
      </c>
      <c r="I107" t="str">
        <f t="shared" si="13"/>
        <v>12</v>
      </c>
    </row>
    <row r="108" spans="1:9" x14ac:dyDescent="0.25">
      <c r="A108" s="19">
        <v>42021</v>
      </c>
      <c r="B108" s="20">
        <v>4.8611111111111112E-3</v>
      </c>
      <c r="C108" t="str">
        <f t="shared" si="7"/>
        <v>15</v>
      </c>
      <c r="D108" t="str">
        <f t="shared" si="8"/>
        <v>01</v>
      </c>
      <c r="E108" t="str">
        <f t="shared" si="9"/>
        <v>17</v>
      </c>
      <c r="F108">
        <f t="shared" si="10"/>
        <v>2015</v>
      </c>
      <c r="G108">
        <f t="shared" si="11"/>
        <v>1</v>
      </c>
      <c r="H108">
        <f t="shared" si="12"/>
        <v>17</v>
      </c>
      <c r="I108" t="str">
        <f t="shared" si="13"/>
        <v>15</v>
      </c>
    </row>
    <row r="109" spans="1:9" x14ac:dyDescent="0.25">
      <c r="A109" s="19">
        <v>41167</v>
      </c>
      <c r="B109" s="20">
        <v>2.361111111111111E-2</v>
      </c>
      <c r="C109" t="str">
        <f t="shared" si="7"/>
        <v>12</v>
      </c>
      <c r="D109" t="str">
        <f t="shared" si="8"/>
        <v>09</v>
      </c>
      <c r="E109" t="str">
        <f t="shared" si="9"/>
        <v>15</v>
      </c>
      <c r="F109">
        <f t="shared" si="10"/>
        <v>2012</v>
      </c>
      <c r="G109">
        <f t="shared" si="11"/>
        <v>9</v>
      </c>
      <c r="H109">
        <f t="shared" si="12"/>
        <v>15</v>
      </c>
      <c r="I109" t="str">
        <f t="shared" si="13"/>
        <v>12</v>
      </c>
    </row>
    <row r="110" spans="1:9" x14ac:dyDescent="0.25">
      <c r="A110" s="19">
        <v>41103</v>
      </c>
      <c r="B110" s="20">
        <v>9.166666666666666E-2</v>
      </c>
      <c r="C110" t="str">
        <f t="shared" si="7"/>
        <v>12</v>
      </c>
      <c r="D110" t="str">
        <f t="shared" si="8"/>
        <v>07</v>
      </c>
      <c r="E110" t="str">
        <f t="shared" si="9"/>
        <v>13</v>
      </c>
      <c r="F110">
        <f t="shared" si="10"/>
        <v>2012</v>
      </c>
      <c r="G110">
        <f t="shared" si="11"/>
        <v>7</v>
      </c>
      <c r="H110">
        <f t="shared" si="12"/>
        <v>13</v>
      </c>
      <c r="I110" t="str">
        <f t="shared" si="13"/>
        <v>12</v>
      </c>
    </row>
    <row r="111" spans="1:9" x14ac:dyDescent="0.25">
      <c r="A111" s="19">
        <v>41950</v>
      </c>
      <c r="B111" s="20">
        <v>3.8194444444444448E-2</v>
      </c>
      <c r="C111" t="str">
        <f t="shared" si="7"/>
        <v>14</v>
      </c>
      <c r="D111" t="str">
        <f t="shared" si="8"/>
        <v>11</v>
      </c>
      <c r="E111" t="str">
        <f t="shared" si="9"/>
        <v>07</v>
      </c>
      <c r="F111">
        <f t="shared" si="10"/>
        <v>2014</v>
      </c>
      <c r="G111">
        <f t="shared" si="11"/>
        <v>11</v>
      </c>
      <c r="H111">
        <f t="shared" si="12"/>
        <v>7</v>
      </c>
      <c r="I111" t="str">
        <f t="shared" si="13"/>
        <v>14</v>
      </c>
    </row>
    <row r="112" spans="1:9" x14ac:dyDescent="0.25">
      <c r="A112" s="19">
        <v>41255</v>
      </c>
      <c r="B112" s="20">
        <v>5.7638888888888892E-2</v>
      </c>
      <c r="C112" t="str">
        <f t="shared" si="7"/>
        <v>12</v>
      </c>
      <c r="D112" t="str">
        <f t="shared" si="8"/>
        <v>12</v>
      </c>
      <c r="E112" t="str">
        <f t="shared" si="9"/>
        <v>12</v>
      </c>
      <c r="F112">
        <f t="shared" si="10"/>
        <v>2012</v>
      </c>
      <c r="G112">
        <f t="shared" si="11"/>
        <v>12</v>
      </c>
      <c r="H112">
        <f t="shared" si="12"/>
        <v>12</v>
      </c>
      <c r="I112" t="str">
        <f t="shared" si="13"/>
        <v>12</v>
      </c>
    </row>
    <row r="113" spans="1:9" x14ac:dyDescent="0.25">
      <c r="A113" s="19">
        <v>42272</v>
      </c>
      <c r="B113" s="20">
        <v>5.2777777777777778E-2</v>
      </c>
      <c r="C113" t="str">
        <f t="shared" si="7"/>
        <v>15</v>
      </c>
      <c r="D113" t="str">
        <f t="shared" si="8"/>
        <v>09</v>
      </c>
      <c r="E113" t="str">
        <f t="shared" si="9"/>
        <v>25</v>
      </c>
      <c r="F113">
        <f t="shared" si="10"/>
        <v>2015</v>
      </c>
      <c r="G113">
        <f t="shared" si="11"/>
        <v>9</v>
      </c>
      <c r="H113">
        <f t="shared" si="12"/>
        <v>25</v>
      </c>
      <c r="I113" t="str">
        <f t="shared" si="13"/>
        <v>15</v>
      </c>
    </row>
    <row r="114" spans="1:9" x14ac:dyDescent="0.25">
      <c r="A114" s="19">
        <v>41083</v>
      </c>
      <c r="B114" s="20">
        <v>3.0555555555555555E-2</v>
      </c>
      <c r="C114" t="str">
        <f t="shared" si="7"/>
        <v>12</v>
      </c>
      <c r="D114" t="str">
        <f t="shared" si="8"/>
        <v>06</v>
      </c>
      <c r="E114" t="str">
        <f t="shared" si="9"/>
        <v>23</v>
      </c>
      <c r="F114">
        <f t="shared" si="10"/>
        <v>2012</v>
      </c>
      <c r="G114">
        <f t="shared" si="11"/>
        <v>6</v>
      </c>
      <c r="H114">
        <f t="shared" si="12"/>
        <v>23</v>
      </c>
      <c r="I114" t="str">
        <f t="shared" si="13"/>
        <v>12</v>
      </c>
    </row>
    <row r="115" spans="1:9" x14ac:dyDescent="0.25">
      <c r="A115" s="19">
        <v>41987</v>
      </c>
      <c r="B115" s="20">
        <v>1.3888888888888888E-2</v>
      </c>
      <c r="C115" t="str">
        <f t="shared" si="7"/>
        <v>14</v>
      </c>
      <c r="D115" t="str">
        <f t="shared" si="8"/>
        <v>12</v>
      </c>
      <c r="E115" t="str">
        <f t="shared" si="9"/>
        <v>14</v>
      </c>
      <c r="F115">
        <f t="shared" si="10"/>
        <v>2014</v>
      </c>
      <c r="G115">
        <f t="shared" si="11"/>
        <v>12</v>
      </c>
      <c r="H115">
        <f t="shared" si="12"/>
        <v>14</v>
      </c>
      <c r="I115" t="str">
        <f t="shared" si="13"/>
        <v>14</v>
      </c>
    </row>
    <row r="116" spans="1:9" x14ac:dyDescent="0.25">
      <c r="A116" s="19">
        <v>41621</v>
      </c>
      <c r="B116" s="20">
        <v>7.013888888888889E-2</v>
      </c>
      <c r="C116" t="str">
        <f t="shared" si="7"/>
        <v>13</v>
      </c>
      <c r="D116" t="str">
        <f t="shared" si="8"/>
        <v>12</v>
      </c>
      <c r="E116" t="str">
        <f t="shared" si="9"/>
        <v>13</v>
      </c>
      <c r="F116">
        <f t="shared" si="10"/>
        <v>2013</v>
      </c>
      <c r="G116">
        <f t="shared" si="11"/>
        <v>12</v>
      </c>
      <c r="H116">
        <f t="shared" si="12"/>
        <v>13</v>
      </c>
      <c r="I116" t="str">
        <f t="shared" si="13"/>
        <v>13</v>
      </c>
    </row>
    <row r="117" spans="1:9" x14ac:dyDescent="0.25">
      <c r="A117" s="19">
        <v>41121</v>
      </c>
      <c r="B117" s="20">
        <v>3.2638888888888891E-2</v>
      </c>
      <c r="C117" t="str">
        <f t="shared" si="7"/>
        <v>12</v>
      </c>
      <c r="D117" t="str">
        <f t="shared" si="8"/>
        <v>07</v>
      </c>
      <c r="E117" t="str">
        <f t="shared" si="9"/>
        <v>31</v>
      </c>
      <c r="F117">
        <f t="shared" si="10"/>
        <v>2012</v>
      </c>
      <c r="G117">
        <f t="shared" si="11"/>
        <v>7</v>
      </c>
      <c r="H117">
        <f t="shared" si="12"/>
        <v>31</v>
      </c>
      <c r="I117" t="str">
        <f t="shared" si="13"/>
        <v>12</v>
      </c>
    </row>
    <row r="118" spans="1:9" x14ac:dyDescent="0.25">
      <c r="A118" s="19">
        <v>41734</v>
      </c>
      <c r="B118" s="20">
        <v>0.99375000000000002</v>
      </c>
      <c r="C118" t="str">
        <f t="shared" si="7"/>
        <v>14</v>
      </c>
      <c r="D118" t="str">
        <f t="shared" si="8"/>
        <v>04</v>
      </c>
      <c r="E118" t="str">
        <f t="shared" si="9"/>
        <v>05</v>
      </c>
      <c r="F118">
        <f t="shared" si="10"/>
        <v>2014</v>
      </c>
      <c r="G118">
        <f t="shared" si="11"/>
        <v>4</v>
      </c>
      <c r="H118">
        <f t="shared" si="12"/>
        <v>5</v>
      </c>
      <c r="I118" t="str">
        <f t="shared" si="13"/>
        <v>14</v>
      </c>
    </row>
    <row r="119" spans="1:9" x14ac:dyDescent="0.25">
      <c r="A119" s="19">
        <v>41933</v>
      </c>
      <c r="B119" s="20">
        <v>3.3333333333333333E-2</v>
      </c>
      <c r="C119" t="str">
        <f t="shared" si="7"/>
        <v>14</v>
      </c>
      <c r="D119" t="str">
        <f t="shared" si="8"/>
        <v>10</v>
      </c>
      <c r="E119" t="str">
        <f t="shared" si="9"/>
        <v>21</v>
      </c>
      <c r="F119">
        <f t="shared" si="10"/>
        <v>2014</v>
      </c>
      <c r="G119">
        <f t="shared" si="11"/>
        <v>10</v>
      </c>
      <c r="H119">
        <f t="shared" si="12"/>
        <v>21</v>
      </c>
      <c r="I119" t="str">
        <f t="shared" si="13"/>
        <v>14</v>
      </c>
    </row>
    <row r="120" spans="1:9" x14ac:dyDescent="0.25">
      <c r="A120" s="19">
        <v>42077</v>
      </c>
      <c r="B120" s="20">
        <v>1.3888888888888889E-3</v>
      </c>
      <c r="C120" t="str">
        <f t="shared" si="7"/>
        <v>15</v>
      </c>
      <c r="D120" t="str">
        <f t="shared" si="8"/>
        <v>03</v>
      </c>
      <c r="E120" t="str">
        <f t="shared" si="9"/>
        <v>14</v>
      </c>
      <c r="F120">
        <f t="shared" si="10"/>
        <v>2015</v>
      </c>
      <c r="G120">
        <f t="shared" si="11"/>
        <v>3</v>
      </c>
      <c r="H120">
        <f t="shared" si="12"/>
        <v>14</v>
      </c>
      <c r="I120" t="str">
        <f t="shared" si="13"/>
        <v>15</v>
      </c>
    </row>
    <row r="121" spans="1:9" x14ac:dyDescent="0.25">
      <c r="A121" s="19">
        <v>41859</v>
      </c>
      <c r="B121" s="20">
        <v>0.94374999999999998</v>
      </c>
      <c r="C121" t="str">
        <f t="shared" si="7"/>
        <v>14</v>
      </c>
      <c r="D121" t="str">
        <f t="shared" si="8"/>
        <v>08</v>
      </c>
      <c r="E121" t="str">
        <f t="shared" si="9"/>
        <v>08</v>
      </c>
      <c r="F121">
        <f t="shared" si="10"/>
        <v>2014</v>
      </c>
      <c r="G121">
        <f t="shared" si="11"/>
        <v>8</v>
      </c>
      <c r="H121">
        <f t="shared" si="12"/>
        <v>8</v>
      </c>
      <c r="I121" t="str">
        <f t="shared" si="13"/>
        <v>14</v>
      </c>
    </row>
    <row r="122" spans="1:9" x14ac:dyDescent="0.25">
      <c r="A122" s="19">
        <v>41407</v>
      </c>
      <c r="B122" s="20">
        <v>0.98055555555555551</v>
      </c>
      <c r="C122" t="str">
        <f t="shared" si="7"/>
        <v>13</v>
      </c>
      <c r="D122" t="str">
        <f t="shared" si="8"/>
        <v>05</v>
      </c>
      <c r="E122" t="str">
        <f t="shared" si="9"/>
        <v>13</v>
      </c>
      <c r="F122">
        <f t="shared" si="10"/>
        <v>2013</v>
      </c>
      <c r="G122">
        <f t="shared" si="11"/>
        <v>5</v>
      </c>
      <c r="H122">
        <f t="shared" si="12"/>
        <v>13</v>
      </c>
      <c r="I122" t="str">
        <f t="shared" si="13"/>
        <v>13</v>
      </c>
    </row>
    <row r="123" spans="1:9" x14ac:dyDescent="0.25">
      <c r="A123" s="19">
        <v>41617</v>
      </c>
      <c r="B123" s="20">
        <v>4.791666666666667E-2</v>
      </c>
      <c r="C123" t="str">
        <f t="shared" si="7"/>
        <v>13</v>
      </c>
      <c r="D123" t="str">
        <f t="shared" si="8"/>
        <v>12</v>
      </c>
      <c r="E123" t="str">
        <f t="shared" si="9"/>
        <v>09</v>
      </c>
      <c r="F123">
        <f t="shared" si="10"/>
        <v>2013</v>
      </c>
      <c r="G123">
        <f t="shared" si="11"/>
        <v>12</v>
      </c>
      <c r="H123">
        <f t="shared" si="12"/>
        <v>9</v>
      </c>
      <c r="I123" t="str">
        <f t="shared" si="13"/>
        <v>13</v>
      </c>
    </row>
    <row r="124" spans="1:9" x14ac:dyDescent="0.25">
      <c r="A124" s="19">
        <v>41363</v>
      </c>
      <c r="B124" s="20">
        <v>1.9444444444444445E-2</v>
      </c>
      <c r="C124" t="str">
        <f t="shared" si="7"/>
        <v>13</v>
      </c>
      <c r="D124" t="str">
        <f t="shared" si="8"/>
        <v>03</v>
      </c>
      <c r="E124" t="str">
        <f t="shared" si="9"/>
        <v>30</v>
      </c>
      <c r="F124">
        <f t="shared" si="10"/>
        <v>2013</v>
      </c>
      <c r="G124">
        <f t="shared" si="11"/>
        <v>3</v>
      </c>
      <c r="H124">
        <f t="shared" si="12"/>
        <v>30</v>
      </c>
      <c r="I124" t="str">
        <f t="shared" si="13"/>
        <v>13</v>
      </c>
    </row>
    <row r="125" spans="1:9" x14ac:dyDescent="0.25">
      <c r="A125" s="19">
        <v>41105</v>
      </c>
      <c r="B125" s="20">
        <v>2.7083333333333334E-2</v>
      </c>
      <c r="C125" t="str">
        <f t="shared" si="7"/>
        <v>12</v>
      </c>
      <c r="D125" t="str">
        <f t="shared" si="8"/>
        <v>07</v>
      </c>
      <c r="E125" t="str">
        <f t="shared" si="9"/>
        <v>15</v>
      </c>
      <c r="F125">
        <f t="shared" si="10"/>
        <v>2012</v>
      </c>
      <c r="G125">
        <f t="shared" si="11"/>
        <v>7</v>
      </c>
      <c r="H125">
        <f t="shared" si="12"/>
        <v>15</v>
      </c>
      <c r="I125" t="str">
        <f t="shared" si="13"/>
        <v>12</v>
      </c>
    </row>
    <row r="126" spans="1:9" x14ac:dyDescent="0.25">
      <c r="A126" s="19">
        <v>42359</v>
      </c>
      <c r="B126" s="20">
        <v>3.5416666666666666E-2</v>
      </c>
      <c r="C126" t="str">
        <f t="shared" si="7"/>
        <v>15</v>
      </c>
      <c r="D126" t="str">
        <f t="shared" si="8"/>
        <v>12</v>
      </c>
      <c r="E126" t="str">
        <f t="shared" si="9"/>
        <v>21</v>
      </c>
      <c r="F126">
        <f t="shared" si="10"/>
        <v>2015</v>
      </c>
      <c r="G126">
        <f t="shared" si="11"/>
        <v>12</v>
      </c>
      <c r="H126">
        <f t="shared" si="12"/>
        <v>21</v>
      </c>
      <c r="I126" t="str">
        <f t="shared" si="13"/>
        <v>15</v>
      </c>
    </row>
    <row r="127" spans="1:9" x14ac:dyDescent="0.25">
      <c r="A127" s="19">
        <v>41316</v>
      </c>
      <c r="B127" s="20">
        <v>0.99444444444444446</v>
      </c>
      <c r="C127" t="str">
        <f t="shared" si="7"/>
        <v>13</v>
      </c>
      <c r="D127" t="str">
        <f t="shared" si="8"/>
        <v>02</v>
      </c>
      <c r="E127" t="str">
        <f t="shared" si="9"/>
        <v>11</v>
      </c>
      <c r="F127">
        <f t="shared" si="10"/>
        <v>2013</v>
      </c>
      <c r="G127">
        <f t="shared" si="11"/>
        <v>2</v>
      </c>
      <c r="H127">
        <f t="shared" si="12"/>
        <v>11</v>
      </c>
      <c r="I127" t="str">
        <f t="shared" si="13"/>
        <v>13</v>
      </c>
    </row>
    <row r="128" spans="1:9" x14ac:dyDescent="0.25">
      <c r="A128" s="19">
        <v>41945</v>
      </c>
      <c r="B128" s="20">
        <v>5.486111111111111E-2</v>
      </c>
      <c r="C128" t="str">
        <f t="shared" si="7"/>
        <v>14</v>
      </c>
      <c r="D128" t="str">
        <f t="shared" si="8"/>
        <v>11</v>
      </c>
      <c r="E128" t="str">
        <f t="shared" si="9"/>
        <v>02</v>
      </c>
      <c r="F128">
        <f t="shared" si="10"/>
        <v>2014</v>
      </c>
      <c r="G128">
        <f t="shared" si="11"/>
        <v>11</v>
      </c>
      <c r="H128">
        <f t="shared" si="12"/>
        <v>2</v>
      </c>
      <c r="I128" t="str">
        <f t="shared" si="13"/>
        <v>14</v>
      </c>
    </row>
    <row r="129" spans="1:9" x14ac:dyDescent="0.25">
      <c r="A129" s="19">
        <v>41764</v>
      </c>
      <c r="B129" s="20">
        <v>0.99861111111111112</v>
      </c>
      <c r="C129" t="str">
        <f t="shared" si="7"/>
        <v>14</v>
      </c>
      <c r="D129" t="str">
        <f t="shared" si="8"/>
        <v>05</v>
      </c>
      <c r="E129" t="str">
        <f t="shared" si="9"/>
        <v>05</v>
      </c>
      <c r="F129">
        <f t="shared" si="10"/>
        <v>2014</v>
      </c>
      <c r="G129">
        <f t="shared" si="11"/>
        <v>5</v>
      </c>
      <c r="H129">
        <f t="shared" si="12"/>
        <v>5</v>
      </c>
      <c r="I129" t="str">
        <f t="shared" si="13"/>
        <v>14</v>
      </c>
    </row>
    <row r="130" spans="1:9" x14ac:dyDescent="0.25">
      <c r="A130" s="19">
        <v>41016</v>
      </c>
      <c r="B130" s="20">
        <v>2.7777777777777776E-2</v>
      </c>
      <c r="C130" t="str">
        <f t="shared" si="7"/>
        <v>12</v>
      </c>
      <c r="D130" t="str">
        <f t="shared" si="8"/>
        <v>04</v>
      </c>
      <c r="E130" t="str">
        <f t="shared" si="9"/>
        <v>17</v>
      </c>
      <c r="F130">
        <f t="shared" si="10"/>
        <v>2012</v>
      </c>
      <c r="G130">
        <f t="shared" si="11"/>
        <v>4</v>
      </c>
      <c r="H130">
        <f t="shared" si="12"/>
        <v>17</v>
      </c>
      <c r="I130" t="str">
        <f t="shared" si="13"/>
        <v>12</v>
      </c>
    </row>
    <row r="131" spans="1:9" x14ac:dyDescent="0.25">
      <c r="A131" s="19">
        <v>41018</v>
      </c>
      <c r="B131" s="20">
        <v>9.0277777777777769E-3</v>
      </c>
      <c r="C131" t="str">
        <f t="shared" ref="C131:C194" si="14">TEXT(A131,"YY")</f>
        <v>12</v>
      </c>
      <c r="D131" t="str">
        <f t="shared" ref="D131:D194" si="15">TEXT(A131,"mm")</f>
        <v>04</v>
      </c>
      <c r="E131" t="str">
        <f t="shared" ref="E131:E194" si="16">TEXT(A131,"dd")</f>
        <v>19</v>
      </c>
      <c r="F131">
        <f t="shared" ref="F131:F194" si="17">YEAR($A131)</f>
        <v>2012</v>
      </c>
      <c r="G131">
        <f t="shared" ref="G131:G194" si="18">MONTH($A131)</f>
        <v>4</v>
      </c>
      <c r="H131">
        <f t="shared" ref="H131:H194" si="19">DAY($A131)</f>
        <v>19</v>
      </c>
      <c r="I131" t="str">
        <f t="shared" ref="I131:I194" si="20">TEXT($A131,"YY")</f>
        <v>12</v>
      </c>
    </row>
    <row r="132" spans="1:9" x14ac:dyDescent="0.25">
      <c r="A132" s="19">
        <v>42320</v>
      </c>
      <c r="B132" s="20">
        <v>4.7222222222222221E-2</v>
      </c>
      <c r="C132" t="str">
        <f t="shared" si="14"/>
        <v>15</v>
      </c>
      <c r="D132" t="str">
        <f t="shared" si="15"/>
        <v>11</v>
      </c>
      <c r="E132" t="str">
        <f t="shared" si="16"/>
        <v>12</v>
      </c>
      <c r="F132">
        <f t="shared" si="17"/>
        <v>2015</v>
      </c>
      <c r="G132">
        <f t="shared" si="18"/>
        <v>11</v>
      </c>
      <c r="H132">
        <f t="shared" si="19"/>
        <v>12</v>
      </c>
      <c r="I132" t="str">
        <f t="shared" si="20"/>
        <v>15</v>
      </c>
    </row>
    <row r="133" spans="1:9" x14ac:dyDescent="0.25">
      <c r="A133" s="19">
        <v>40958</v>
      </c>
      <c r="B133" s="20">
        <v>9.4444444444444442E-2</v>
      </c>
      <c r="C133" t="str">
        <f t="shared" si="14"/>
        <v>12</v>
      </c>
      <c r="D133" t="str">
        <f t="shared" si="15"/>
        <v>02</v>
      </c>
      <c r="E133" t="str">
        <f t="shared" si="16"/>
        <v>19</v>
      </c>
      <c r="F133">
        <f t="shared" si="17"/>
        <v>2012</v>
      </c>
      <c r="G133">
        <f t="shared" si="18"/>
        <v>2</v>
      </c>
      <c r="H133">
        <f t="shared" si="19"/>
        <v>19</v>
      </c>
      <c r="I133" t="str">
        <f t="shared" si="20"/>
        <v>12</v>
      </c>
    </row>
    <row r="134" spans="1:9" x14ac:dyDescent="0.25">
      <c r="A134" s="19">
        <v>41574</v>
      </c>
      <c r="B134" s="20">
        <v>0.9819444444444444</v>
      </c>
      <c r="C134" t="str">
        <f t="shared" si="14"/>
        <v>13</v>
      </c>
      <c r="D134" t="str">
        <f t="shared" si="15"/>
        <v>10</v>
      </c>
      <c r="E134" t="str">
        <f t="shared" si="16"/>
        <v>27</v>
      </c>
      <c r="F134">
        <f t="shared" si="17"/>
        <v>2013</v>
      </c>
      <c r="G134">
        <f t="shared" si="18"/>
        <v>10</v>
      </c>
      <c r="H134">
        <f t="shared" si="19"/>
        <v>27</v>
      </c>
      <c r="I134" t="str">
        <f t="shared" si="20"/>
        <v>13</v>
      </c>
    </row>
    <row r="135" spans="1:9" x14ac:dyDescent="0.25">
      <c r="A135" s="19">
        <v>40913</v>
      </c>
      <c r="B135" s="20">
        <v>0.99097222222222225</v>
      </c>
      <c r="C135" t="str">
        <f t="shared" si="14"/>
        <v>12</v>
      </c>
      <c r="D135" t="str">
        <f t="shared" si="15"/>
        <v>01</v>
      </c>
      <c r="E135" t="str">
        <f t="shared" si="16"/>
        <v>05</v>
      </c>
      <c r="F135">
        <f t="shared" si="17"/>
        <v>2012</v>
      </c>
      <c r="G135">
        <f t="shared" si="18"/>
        <v>1</v>
      </c>
      <c r="H135">
        <f t="shared" si="19"/>
        <v>5</v>
      </c>
      <c r="I135" t="str">
        <f t="shared" si="20"/>
        <v>12</v>
      </c>
    </row>
    <row r="136" spans="1:9" x14ac:dyDescent="0.25">
      <c r="A136" s="19">
        <v>40937</v>
      </c>
      <c r="B136" s="20">
        <v>0.98541666666666672</v>
      </c>
      <c r="C136" t="str">
        <f t="shared" si="14"/>
        <v>12</v>
      </c>
      <c r="D136" t="str">
        <f t="shared" si="15"/>
        <v>01</v>
      </c>
      <c r="E136" t="str">
        <f t="shared" si="16"/>
        <v>29</v>
      </c>
      <c r="F136">
        <f t="shared" si="17"/>
        <v>2012</v>
      </c>
      <c r="G136">
        <f t="shared" si="18"/>
        <v>1</v>
      </c>
      <c r="H136">
        <f t="shared" si="19"/>
        <v>29</v>
      </c>
      <c r="I136" t="str">
        <f t="shared" si="20"/>
        <v>12</v>
      </c>
    </row>
    <row r="137" spans="1:9" x14ac:dyDescent="0.25">
      <c r="A137" s="19">
        <v>41601</v>
      </c>
      <c r="B137" s="20">
        <v>7.8472222222222221E-2</v>
      </c>
      <c r="C137" t="str">
        <f t="shared" si="14"/>
        <v>13</v>
      </c>
      <c r="D137" t="str">
        <f t="shared" si="15"/>
        <v>11</v>
      </c>
      <c r="E137" t="str">
        <f t="shared" si="16"/>
        <v>23</v>
      </c>
      <c r="F137">
        <f t="shared" si="17"/>
        <v>2013</v>
      </c>
      <c r="G137">
        <f t="shared" si="18"/>
        <v>11</v>
      </c>
      <c r="H137">
        <f t="shared" si="19"/>
        <v>23</v>
      </c>
      <c r="I137" t="str">
        <f t="shared" si="20"/>
        <v>13</v>
      </c>
    </row>
    <row r="138" spans="1:9" x14ac:dyDescent="0.25">
      <c r="A138" s="19">
        <v>41300</v>
      </c>
      <c r="B138" s="20">
        <v>6.1805555555555558E-2</v>
      </c>
      <c r="C138" t="str">
        <f t="shared" si="14"/>
        <v>13</v>
      </c>
      <c r="D138" t="str">
        <f t="shared" si="15"/>
        <v>01</v>
      </c>
      <c r="E138" t="str">
        <f t="shared" si="16"/>
        <v>26</v>
      </c>
      <c r="F138">
        <f t="shared" si="17"/>
        <v>2013</v>
      </c>
      <c r="G138">
        <f t="shared" si="18"/>
        <v>1</v>
      </c>
      <c r="H138">
        <f t="shared" si="19"/>
        <v>26</v>
      </c>
      <c r="I138" t="str">
        <f t="shared" si="20"/>
        <v>13</v>
      </c>
    </row>
    <row r="139" spans="1:9" x14ac:dyDescent="0.25">
      <c r="A139" s="19">
        <v>41622</v>
      </c>
      <c r="B139" s="20">
        <v>4.6527777777777779E-2</v>
      </c>
      <c r="C139" t="str">
        <f t="shared" si="14"/>
        <v>13</v>
      </c>
      <c r="D139" t="str">
        <f t="shared" si="15"/>
        <v>12</v>
      </c>
      <c r="E139" t="str">
        <f t="shared" si="16"/>
        <v>14</v>
      </c>
      <c r="F139">
        <f t="shared" si="17"/>
        <v>2013</v>
      </c>
      <c r="G139">
        <f t="shared" si="18"/>
        <v>12</v>
      </c>
      <c r="H139">
        <f t="shared" si="19"/>
        <v>14</v>
      </c>
      <c r="I139" t="str">
        <f t="shared" si="20"/>
        <v>13</v>
      </c>
    </row>
    <row r="140" spans="1:9" x14ac:dyDescent="0.25">
      <c r="A140" s="19">
        <v>42215</v>
      </c>
      <c r="B140" s="20">
        <v>0.98611111111111116</v>
      </c>
      <c r="C140" t="str">
        <f t="shared" si="14"/>
        <v>15</v>
      </c>
      <c r="D140" t="str">
        <f t="shared" si="15"/>
        <v>07</v>
      </c>
      <c r="E140" t="str">
        <f t="shared" si="16"/>
        <v>30</v>
      </c>
      <c r="F140">
        <f t="shared" si="17"/>
        <v>2015</v>
      </c>
      <c r="G140">
        <f t="shared" si="18"/>
        <v>7</v>
      </c>
      <c r="H140">
        <f t="shared" si="19"/>
        <v>30</v>
      </c>
      <c r="I140" t="str">
        <f t="shared" si="20"/>
        <v>15</v>
      </c>
    </row>
    <row r="141" spans="1:9" x14ac:dyDescent="0.25">
      <c r="A141" s="19">
        <v>41198</v>
      </c>
      <c r="B141" s="20">
        <v>7.7083333333333337E-2</v>
      </c>
      <c r="C141" t="str">
        <f t="shared" si="14"/>
        <v>12</v>
      </c>
      <c r="D141" t="str">
        <f t="shared" si="15"/>
        <v>10</v>
      </c>
      <c r="E141" t="str">
        <f t="shared" si="16"/>
        <v>16</v>
      </c>
      <c r="F141">
        <f t="shared" si="17"/>
        <v>2012</v>
      </c>
      <c r="G141">
        <f t="shared" si="18"/>
        <v>10</v>
      </c>
      <c r="H141">
        <f t="shared" si="19"/>
        <v>16</v>
      </c>
      <c r="I141" t="str">
        <f t="shared" si="20"/>
        <v>12</v>
      </c>
    </row>
    <row r="142" spans="1:9" x14ac:dyDescent="0.25">
      <c r="A142" s="19">
        <v>42045</v>
      </c>
      <c r="B142" s="20">
        <v>5.9722222222222225E-2</v>
      </c>
      <c r="C142" t="str">
        <f t="shared" si="14"/>
        <v>15</v>
      </c>
      <c r="D142" t="str">
        <f t="shared" si="15"/>
        <v>02</v>
      </c>
      <c r="E142" t="str">
        <f t="shared" si="16"/>
        <v>10</v>
      </c>
      <c r="F142">
        <f t="shared" si="17"/>
        <v>2015</v>
      </c>
      <c r="G142">
        <f t="shared" si="18"/>
        <v>2</v>
      </c>
      <c r="H142">
        <f t="shared" si="19"/>
        <v>10</v>
      </c>
      <c r="I142" t="str">
        <f t="shared" si="20"/>
        <v>15</v>
      </c>
    </row>
    <row r="143" spans="1:9" x14ac:dyDescent="0.25">
      <c r="A143" s="19">
        <v>42679</v>
      </c>
      <c r="B143" s="20">
        <v>0.95416666666666672</v>
      </c>
      <c r="C143" t="str">
        <f t="shared" si="14"/>
        <v>16</v>
      </c>
      <c r="D143" t="str">
        <f t="shared" si="15"/>
        <v>11</v>
      </c>
      <c r="E143" t="str">
        <f t="shared" si="16"/>
        <v>05</v>
      </c>
      <c r="F143">
        <f t="shared" si="17"/>
        <v>2016</v>
      </c>
      <c r="G143">
        <f t="shared" si="18"/>
        <v>11</v>
      </c>
      <c r="H143">
        <f t="shared" si="19"/>
        <v>5</v>
      </c>
      <c r="I143" t="str">
        <f t="shared" si="20"/>
        <v>16</v>
      </c>
    </row>
    <row r="144" spans="1:9" x14ac:dyDescent="0.25">
      <c r="A144" s="19">
        <v>41347</v>
      </c>
      <c r="B144" s="20">
        <v>3.4027777777777775E-2</v>
      </c>
      <c r="C144" t="str">
        <f t="shared" si="14"/>
        <v>13</v>
      </c>
      <c r="D144" t="str">
        <f t="shared" si="15"/>
        <v>03</v>
      </c>
      <c r="E144" t="str">
        <f t="shared" si="16"/>
        <v>14</v>
      </c>
      <c r="F144">
        <f t="shared" si="17"/>
        <v>2013</v>
      </c>
      <c r="G144">
        <f t="shared" si="18"/>
        <v>3</v>
      </c>
      <c r="H144">
        <f t="shared" si="19"/>
        <v>14</v>
      </c>
      <c r="I144" t="str">
        <f t="shared" si="20"/>
        <v>13</v>
      </c>
    </row>
    <row r="145" spans="1:9" x14ac:dyDescent="0.25">
      <c r="A145" s="19">
        <v>41774</v>
      </c>
      <c r="B145" s="20">
        <v>0.94166666666666665</v>
      </c>
      <c r="C145" t="str">
        <f t="shared" si="14"/>
        <v>14</v>
      </c>
      <c r="D145" t="str">
        <f t="shared" si="15"/>
        <v>05</v>
      </c>
      <c r="E145" t="str">
        <f t="shared" si="16"/>
        <v>15</v>
      </c>
      <c r="F145">
        <f t="shared" si="17"/>
        <v>2014</v>
      </c>
      <c r="G145">
        <f t="shared" si="18"/>
        <v>5</v>
      </c>
      <c r="H145">
        <f t="shared" si="19"/>
        <v>15</v>
      </c>
      <c r="I145" t="str">
        <f t="shared" si="20"/>
        <v>14</v>
      </c>
    </row>
    <row r="146" spans="1:9" x14ac:dyDescent="0.25">
      <c r="A146" s="19">
        <v>41435</v>
      </c>
      <c r="B146" s="20">
        <v>2.7777777777777776E-2</v>
      </c>
      <c r="C146" t="str">
        <f t="shared" si="14"/>
        <v>13</v>
      </c>
      <c r="D146" t="str">
        <f t="shared" si="15"/>
        <v>06</v>
      </c>
      <c r="E146" t="str">
        <f t="shared" si="16"/>
        <v>10</v>
      </c>
      <c r="F146">
        <f t="shared" si="17"/>
        <v>2013</v>
      </c>
      <c r="G146">
        <f t="shared" si="18"/>
        <v>6</v>
      </c>
      <c r="H146">
        <f t="shared" si="19"/>
        <v>10</v>
      </c>
      <c r="I146" t="str">
        <f t="shared" si="20"/>
        <v>13</v>
      </c>
    </row>
    <row r="147" spans="1:9" x14ac:dyDescent="0.25">
      <c r="A147" s="19">
        <v>41358</v>
      </c>
      <c r="B147" s="20">
        <v>3.5416666666666666E-2</v>
      </c>
      <c r="C147" t="str">
        <f t="shared" si="14"/>
        <v>13</v>
      </c>
      <c r="D147" t="str">
        <f t="shared" si="15"/>
        <v>03</v>
      </c>
      <c r="E147" t="str">
        <f t="shared" si="16"/>
        <v>25</v>
      </c>
      <c r="F147">
        <f t="shared" si="17"/>
        <v>2013</v>
      </c>
      <c r="G147">
        <f t="shared" si="18"/>
        <v>3</v>
      </c>
      <c r="H147">
        <f t="shared" si="19"/>
        <v>25</v>
      </c>
      <c r="I147" t="str">
        <f t="shared" si="20"/>
        <v>13</v>
      </c>
    </row>
    <row r="148" spans="1:9" x14ac:dyDescent="0.25">
      <c r="A148" s="19">
        <v>41041</v>
      </c>
      <c r="B148" s="20">
        <v>0.98611111111111116</v>
      </c>
      <c r="C148" t="str">
        <f t="shared" si="14"/>
        <v>12</v>
      </c>
      <c r="D148" t="str">
        <f t="shared" si="15"/>
        <v>05</v>
      </c>
      <c r="E148" t="str">
        <f t="shared" si="16"/>
        <v>12</v>
      </c>
      <c r="F148">
        <f t="shared" si="17"/>
        <v>2012</v>
      </c>
      <c r="G148">
        <f t="shared" si="18"/>
        <v>5</v>
      </c>
      <c r="H148">
        <f t="shared" si="19"/>
        <v>12</v>
      </c>
      <c r="I148" t="str">
        <f t="shared" si="20"/>
        <v>12</v>
      </c>
    </row>
    <row r="149" spans="1:9" x14ac:dyDescent="0.25">
      <c r="A149" s="19">
        <v>41028</v>
      </c>
      <c r="B149" s="20">
        <v>6.9444444444444441E-3</v>
      </c>
      <c r="C149" t="str">
        <f t="shared" si="14"/>
        <v>12</v>
      </c>
      <c r="D149" t="str">
        <f t="shared" si="15"/>
        <v>04</v>
      </c>
      <c r="E149" t="str">
        <f t="shared" si="16"/>
        <v>29</v>
      </c>
      <c r="F149">
        <f t="shared" si="17"/>
        <v>2012</v>
      </c>
      <c r="G149">
        <f t="shared" si="18"/>
        <v>4</v>
      </c>
      <c r="H149">
        <f t="shared" si="19"/>
        <v>29</v>
      </c>
      <c r="I149" t="str">
        <f t="shared" si="20"/>
        <v>12</v>
      </c>
    </row>
    <row r="150" spans="1:9" x14ac:dyDescent="0.25">
      <c r="A150" s="19">
        <v>41952</v>
      </c>
      <c r="B150" s="20">
        <v>6.9444444444444441E-3</v>
      </c>
      <c r="C150" t="str">
        <f t="shared" si="14"/>
        <v>14</v>
      </c>
      <c r="D150" t="str">
        <f t="shared" si="15"/>
        <v>11</v>
      </c>
      <c r="E150" t="str">
        <f t="shared" si="16"/>
        <v>09</v>
      </c>
      <c r="F150">
        <f t="shared" si="17"/>
        <v>2014</v>
      </c>
      <c r="G150">
        <f t="shared" si="18"/>
        <v>11</v>
      </c>
      <c r="H150">
        <f t="shared" si="19"/>
        <v>9</v>
      </c>
      <c r="I150" t="str">
        <f t="shared" si="20"/>
        <v>14</v>
      </c>
    </row>
    <row r="151" spans="1:9" x14ac:dyDescent="0.25">
      <c r="A151" s="19">
        <v>41297</v>
      </c>
      <c r="B151" s="20">
        <v>9.0277777777777769E-3</v>
      </c>
      <c r="C151" t="str">
        <f t="shared" si="14"/>
        <v>13</v>
      </c>
      <c r="D151" t="str">
        <f t="shared" si="15"/>
        <v>01</v>
      </c>
      <c r="E151" t="str">
        <f t="shared" si="16"/>
        <v>23</v>
      </c>
      <c r="F151">
        <f t="shared" si="17"/>
        <v>2013</v>
      </c>
      <c r="G151">
        <f t="shared" si="18"/>
        <v>1</v>
      </c>
      <c r="H151">
        <f t="shared" si="19"/>
        <v>23</v>
      </c>
      <c r="I151" t="str">
        <f t="shared" si="20"/>
        <v>13</v>
      </c>
    </row>
    <row r="152" spans="1:9" x14ac:dyDescent="0.25">
      <c r="A152" s="19">
        <v>42079</v>
      </c>
      <c r="B152" s="20">
        <v>0.97986111111111107</v>
      </c>
      <c r="C152" t="str">
        <f t="shared" si="14"/>
        <v>15</v>
      </c>
      <c r="D152" t="str">
        <f t="shared" si="15"/>
        <v>03</v>
      </c>
      <c r="E152" t="str">
        <f t="shared" si="16"/>
        <v>16</v>
      </c>
      <c r="F152">
        <f t="shared" si="17"/>
        <v>2015</v>
      </c>
      <c r="G152">
        <f t="shared" si="18"/>
        <v>3</v>
      </c>
      <c r="H152">
        <f t="shared" si="19"/>
        <v>16</v>
      </c>
      <c r="I152" t="str">
        <f t="shared" si="20"/>
        <v>15</v>
      </c>
    </row>
    <row r="153" spans="1:9" x14ac:dyDescent="0.25">
      <c r="A153" s="19">
        <v>41603</v>
      </c>
      <c r="B153" s="20">
        <v>0.05</v>
      </c>
      <c r="C153" t="str">
        <f t="shared" si="14"/>
        <v>13</v>
      </c>
      <c r="D153" t="str">
        <f t="shared" si="15"/>
        <v>11</v>
      </c>
      <c r="E153" t="str">
        <f t="shared" si="16"/>
        <v>25</v>
      </c>
      <c r="F153">
        <f t="shared" si="17"/>
        <v>2013</v>
      </c>
      <c r="G153">
        <f t="shared" si="18"/>
        <v>11</v>
      </c>
      <c r="H153">
        <f t="shared" si="19"/>
        <v>25</v>
      </c>
      <c r="I153" t="str">
        <f t="shared" si="20"/>
        <v>13</v>
      </c>
    </row>
    <row r="154" spans="1:9" x14ac:dyDescent="0.25">
      <c r="A154" s="19">
        <v>41945</v>
      </c>
      <c r="B154" s="20">
        <v>1.8749999999999999E-2</v>
      </c>
      <c r="C154" t="str">
        <f t="shared" si="14"/>
        <v>14</v>
      </c>
      <c r="D154" t="str">
        <f t="shared" si="15"/>
        <v>11</v>
      </c>
      <c r="E154" t="str">
        <f t="shared" si="16"/>
        <v>02</v>
      </c>
      <c r="F154">
        <f t="shared" si="17"/>
        <v>2014</v>
      </c>
      <c r="G154">
        <f t="shared" si="18"/>
        <v>11</v>
      </c>
      <c r="H154">
        <f t="shared" si="19"/>
        <v>2</v>
      </c>
      <c r="I154" t="str">
        <f t="shared" si="20"/>
        <v>14</v>
      </c>
    </row>
    <row r="155" spans="1:9" x14ac:dyDescent="0.25">
      <c r="A155" s="19">
        <v>41535</v>
      </c>
      <c r="B155" s="20">
        <v>6.7361111111111108E-2</v>
      </c>
      <c r="C155" t="str">
        <f t="shared" si="14"/>
        <v>13</v>
      </c>
      <c r="D155" t="str">
        <f t="shared" si="15"/>
        <v>09</v>
      </c>
      <c r="E155" t="str">
        <f t="shared" si="16"/>
        <v>18</v>
      </c>
      <c r="F155">
        <f t="shared" si="17"/>
        <v>2013</v>
      </c>
      <c r="G155">
        <f t="shared" si="18"/>
        <v>9</v>
      </c>
      <c r="H155">
        <f t="shared" si="19"/>
        <v>18</v>
      </c>
      <c r="I155" t="str">
        <f t="shared" si="20"/>
        <v>13</v>
      </c>
    </row>
    <row r="156" spans="1:9" x14ac:dyDescent="0.25">
      <c r="A156" s="19">
        <v>42233</v>
      </c>
      <c r="B156" s="20">
        <v>0.97152777777777777</v>
      </c>
      <c r="C156" t="str">
        <f t="shared" si="14"/>
        <v>15</v>
      </c>
      <c r="D156" t="str">
        <f t="shared" si="15"/>
        <v>08</v>
      </c>
      <c r="E156" t="str">
        <f t="shared" si="16"/>
        <v>17</v>
      </c>
      <c r="F156">
        <f t="shared" si="17"/>
        <v>2015</v>
      </c>
      <c r="G156">
        <f t="shared" si="18"/>
        <v>8</v>
      </c>
      <c r="H156">
        <f t="shared" si="19"/>
        <v>17</v>
      </c>
      <c r="I156" t="str">
        <f t="shared" si="20"/>
        <v>15</v>
      </c>
    </row>
    <row r="157" spans="1:9" x14ac:dyDescent="0.25">
      <c r="A157" s="19">
        <v>41586</v>
      </c>
      <c r="B157" s="20">
        <v>1.5972222222222221E-2</v>
      </c>
      <c r="C157" t="str">
        <f t="shared" si="14"/>
        <v>13</v>
      </c>
      <c r="D157" t="str">
        <f t="shared" si="15"/>
        <v>11</v>
      </c>
      <c r="E157" t="str">
        <f t="shared" si="16"/>
        <v>08</v>
      </c>
      <c r="F157">
        <f t="shared" si="17"/>
        <v>2013</v>
      </c>
      <c r="G157">
        <f t="shared" si="18"/>
        <v>11</v>
      </c>
      <c r="H157">
        <f t="shared" si="19"/>
        <v>8</v>
      </c>
      <c r="I157" t="str">
        <f t="shared" si="20"/>
        <v>13</v>
      </c>
    </row>
    <row r="158" spans="1:9" x14ac:dyDescent="0.25">
      <c r="A158" s="19">
        <v>42170</v>
      </c>
      <c r="B158" s="20">
        <v>0.95625000000000004</v>
      </c>
      <c r="C158" t="str">
        <f t="shared" si="14"/>
        <v>15</v>
      </c>
      <c r="D158" t="str">
        <f t="shared" si="15"/>
        <v>06</v>
      </c>
      <c r="E158" t="str">
        <f t="shared" si="16"/>
        <v>15</v>
      </c>
      <c r="F158">
        <f t="shared" si="17"/>
        <v>2015</v>
      </c>
      <c r="G158">
        <f t="shared" si="18"/>
        <v>6</v>
      </c>
      <c r="H158">
        <f t="shared" si="19"/>
        <v>15</v>
      </c>
      <c r="I158" t="str">
        <f t="shared" si="20"/>
        <v>15</v>
      </c>
    </row>
    <row r="159" spans="1:9" x14ac:dyDescent="0.25">
      <c r="A159" s="19">
        <v>41925</v>
      </c>
      <c r="B159" s="20">
        <v>2.4305555555555556E-2</v>
      </c>
      <c r="C159" t="str">
        <f t="shared" si="14"/>
        <v>14</v>
      </c>
      <c r="D159" t="str">
        <f t="shared" si="15"/>
        <v>10</v>
      </c>
      <c r="E159" t="str">
        <f t="shared" si="16"/>
        <v>13</v>
      </c>
      <c r="F159">
        <f t="shared" si="17"/>
        <v>2014</v>
      </c>
      <c r="G159">
        <f t="shared" si="18"/>
        <v>10</v>
      </c>
      <c r="H159">
        <f t="shared" si="19"/>
        <v>13</v>
      </c>
      <c r="I159" t="str">
        <f t="shared" si="20"/>
        <v>14</v>
      </c>
    </row>
    <row r="160" spans="1:9" x14ac:dyDescent="0.25">
      <c r="A160" s="19">
        <v>41074</v>
      </c>
      <c r="B160" s="20">
        <v>3.125E-2</v>
      </c>
      <c r="C160" t="str">
        <f t="shared" si="14"/>
        <v>12</v>
      </c>
      <c r="D160" t="str">
        <f t="shared" si="15"/>
        <v>06</v>
      </c>
      <c r="E160" t="str">
        <f t="shared" si="16"/>
        <v>14</v>
      </c>
      <c r="F160">
        <f t="shared" si="17"/>
        <v>2012</v>
      </c>
      <c r="G160">
        <f t="shared" si="18"/>
        <v>6</v>
      </c>
      <c r="H160">
        <f t="shared" si="19"/>
        <v>14</v>
      </c>
      <c r="I160" t="str">
        <f t="shared" si="20"/>
        <v>12</v>
      </c>
    </row>
    <row r="161" spans="1:9" x14ac:dyDescent="0.25">
      <c r="A161" s="19">
        <v>41621</v>
      </c>
      <c r="B161" s="20">
        <v>2.0833333333333332E-2</v>
      </c>
      <c r="C161" t="str">
        <f t="shared" si="14"/>
        <v>13</v>
      </c>
      <c r="D161" t="str">
        <f t="shared" si="15"/>
        <v>12</v>
      </c>
      <c r="E161" t="str">
        <f t="shared" si="16"/>
        <v>13</v>
      </c>
      <c r="F161">
        <f t="shared" si="17"/>
        <v>2013</v>
      </c>
      <c r="G161">
        <f t="shared" si="18"/>
        <v>12</v>
      </c>
      <c r="H161">
        <f t="shared" si="19"/>
        <v>13</v>
      </c>
      <c r="I161" t="str">
        <f t="shared" si="20"/>
        <v>13</v>
      </c>
    </row>
    <row r="162" spans="1:9" x14ac:dyDescent="0.25">
      <c r="A162" s="19">
        <v>41779</v>
      </c>
      <c r="B162" s="20">
        <v>2.9861111111111113E-2</v>
      </c>
      <c r="C162" t="str">
        <f t="shared" si="14"/>
        <v>14</v>
      </c>
      <c r="D162" t="str">
        <f t="shared" si="15"/>
        <v>05</v>
      </c>
      <c r="E162" t="str">
        <f t="shared" si="16"/>
        <v>20</v>
      </c>
      <c r="F162">
        <f t="shared" si="17"/>
        <v>2014</v>
      </c>
      <c r="G162">
        <f t="shared" si="18"/>
        <v>5</v>
      </c>
      <c r="H162">
        <f t="shared" si="19"/>
        <v>20</v>
      </c>
      <c r="I162" t="str">
        <f t="shared" si="20"/>
        <v>14</v>
      </c>
    </row>
    <row r="163" spans="1:9" x14ac:dyDescent="0.25">
      <c r="A163" s="19">
        <v>41967</v>
      </c>
      <c r="B163" s="20">
        <v>7.7083333333333337E-2</v>
      </c>
      <c r="C163" t="str">
        <f t="shared" si="14"/>
        <v>14</v>
      </c>
      <c r="D163" t="str">
        <f t="shared" si="15"/>
        <v>11</v>
      </c>
      <c r="E163" t="str">
        <f t="shared" si="16"/>
        <v>24</v>
      </c>
      <c r="F163">
        <f t="shared" si="17"/>
        <v>2014</v>
      </c>
      <c r="G163">
        <f t="shared" si="18"/>
        <v>11</v>
      </c>
      <c r="H163">
        <f t="shared" si="19"/>
        <v>24</v>
      </c>
      <c r="I163" t="str">
        <f t="shared" si="20"/>
        <v>14</v>
      </c>
    </row>
    <row r="164" spans="1:9" x14ac:dyDescent="0.25">
      <c r="A164" s="19">
        <v>42098</v>
      </c>
      <c r="B164" s="20">
        <v>0.95763888888888893</v>
      </c>
      <c r="C164" t="str">
        <f t="shared" si="14"/>
        <v>15</v>
      </c>
      <c r="D164" t="str">
        <f t="shared" si="15"/>
        <v>04</v>
      </c>
      <c r="E164" t="str">
        <f t="shared" si="16"/>
        <v>04</v>
      </c>
      <c r="F164">
        <f t="shared" si="17"/>
        <v>2015</v>
      </c>
      <c r="G164">
        <f t="shared" si="18"/>
        <v>4</v>
      </c>
      <c r="H164">
        <f t="shared" si="19"/>
        <v>4</v>
      </c>
      <c r="I164" t="str">
        <f t="shared" si="20"/>
        <v>15</v>
      </c>
    </row>
    <row r="165" spans="1:9" x14ac:dyDescent="0.25">
      <c r="A165" s="19">
        <v>41666</v>
      </c>
      <c r="B165" s="20">
        <v>6.9444444444444447E-4</v>
      </c>
      <c r="C165" t="str">
        <f t="shared" si="14"/>
        <v>14</v>
      </c>
      <c r="D165" t="str">
        <f t="shared" si="15"/>
        <v>01</v>
      </c>
      <c r="E165" t="str">
        <f t="shared" si="16"/>
        <v>27</v>
      </c>
      <c r="F165">
        <f t="shared" si="17"/>
        <v>2014</v>
      </c>
      <c r="G165">
        <f t="shared" si="18"/>
        <v>1</v>
      </c>
      <c r="H165">
        <f t="shared" si="19"/>
        <v>27</v>
      </c>
      <c r="I165" t="str">
        <f t="shared" si="20"/>
        <v>14</v>
      </c>
    </row>
    <row r="166" spans="1:9" x14ac:dyDescent="0.25">
      <c r="A166" s="19">
        <v>41002</v>
      </c>
      <c r="B166" s="20">
        <v>0.10138888888888889</v>
      </c>
      <c r="C166" t="str">
        <f t="shared" si="14"/>
        <v>12</v>
      </c>
      <c r="D166" t="str">
        <f t="shared" si="15"/>
        <v>04</v>
      </c>
      <c r="E166" t="str">
        <f t="shared" si="16"/>
        <v>03</v>
      </c>
      <c r="F166">
        <f t="shared" si="17"/>
        <v>2012</v>
      </c>
      <c r="G166">
        <f t="shared" si="18"/>
        <v>4</v>
      </c>
      <c r="H166">
        <f t="shared" si="19"/>
        <v>3</v>
      </c>
      <c r="I166" t="str">
        <f t="shared" si="20"/>
        <v>12</v>
      </c>
    </row>
    <row r="167" spans="1:9" x14ac:dyDescent="0.25">
      <c r="A167" s="19">
        <v>41699</v>
      </c>
      <c r="B167" s="20">
        <v>0.97847222222222219</v>
      </c>
      <c r="C167" t="str">
        <f t="shared" si="14"/>
        <v>14</v>
      </c>
      <c r="D167" t="str">
        <f t="shared" si="15"/>
        <v>03</v>
      </c>
      <c r="E167" t="str">
        <f t="shared" si="16"/>
        <v>01</v>
      </c>
      <c r="F167">
        <f t="shared" si="17"/>
        <v>2014</v>
      </c>
      <c r="G167">
        <f t="shared" si="18"/>
        <v>3</v>
      </c>
      <c r="H167">
        <f t="shared" si="19"/>
        <v>1</v>
      </c>
      <c r="I167" t="str">
        <f t="shared" si="20"/>
        <v>14</v>
      </c>
    </row>
    <row r="168" spans="1:9" x14ac:dyDescent="0.25">
      <c r="A168" s="19">
        <v>41313</v>
      </c>
      <c r="B168" s="20">
        <v>6.9444444444444441E-3</v>
      </c>
      <c r="C168" t="str">
        <f t="shared" si="14"/>
        <v>13</v>
      </c>
      <c r="D168" t="str">
        <f t="shared" si="15"/>
        <v>02</v>
      </c>
      <c r="E168" t="str">
        <f t="shared" si="16"/>
        <v>08</v>
      </c>
      <c r="F168">
        <f t="shared" si="17"/>
        <v>2013</v>
      </c>
      <c r="G168">
        <f t="shared" si="18"/>
        <v>2</v>
      </c>
      <c r="H168">
        <f t="shared" si="19"/>
        <v>8</v>
      </c>
      <c r="I168" t="str">
        <f t="shared" si="20"/>
        <v>13</v>
      </c>
    </row>
    <row r="169" spans="1:9" x14ac:dyDescent="0.25">
      <c r="A169" s="19">
        <v>41758</v>
      </c>
      <c r="B169" s="20">
        <v>3.8194444444444448E-2</v>
      </c>
      <c r="C169" t="str">
        <f t="shared" si="14"/>
        <v>14</v>
      </c>
      <c r="D169" t="str">
        <f t="shared" si="15"/>
        <v>04</v>
      </c>
      <c r="E169" t="str">
        <f t="shared" si="16"/>
        <v>29</v>
      </c>
      <c r="F169">
        <f t="shared" si="17"/>
        <v>2014</v>
      </c>
      <c r="G169">
        <f t="shared" si="18"/>
        <v>4</v>
      </c>
      <c r="H169">
        <f t="shared" si="19"/>
        <v>29</v>
      </c>
      <c r="I169" t="str">
        <f t="shared" si="20"/>
        <v>14</v>
      </c>
    </row>
    <row r="170" spans="1:9" x14ac:dyDescent="0.25">
      <c r="A170" s="19">
        <v>42455</v>
      </c>
      <c r="B170" s="20">
        <v>0.95972222222222225</v>
      </c>
      <c r="C170" t="str">
        <f t="shared" si="14"/>
        <v>16</v>
      </c>
      <c r="D170" t="str">
        <f t="shared" si="15"/>
        <v>03</v>
      </c>
      <c r="E170" t="str">
        <f t="shared" si="16"/>
        <v>26</v>
      </c>
      <c r="F170">
        <f t="shared" si="17"/>
        <v>2016</v>
      </c>
      <c r="G170">
        <f t="shared" si="18"/>
        <v>3</v>
      </c>
      <c r="H170">
        <f t="shared" si="19"/>
        <v>26</v>
      </c>
      <c r="I170" t="str">
        <f t="shared" si="20"/>
        <v>16</v>
      </c>
    </row>
    <row r="171" spans="1:9" x14ac:dyDescent="0.25">
      <c r="A171" s="19">
        <v>41778</v>
      </c>
      <c r="B171" s="20">
        <v>0.96319444444444446</v>
      </c>
      <c r="C171" t="str">
        <f t="shared" si="14"/>
        <v>14</v>
      </c>
      <c r="D171" t="str">
        <f t="shared" si="15"/>
        <v>05</v>
      </c>
      <c r="E171" t="str">
        <f t="shared" si="16"/>
        <v>19</v>
      </c>
      <c r="F171">
        <f t="shared" si="17"/>
        <v>2014</v>
      </c>
      <c r="G171">
        <f t="shared" si="18"/>
        <v>5</v>
      </c>
      <c r="H171">
        <f t="shared" si="19"/>
        <v>19</v>
      </c>
      <c r="I171" t="str">
        <f t="shared" si="20"/>
        <v>14</v>
      </c>
    </row>
    <row r="172" spans="1:9" x14ac:dyDescent="0.25">
      <c r="A172" s="19">
        <v>41754</v>
      </c>
      <c r="B172" s="20">
        <v>1.6666666666666666E-2</v>
      </c>
      <c r="C172" t="str">
        <f t="shared" si="14"/>
        <v>14</v>
      </c>
      <c r="D172" t="str">
        <f t="shared" si="15"/>
        <v>04</v>
      </c>
      <c r="E172" t="str">
        <f t="shared" si="16"/>
        <v>25</v>
      </c>
      <c r="F172">
        <f t="shared" si="17"/>
        <v>2014</v>
      </c>
      <c r="G172">
        <f t="shared" si="18"/>
        <v>4</v>
      </c>
      <c r="H172">
        <f t="shared" si="19"/>
        <v>25</v>
      </c>
      <c r="I172" t="str">
        <f t="shared" si="20"/>
        <v>14</v>
      </c>
    </row>
    <row r="173" spans="1:9" x14ac:dyDescent="0.25">
      <c r="A173" s="19">
        <v>41854</v>
      </c>
      <c r="B173" s="20">
        <v>6.2500000000000003E-3</v>
      </c>
      <c r="C173" t="str">
        <f t="shared" si="14"/>
        <v>14</v>
      </c>
      <c r="D173" t="str">
        <f t="shared" si="15"/>
        <v>08</v>
      </c>
      <c r="E173" t="str">
        <f t="shared" si="16"/>
        <v>03</v>
      </c>
      <c r="F173">
        <f t="shared" si="17"/>
        <v>2014</v>
      </c>
      <c r="G173">
        <f t="shared" si="18"/>
        <v>8</v>
      </c>
      <c r="H173">
        <f t="shared" si="19"/>
        <v>3</v>
      </c>
      <c r="I173" t="str">
        <f t="shared" si="20"/>
        <v>14</v>
      </c>
    </row>
    <row r="174" spans="1:9" x14ac:dyDescent="0.25">
      <c r="A174" s="19">
        <v>41614</v>
      </c>
      <c r="B174" s="20">
        <v>0.99791666666666667</v>
      </c>
      <c r="C174" t="str">
        <f t="shared" si="14"/>
        <v>13</v>
      </c>
      <c r="D174" t="str">
        <f t="shared" si="15"/>
        <v>12</v>
      </c>
      <c r="E174" t="str">
        <f t="shared" si="16"/>
        <v>06</v>
      </c>
      <c r="F174">
        <f t="shared" si="17"/>
        <v>2013</v>
      </c>
      <c r="G174">
        <f t="shared" si="18"/>
        <v>12</v>
      </c>
      <c r="H174">
        <f t="shared" si="19"/>
        <v>6</v>
      </c>
      <c r="I174" t="str">
        <f t="shared" si="20"/>
        <v>13</v>
      </c>
    </row>
    <row r="175" spans="1:9" x14ac:dyDescent="0.25">
      <c r="A175" s="19">
        <v>40970</v>
      </c>
      <c r="B175" s="20">
        <v>7.4999999999999997E-2</v>
      </c>
      <c r="C175" t="str">
        <f t="shared" si="14"/>
        <v>12</v>
      </c>
      <c r="D175" t="str">
        <f t="shared" si="15"/>
        <v>03</v>
      </c>
      <c r="E175" t="str">
        <f t="shared" si="16"/>
        <v>02</v>
      </c>
      <c r="F175">
        <f t="shared" si="17"/>
        <v>2012</v>
      </c>
      <c r="G175">
        <f t="shared" si="18"/>
        <v>3</v>
      </c>
      <c r="H175">
        <f t="shared" si="19"/>
        <v>2</v>
      </c>
      <c r="I175" t="str">
        <f t="shared" si="20"/>
        <v>12</v>
      </c>
    </row>
    <row r="176" spans="1:9" x14ac:dyDescent="0.25">
      <c r="A176" s="19">
        <v>41815</v>
      </c>
      <c r="B176" s="20">
        <v>7.0833333333333331E-2</v>
      </c>
      <c r="C176" t="str">
        <f t="shared" si="14"/>
        <v>14</v>
      </c>
      <c r="D176" t="str">
        <f t="shared" si="15"/>
        <v>06</v>
      </c>
      <c r="E176" t="str">
        <f t="shared" si="16"/>
        <v>25</v>
      </c>
      <c r="F176">
        <f t="shared" si="17"/>
        <v>2014</v>
      </c>
      <c r="G176">
        <f t="shared" si="18"/>
        <v>6</v>
      </c>
      <c r="H176">
        <f t="shared" si="19"/>
        <v>25</v>
      </c>
      <c r="I176" t="str">
        <f t="shared" si="20"/>
        <v>14</v>
      </c>
    </row>
    <row r="177" spans="1:9" x14ac:dyDescent="0.25">
      <c r="A177" s="19">
        <v>42361</v>
      </c>
      <c r="B177" s="20">
        <v>0.99375000000000002</v>
      </c>
      <c r="C177" t="str">
        <f t="shared" si="14"/>
        <v>15</v>
      </c>
      <c r="D177" t="str">
        <f t="shared" si="15"/>
        <v>12</v>
      </c>
      <c r="E177" t="str">
        <f t="shared" si="16"/>
        <v>23</v>
      </c>
      <c r="F177">
        <f t="shared" si="17"/>
        <v>2015</v>
      </c>
      <c r="G177">
        <f t="shared" si="18"/>
        <v>12</v>
      </c>
      <c r="H177">
        <f t="shared" si="19"/>
        <v>23</v>
      </c>
      <c r="I177" t="str">
        <f t="shared" si="20"/>
        <v>15</v>
      </c>
    </row>
    <row r="178" spans="1:9" x14ac:dyDescent="0.25">
      <c r="A178" s="19">
        <v>42402</v>
      </c>
      <c r="B178" s="20">
        <v>0.99444444444444446</v>
      </c>
      <c r="C178" t="str">
        <f t="shared" si="14"/>
        <v>16</v>
      </c>
      <c r="D178" t="str">
        <f t="shared" si="15"/>
        <v>02</v>
      </c>
      <c r="E178" t="str">
        <f t="shared" si="16"/>
        <v>02</v>
      </c>
      <c r="F178">
        <f t="shared" si="17"/>
        <v>2016</v>
      </c>
      <c r="G178">
        <f t="shared" si="18"/>
        <v>2</v>
      </c>
      <c r="H178">
        <f t="shared" si="19"/>
        <v>2</v>
      </c>
      <c r="I178" t="str">
        <f t="shared" si="20"/>
        <v>16</v>
      </c>
    </row>
    <row r="179" spans="1:9" x14ac:dyDescent="0.25">
      <c r="A179" s="19">
        <v>42355</v>
      </c>
      <c r="B179" s="20">
        <v>4.027777777777778E-2</v>
      </c>
      <c r="C179" t="str">
        <f t="shared" si="14"/>
        <v>15</v>
      </c>
      <c r="D179" t="str">
        <f t="shared" si="15"/>
        <v>12</v>
      </c>
      <c r="E179" t="str">
        <f t="shared" si="16"/>
        <v>17</v>
      </c>
      <c r="F179">
        <f t="shared" si="17"/>
        <v>2015</v>
      </c>
      <c r="G179">
        <f t="shared" si="18"/>
        <v>12</v>
      </c>
      <c r="H179">
        <f t="shared" si="19"/>
        <v>17</v>
      </c>
      <c r="I179" t="str">
        <f t="shared" si="20"/>
        <v>15</v>
      </c>
    </row>
    <row r="180" spans="1:9" x14ac:dyDescent="0.25">
      <c r="A180" s="19">
        <v>41542</v>
      </c>
      <c r="B180" s="20">
        <v>7.6388888888888886E-3</v>
      </c>
      <c r="C180" t="str">
        <f t="shared" si="14"/>
        <v>13</v>
      </c>
      <c r="D180" t="str">
        <f t="shared" si="15"/>
        <v>09</v>
      </c>
      <c r="E180" t="str">
        <f t="shared" si="16"/>
        <v>25</v>
      </c>
      <c r="F180">
        <f t="shared" si="17"/>
        <v>2013</v>
      </c>
      <c r="G180">
        <f t="shared" si="18"/>
        <v>9</v>
      </c>
      <c r="H180">
        <f t="shared" si="19"/>
        <v>25</v>
      </c>
      <c r="I180" t="str">
        <f t="shared" si="20"/>
        <v>13</v>
      </c>
    </row>
    <row r="181" spans="1:9" x14ac:dyDescent="0.25">
      <c r="A181" s="19">
        <v>41258</v>
      </c>
      <c r="B181" s="20">
        <v>6.9444444444444441E-3</v>
      </c>
      <c r="C181" t="str">
        <f t="shared" si="14"/>
        <v>12</v>
      </c>
      <c r="D181" t="str">
        <f t="shared" si="15"/>
        <v>12</v>
      </c>
      <c r="E181" t="str">
        <f t="shared" si="16"/>
        <v>15</v>
      </c>
      <c r="F181">
        <f t="shared" si="17"/>
        <v>2012</v>
      </c>
      <c r="G181">
        <f t="shared" si="18"/>
        <v>12</v>
      </c>
      <c r="H181">
        <f t="shared" si="19"/>
        <v>15</v>
      </c>
      <c r="I181" t="str">
        <f t="shared" si="20"/>
        <v>12</v>
      </c>
    </row>
    <row r="182" spans="1:9" x14ac:dyDescent="0.25">
      <c r="A182" s="19">
        <v>42082</v>
      </c>
      <c r="B182" s="20">
        <v>1.8749999999999999E-2</v>
      </c>
      <c r="C182" t="str">
        <f t="shared" si="14"/>
        <v>15</v>
      </c>
      <c r="D182" t="str">
        <f t="shared" si="15"/>
        <v>03</v>
      </c>
      <c r="E182" t="str">
        <f t="shared" si="16"/>
        <v>19</v>
      </c>
      <c r="F182">
        <f t="shared" si="17"/>
        <v>2015</v>
      </c>
      <c r="G182">
        <f t="shared" si="18"/>
        <v>3</v>
      </c>
      <c r="H182">
        <f t="shared" si="19"/>
        <v>19</v>
      </c>
      <c r="I182" t="str">
        <f t="shared" si="20"/>
        <v>15</v>
      </c>
    </row>
    <row r="183" spans="1:9" x14ac:dyDescent="0.25">
      <c r="A183" s="19">
        <v>41397</v>
      </c>
      <c r="B183" s="20">
        <v>6.3888888888888884E-2</v>
      </c>
      <c r="C183" t="str">
        <f t="shared" si="14"/>
        <v>13</v>
      </c>
      <c r="D183" t="str">
        <f t="shared" si="15"/>
        <v>05</v>
      </c>
      <c r="E183" t="str">
        <f t="shared" si="16"/>
        <v>03</v>
      </c>
      <c r="F183">
        <f t="shared" si="17"/>
        <v>2013</v>
      </c>
      <c r="G183">
        <f t="shared" si="18"/>
        <v>5</v>
      </c>
      <c r="H183">
        <f t="shared" si="19"/>
        <v>3</v>
      </c>
      <c r="I183" t="str">
        <f t="shared" si="20"/>
        <v>13</v>
      </c>
    </row>
    <row r="184" spans="1:9" x14ac:dyDescent="0.25">
      <c r="A184" s="19">
        <v>41820</v>
      </c>
      <c r="B184" s="20">
        <v>0.98124999999999996</v>
      </c>
      <c r="C184" t="str">
        <f t="shared" si="14"/>
        <v>14</v>
      </c>
      <c r="D184" t="str">
        <f t="shared" si="15"/>
        <v>06</v>
      </c>
      <c r="E184" t="str">
        <f t="shared" si="16"/>
        <v>30</v>
      </c>
      <c r="F184">
        <f t="shared" si="17"/>
        <v>2014</v>
      </c>
      <c r="G184">
        <f t="shared" si="18"/>
        <v>6</v>
      </c>
      <c r="H184">
        <f t="shared" si="19"/>
        <v>30</v>
      </c>
      <c r="I184" t="str">
        <f t="shared" si="20"/>
        <v>14</v>
      </c>
    </row>
    <row r="185" spans="1:9" x14ac:dyDescent="0.25">
      <c r="A185" s="19">
        <v>41548</v>
      </c>
      <c r="B185" s="20">
        <v>7.1527777777777773E-2</v>
      </c>
      <c r="C185" t="str">
        <f t="shared" si="14"/>
        <v>13</v>
      </c>
      <c r="D185" t="str">
        <f t="shared" si="15"/>
        <v>10</v>
      </c>
      <c r="E185" t="str">
        <f t="shared" si="16"/>
        <v>01</v>
      </c>
      <c r="F185">
        <f t="shared" si="17"/>
        <v>2013</v>
      </c>
      <c r="G185">
        <f t="shared" si="18"/>
        <v>10</v>
      </c>
      <c r="H185">
        <f t="shared" si="19"/>
        <v>1</v>
      </c>
      <c r="I185" t="str">
        <f t="shared" si="20"/>
        <v>13</v>
      </c>
    </row>
    <row r="186" spans="1:9" x14ac:dyDescent="0.25">
      <c r="A186" s="19">
        <v>41457</v>
      </c>
      <c r="B186" s="20">
        <v>0.94513888888888886</v>
      </c>
      <c r="C186" t="str">
        <f t="shared" si="14"/>
        <v>13</v>
      </c>
      <c r="D186" t="str">
        <f t="shared" si="15"/>
        <v>07</v>
      </c>
      <c r="E186" t="str">
        <f t="shared" si="16"/>
        <v>02</v>
      </c>
      <c r="F186">
        <f t="shared" si="17"/>
        <v>2013</v>
      </c>
      <c r="G186">
        <f t="shared" si="18"/>
        <v>7</v>
      </c>
      <c r="H186">
        <f t="shared" si="19"/>
        <v>2</v>
      </c>
      <c r="I186" t="str">
        <f t="shared" si="20"/>
        <v>13</v>
      </c>
    </row>
    <row r="187" spans="1:9" x14ac:dyDescent="0.25">
      <c r="A187" s="19">
        <v>41775</v>
      </c>
      <c r="B187" s="20">
        <v>3.0555555555555555E-2</v>
      </c>
      <c r="C187" t="str">
        <f t="shared" si="14"/>
        <v>14</v>
      </c>
      <c r="D187" t="str">
        <f t="shared" si="15"/>
        <v>05</v>
      </c>
      <c r="E187" t="str">
        <f t="shared" si="16"/>
        <v>16</v>
      </c>
      <c r="F187">
        <f t="shared" si="17"/>
        <v>2014</v>
      </c>
      <c r="G187">
        <f t="shared" si="18"/>
        <v>5</v>
      </c>
      <c r="H187">
        <f t="shared" si="19"/>
        <v>16</v>
      </c>
      <c r="I187" t="str">
        <f t="shared" si="20"/>
        <v>14</v>
      </c>
    </row>
    <row r="188" spans="1:9" x14ac:dyDescent="0.25">
      <c r="A188" s="19">
        <v>41698</v>
      </c>
      <c r="B188" s="20">
        <v>3.6805555555555557E-2</v>
      </c>
      <c r="C188" t="str">
        <f t="shared" si="14"/>
        <v>14</v>
      </c>
      <c r="D188" t="str">
        <f t="shared" si="15"/>
        <v>02</v>
      </c>
      <c r="E188" t="str">
        <f t="shared" si="16"/>
        <v>28</v>
      </c>
      <c r="F188">
        <f t="shared" si="17"/>
        <v>2014</v>
      </c>
      <c r="G188">
        <f t="shared" si="18"/>
        <v>2</v>
      </c>
      <c r="H188">
        <f t="shared" si="19"/>
        <v>28</v>
      </c>
      <c r="I188" t="str">
        <f t="shared" si="20"/>
        <v>14</v>
      </c>
    </row>
    <row r="189" spans="1:9" x14ac:dyDescent="0.25">
      <c r="A189" s="19">
        <v>41320</v>
      </c>
      <c r="B189" s="20">
        <v>0.99791666666666667</v>
      </c>
      <c r="C189" t="str">
        <f t="shared" si="14"/>
        <v>13</v>
      </c>
      <c r="D189" t="str">
        <f t="shared" si="15"/>
        <v>02</v>
      </c>
      <c r="E189" t="str">
        <f t="shared" si="16"/>
        <v>15</v>
      </c>
      <c r="F189">
        <f t="shared" si="17"/>
        <v>2013</v>
      </c>
      <c r="G189">
        <f t="shared" si="18"/>
        <v>2</v>
      </c>
      <c r="H189">
        <f t="shared" si="19"/>
        <v>15</v>
      </c>
      <c r="I189" t="str">
        <f t="shared" si="20"/>
        <v>13</v>
      </c>
    </row>
    <row r="190" spans="1:9" x14ac:dyDescent="0.25">
      <c r="A190" s="19">
        <v>42471</v>
      </c>
      <c r="B190" s="20">
        <v>2.5000000000000001E-2</v>
      </c>
      <c r="C190" t="str">
        <f t="shared" si="14"/>
        <v>16</v>
      </c>
      <c r="D190" t="str">
        <f t="shared" si="15"/>
        <v>04</v>
      </c>
      <c r="E190" t="str">
        <f t="shared" si="16"/>
        <v>11</v>
      </c>
      <c r="F190">
        <f t="shared" si="17"/>
        <v>2016</v>
      </c>
      <c r="G190">
        <f t="shared" si="18"/>
        <v>4</v>
      </c>
      <c r="H190">
        <f t="shared" si="19"/>
        <v>11</v>
      </c>
      <c r="I190" t="str">
        <f t="shared" si="20"/>
        <v>16</v>
      </c>
    </row>
    <row r="191" spans="1:9" x14ac:dyDescent="0.25">
      <c r="A191" s="19">
        <v>41529</v>
      </c>
      <c r="B191" s="20">
        <v>8.3333333333333332E-3</v>
      </c>
      <c r="C191" t="str">
        <f t="shared" si="14"/>
        <v>13</v>
      </c>
      <c r="D191" t="str">
        <f t="shared" si="15"/>
        <v>09</v>
      </c>
      <c r="E191" t="str">
        <f t="shared" si="16"/>
        <v>12</v>
      </c>
      <c r="F191">
        <f t="shared" si="17"/>
        <v>2013</v>
      </c>
      <c r="G191">
        <f t="shared" si="18"/>
        <v>9</v>
      </c>
      <c r="H191">
        <f t="shared" si="19"/>
        <v>12</v>
      </c>
      <c r="I191" t="str">
        <f t="shared" si="20"/>
        <v>13</v>
      </c>
    </row>
    <row r="192" spans="1:9" x14ac:dyDescent="0.25">
      <c r="A192" s="19">
        <v>41968</v>
      </c>
      <c r="B192" s="20">
        <v>4.4444444444444446E-2</v>
      </c>
      <c r="C192" t="str">
        <f t="shared" si="14"/>
        <v>14</v>
      </c>
      <c r="D192" t="str">
        <f t="shared" si="15"/>
        <v>11</v>
      </c>
      <c r="E192" t="str">
        <f t="shared" si="16"/>
        <v>25</v>
      </c>
      <c r="F192">
        <f t="shared" si="17"/>
        <v>2014</v>
      </c>
      <c r="G192">
        <f t="shared" si="18"/>
        <v>11</v>
      </c>
      <c r="H192">
        <f t="shared" si="19"/>
        <v>25</v>
      </c>
      <c r="I192" t="str">
        <f t="shared" si="20"/>
        <v>14</v>
      </c>
    </row>
    <row r="193" spans="1:9" x14ac:dyDescent="0.25">
      <c r="A193" s="19">
        <v>41410</v>
      </c>
      <c r="B193" s="20">
        <v>4.9305555555555554E-2</v>
      </c>
      <c r="C193" t="str">
        <f t="shared" si="14"/>
        <v>13</v>
      </c>
      <c r="D193" t="str">
        <f t="shared" si="15"/>
        <v>05</v>
      </c>
      <c r="E193" t="str">
        <f t="shared" si="16"/>
        <v>16</v>
      </c>
      <c r="F193">
        <f t="shared" si="17"/>
        <v>2013</v>
      </c>
      <c r="G193">
        <f t="shared" si="18"/>
        <v>5</v>
      </c>
      <c r="H193">
        <f t="shared" si="19"/>
        <v>16</v>
      </c>
      <c r="I193" t="str">
        <f t="shared" si="20"/>
        <v>13</v>
      </c>
    </row>
    <row r="194" spans="1:9" x14ac:dyDescent="0.25">
      <c r="A194" s="19">
        <v>41101</v>
      </c>
      <c r="B194" s="20">
        <v>1.0416666666666666E-2</v>
      </c>
      <c r="C194" t="str">
        <f t="shared" si="14"/>
        <v>12</v>
      </c>
      <c r="D194" t="str">
        <f t="shared" si="15"/>
        <v>07</v>
      </c>
      <c r="E194" t="str">
        <f t="shared" si="16"/>
        <v>11</v>
      </c>
      <c r="F194">
        <f t="shared" si="17"/>
        <v>2012</v>
      </c>
      <c r="G194">
        <f t="shared" si="18"/>
        <v>7</v>
      </c>
      <c r="H194">
        <f t="shared" si="19"/>
        <v>11</v>
      </c>
      <c r="I194" t="str">
        <f t="shared" si="20"/>
        <v>12</v>
      </c>
    </row>
    <row r="195" spans="1:9" x14ac:dyDescent="0.25">
      <c r="A195" s="19">
        <v>41748</v>
      </c>
      <c r="B195" s="20">
        <v>0.99097222222222225</v>
      </c>
      <c r="C195" t="str">
        <f t="shared" ref="C195:C258" si="21">TEXT(A195,"YY")</f>
        <v>14</v>
      </c>
      <c r="D195" t="str">
        <f t="shared" ref="D195:D258" si="22">TEXT(A195,"mm")</f>
        <v>04</v>
      </c>
      <c r="E195" t="str">
        <f t="shared" ref="E195:E258" si="23">TEXT(A195,"dd")</f>
        <v>19</v>
      </c>
      <c r="F195">
        <f t="shared" ref="F195:F258" si="24">YEAR($A195)</f>
        <v>2014</v>
      </c>
      <c r="G195">
        <f t="shared" ref="G195:G258" si="25">MONTH($A195)</f>
        <v>4</v>
      </c>
      <c r="H195">
        <f t="shared" ref="H195:H258" si="26">DAY($A195)</f>
        <v>19</v>
      </c>
      <c r="I195" t="str">
        <f t="shared" ref="I195:I258" si="27">TEXT($A195,"YY")</f>
        <v>14</v>
      </c>
    </row>
    <row r="196" spans="1:9" x14ac:dyDescent="0.25">
      <c r="A196" s="19">
        <v>41681</v>
      </c>
      <c r="B196" s="20">
        <v>3.4722222222222224E-2</v>
      </c>
      <c r="C196" t="str">
        <f t="shared" si="21"/>
        <v>14</v>
      </c>
      <c r="D196" t="str">
        <f t="shared" si="22"/>
        <v>02</v>
      </c>
      <c r="E196" t="str">
        <f t="shared" si="23"/>
        <v>11</v>
      </c>
      <c r="F196">
        <f t="shared" si="24"/>
        <v>2014</v>
      </c>
      <c r="G196">
        <f t="shared" si="25"/>
        <v>2</v>
      </c>
      <c r="H196">
        <f t="shared" si="26"/>
        <v>11</v>
      </c>
      <c r="I196" t="str">
        <f t="shared" si="27"/>
        <v>14</v>
      </c>
    </row>
    <row r="197" spans="1:9" x14ac:dyDescent="0.25">
      <c r="A197" s="19">
        <v>42046</v>
      </c>
      <c r="B197" s="20">
        <v>5.8333333333333334E-2</v>
      </c>
      <c r="C197" t="str">
        <f t="shared" si="21"/>
        <v>15</v>
      </c>
      <c r="D197" t="str">
        <f t="shared" si="22"/>
        <v>02</v>
      </c>
      <c r="E197" t="str">
        <f t="shared" si="23"/>
        <v>11</v>
      </c>
      <c r="F197">
        <f t="shared" si="24"/>
        <v>2015</v>
      </c>
      <c r="G197">
        <f t="shared" si="25"/>
        <v>2</v>
      </c>
      <c r="H197">
        <f t="shared" si="26"/>
        <v>11</v>
      </c>
      <c r="I197" t="str">
        <f t="shared" si="27"/>
        <v>15</v>
      </c>
    </row>
    <row r="198" spans="1:9" x14ac:dyDescent="0.25">
      <c r="A198" s="19">
        <v>41504</v>
      </c>
      <c r="B198" s="20">
        <v>6.2500000000000003E-3</v>
      </c>
      <c r="C198" t="str">
        <f t="shared" si="21"/>
        <v>13</v>
      </c>
      <c r="D198" t="str">
        <f t="shared" si="22"/>
        <v>08</v>
      </c>
      <c r="E198" t="str">
        <f t="shared" si="23"/>
        <v>18</v>
      </c>
      <c r="F198">
        <f t="shared" si="24"/>
        <v>2013</v>
      </c>
      <c r="G198">
        <f t="shared" si="25"/>
        <v>8</v>
      </c>
      <c r="H198">
        <f t="shared" si="26"/>
        <v>18</v>
      </c>
      <c r="I198" t="str">
        <f t="shared" si="27"/>
        <v>13</v>
      </c>
    </row>
    <row r="199" spans="1:9" x14ac:dyDescent="0.25">
      <c r="A199" s="19">
        <v>41673</v>
      </c>
      <c r="B199" s="20">
        <v>0.95486111111111116</v>
      </c>
      <c r="C199" t="str">
        <f t="shared" si="21"/>
        <v>14</v>
      </c>
      <c r="D199" t="str">
        <f t="shared" si="22"/>
        <v>02</v>
      </c>
      <c r="E199" t="str">
        <f t="shared" si="23"/>
        <v>03</v>
      </c>
      <c r="F199">
        <f t="shared" si="24"/>
        <v>2014</v>
      </c>
      <c r="G199">
        <f t="shared" si="25"/>
        <v>2</v>
      </c>
      <c r="H199">
        <f t="shared" si="26"/>
        <v>3</v>
      </c>
      <c r="I199" t="str">
        <f t="shared" si="27"/>
        <v>14</v>
      </c>
    </row>
    <row r="200" spans="1:9" x14ac:dyDescent="0.25">
      <c r="A200" s="19">
        <v>42660</v>
      </c>
      <c r="B200" s="20">
        <v>0</v>
      </c>
      <c r="C200" t="str">
        <f t="shared" si="21"/>
        <v>16</v>
      </c>
      <c r="D200" t="str">
        <f t="shared" si="22"/>
        <v>10</v>
      </c>
      <c r="E200" t="str">
        <f t="shared" si="23"/>
        <v>17</v>
      </c>
      <c r="F200">
        <f t="shared" si="24"/>
        <v>2016</v>
      </c>
      <c r="G200">
        <f t="shared" si="25"/>
        <v>10</v>
      </c>
      <c r="H200">
        <f t="shared" si="26"/>
        <v>17</v>
      </c>
      <c r="I200" t="str">
        <f t="shared" si="27"/>
        <v>16</v>
      </c>
    </row>
    <row r="201" spans="1:9" x14ac:dyDescent="0.25">
      <c r="A201" s="19">
        <v>41486</v>
      </c>
      <c r="B201" s="20">
        <v>4.8611111111111112E-2</v>
      </c>
      <c r="C201" t="str">
        <f t="shared" si="21"/>
        <v>13</v>
      </c>
      <c r="D201" t="str">
        <f t="shared" si="22"/>
        <v>07</v>
      </c>
      <c r="E201" t="str">
        <f t="shared" si="23"/>
        <v>31</v>
      </c>
      <c r="F201">
        <f t="shared" si="24"/>
        <v>2013</v>
      </c>
      <c r="G201">
        <f t="shared" si="25"/>
        <v>7</v>
      </c>
      <c r="H201">
        <f t="shared" si="26"/>
        <v>31</v>
      </c>
      <c r="I201" t="str">
        <f t="shared" si="27"/>
        <v>13</v>
      </c>
    </row>
    <row r="202" spans="1:9" x14ac:dyDescent="0.25">
      <c r="A202" s="19">
        <v>41412</v>
      </c>
      <c r="B202" s="20">
        <v>0.98472222222222228</v>
      </c>
      <c r="C202" t="str">
        <f t="shared" si="21"/>
        <v>13</v>
      </c>
      <c r="D202" t="str">
        <f t="shared" si="22"/>
        <v>05</v>
      </c>
      <c r="E202" t="str">
        <f t="shared" si="23"/>
        <v>18</v>
      </c>
      <c r="F202">
        <f t="shared" si="24"/>
        <v>2013</v>
      </c>
      <c r="G202">
        <f t="shared" si="25"/>
        <v>5</v>
      </c>
      <c r="H202">
        <f t="shared" si="26"/>
        <v>18</v>
      </c>
      <c r="I202" t="str">
        <f t="shared" si="27"/>
        <v>13</v>
      </c>
    </row>
    <row r="203" spans="1:9" x14ac:dyDescent="0.25">
      <c r="A203" s="19">
        <v>41568</v>
      </c>
      <c r="B203" s="20">
        <v>5.2083333333333336E-2</v>
      </c>
      <c r="C203" t="str">
        <f t="shared" si="21"/>
        <v>13</v>
      </c>
      <c r="D203" t="str">
        <f t="shared" si="22"/>
        <v>10</v>
      </c>
      <c r="E203" t="str">
        <f t="shared" si="23"/>
        <v>21</v>
      </c>
      <c r="F203">
        <f t="shared" si="24"/>
        <v>2013</v>
      </c>
      <c r="G203">
        <f t="shared" si="25"/>
        <v>10</v>
      </c>
      <c r="H203">
        <f t="shared" si="26"/>
        <v>21</v>
      </c>
      <c r="I203" t="str">
        <f t="shared" si="27"/>
        <v>13</v>
      </c>
    </row>
    <row r="204" spans="1:9" x14ac:dyDescent="0.25">
      <c r="A204" s="19">
        <v>41119</v>
      </c>
      <c r="B204" s="20">
        <v>0.97986111111111107</v>
      </c>
      <c r="C204" t="str">
        <f t="shared" si="21"/>
        <v>12</v>
      </c>
      <c r="D204" t="str">
        <f t="shared" si="22"/>
        <v>07</v>
      </c>
      <c r="E204" t="str">
        <f t="shared" si="23"/>
        <v>29</v>
      </c>
      <c r="F204">
        <f t="shared" si="24"/>
        <v>2012</v>
      </c>
      <c r="G204">
        <f t="shared" si="25"/>
        <v>7</v>
      </c>
      <c r="H204">
        <f t="shared" si="26"/>
        <v>29</v>
      </c>
      <c r="I204" t="str">
        <f t="shared" si="27"/>
        <v>12</v>
      </c>
    </row>
    <row r="205" spans="1:9" x14ac:dyDescent="0.25">
      <c r="A205" s="19">
        <v>41549</v>
      </c>
      <c r="B205" s="20">
        <v>3.4027777777777775E-2</v>
      </c>
      <c r="C205" t="str">
        <f t="shared" si="21"/>
        <v>13</v>
      </c>
      <c r="D205" t="str">
        <f t="shared" si="22"/>
        <v>10</v>
      </c>
      <c r="E205" t="str">
        <f t="shared" si="23"/>
        <v>02</v>
      </c>
      <c r="F205">
        <f t="shared" si="24"/>
        <v>2013</v>
      </c>
      <c r="G205">
        <f t="shared" si="25"/>
        <v>10</v>
      </c>
      <c r="H205">
        <f t="shared" si="26"/>
        <v>2</v>
      </c>
      <c r="I205" t="str">
        <f t="shared" si="27"/>
        <v>13</v>
      </c>
    </row>
    <row r="206" spans="1:9" x14ac:dyDescent="0.25">
      <c r="A206" s="19">
        <v>41776</v>
      </c>
      <c r="B206" s="20">
        <v>5.6250000000000001E-2</v>
      </c>
      <c r="C206" t="str">
        <f t="shared" si="21"/>
        <v>14</v>
      </c>
      <c r="D206" t="str">
        <f t="shared" si="22"/>
        <v>05</v>
      </c>
      <c r="E206" t="str">
        <f t="shared" si="23"/>
        <v>17</v>
      </c>
      <c r="F206">
        <f t="shared" si="24"/>
        <v>2014</v>
      </c>
      <c r="G206">
        <f t="shared" si="25"/>
        <v>5</v>
      </c>
      <c r="H206">
        <f t="shared" si="26"/>
        <v>17</v>
      </c>
      <c r="I206" t="str">
        <f t="shared" si="27"/>
        <v>14</v>
      </c>
    </row>
    <row r="207" spans="1:9" x14ac:dyDescent="0.25">
      <c r="A207" s="19">
        <v>41341</v>
      </c>
      <c r="B207" s="20">
        <v>8.3333333333333329E-2</v>
      </c>
      <c r="C207" t="str">
        <f t="shared" si="21"/>
        <v>13</v>
      </c>
      <c r="D207" t="str">
        <f t="shared" si="22"/>
        <v>03</v>
      </c>
      <c r="E207" t="str">
        <f t="shared" si="23"/>
        <v>08</v>
      </c>
      <c r="F207">
        <f t="shared" si="24"/>
        <v>2013</v>
      </c>
      <c r="G207">
        <f t="shared" si="25"/>
        <v>3</v>
      </c>
      <c r="H207">
        <f t="shared" si="26"/>
        <v>8</v>
      </c>
      <c r="I207" t="str">
        <f t="shared" si="27"/>
        <v>13</v>
      </c>
    </row>
    <row r="208" spans="1:9" x14ac:dyDescent="0.25">
      <c r="A208" s="19">
        <v>42015</v>
      </c>
      <c r="B208" s="20">
        <v>7.3611111111111113E-2</v>
      </c>
      <c r="C208" t="str">
        <f t="shared" si="21"/>
        <v>15</v>
      </c>
      <c r="D208" t="str">
        <f t="shared" si="22"/>
        <v>01</v>
      </c>
      <c r="E208" t="str">
        <f t="shared" si="23"/>
        <v>11</v>
      </c>
      <c r="F208">
        <f t="shared" si="24"/>
        <v>2015</v>
      </c>
      <c r="G208">
        <f t="shared" si="25"/>
        <v>1</v>
      </c>
      <c r="H208">
        <f t="shared" si="26"/>
        <v>11</v>
      </c>
      <c r="I208" t="str">
        <f t="shared" si="27"/>
        <v>15</v>
      </c>
    </row>
    <row r="209" spans="1:9" x14ac:dyDescent="0.25">
      <c r="A209" s="19">
        <v>41684</v>
      </c>
      <c r="B209" s="20">
        <v>4.3749999999999997E-2</v>
      </c>
      <c r="C209" t="str">
        <f t="shared" si="21"/>
        <v>14</v>
      </c>
      <c r="D209" t="str">
        <f t="shared" si="22"/>
        <v>02</v>
      </c>
      <c r="E209" t="str">
        <f t="shared" si="23"/>
        <v>14</v>
      </c>
      <c r="F209">
        <f t="shared" si="24"/>
        <v>2014</v>
      </c>
      <c r="G209">
        <f t="shared" si="25"/>
        <v>2</v>
      </c>
      <c r="H209">
        <f t="shared" si="26"/>
        <v>14</v>
      </c>
      <c r="I209" t="str">
        <f t="shared" si="27"/>
        <v>14</v>
      </c>
    </row>
    <row r="210" spans="1:9" x14ac:dyDescent="0.25">
      <c r="A210" s="19">
        <v>41505</v>
      </c>
      <c r="B210" s="20">
        <v>5.486111111111111E-2</v>
      </c>
      <c r="C210" t="str">
        <f t="shared" si="21"/>
        <v>13</v>
      </c>
      <c r="D210" t="str">
        <f t="shared" si="22"/>
        <v>08</v>
      </c>
      <c r="E210" t="str">
        <f t="shared" si="23"/>
        <v>19</v>
      </c>
      <c r="F210">
        <f t="shared" si="24"/>
        <v>2013</v>
      </c>
      <c r="G210">
        <f t="shared" si="25"/>
        <v>8</v>
      </c>
      <c r="H210">
        <f t="shared" si="26"/>
        <v>19</v>
      </c>
      <c r="I210" t="str">
        <f t="shared" si="27"/>
        <v>13</v>
      </c>
    </row>
    <row r="211" spans="1:9" x14ac:dyDescent="0.25">
      <c r="A211" s="19">
        <v>41123</v>
      </c>
      <c r="B211" s="20">
        <v>9.0277777777777769E-3</v>
      </c>
      <c r="C211" t="str">
        <f t="shared" si="21"/>
        <v>12</v>
      </c>
      <c r="D211" t="str">
        <f t="shared" si="22"/>
        <v>08</v>
      </c>
      <c r="E211" t="str">
        <f t="shared" si="23"/>
        <v>02</v>
      </c>
      <c r="F211">
        <f t="shared" si="24"/>
        <v>2012</v>
      </c>
      <c r="G211">
        <f t="shared" si="25"/>
        <v>8</v>
      </c>
      <c r="H211">
        <f t="shared" si="26"/>
        <v>2</v>
      </c>
      <c r="I211" t="str">
        <f t="shared" si="27"/>
        <v>12</v>
      </c>
    </row>
    <row r="212" spans="1:9" x14ac:dyDescent="0.25">
      <c r="A212" s="19">
        <v>41774</v>
      </c>
      <c r="B212" s="20">
        <v>8.819444444444445E-2</v>
      </c>
      <c r="C212" t="str">
        <f t="shared" si="21"/>
        <v>14</v>
      </c>
      <c r="D212" t="str">
        <f t="shared" si="22"/>
        <v>05</v>
      </c>
      <c r="E212" t="str">
        <f t="shared" si="23"/>
        <v>15</v>
      </c>
      <c r="F212">
        <f t="shared" si="24"/>
        <v>2014</v>
      </c>
      <c r="G212">
        <f t="shared" si="25"/>
        <v>5</v>
      </c>
      <c r="H212">
        <f t="shared" si="26"/>
        <v>15</v>
      </c>
      <c r="I212" t="str">
        <f t="shared" si="27"/>
        <v>14</v>
      </c>
    </row>
    <row r="213" spans="1:9" x14ac:dyDescent="0.25">
      <c r="A213" s="19">
        <v>41329</v>
      </c>
      <c r="B213" s="20">
        <v>7.3611111111111113E-2</v>
      </c>
      <c r="C213" t="str">
        <f t="shared" si="21"/>
        <v>13</v>
      </c>
      <c r="D213" t="str">
        <f t="shared" si="22"/>
        <v>02</v>
      </c>
      <c r="E213" t="str">
        <f t="shared" si="23"/>
        <v>24</v>
      </c>
      <c r="F213">
        <f t="shared" si="24"/>
        <v>2013</v>
      </c>
      <c r="G213">
        <f t="shared" si="25"/>
        <v>2</v>
      </c>
      <c r="H213">
        <f t="shared" si="26"/>
        <v>24</v>
      </c>
      <c r="I213" t="str">
        <f t="shared" si="27"/>
        <v>13</v>
      </c>
    </row>
    <row r="214" spans="1:9" x14ac:dyDescent="0.25">
      <c r="A214" s="19">
        <v>41032</v>
      </c>
      <c r="B214" s="20">
        <v>1.5277777777777777E-2</v>
      </c>
      <c r="C214" t="str">
        <f t="shared" si="21"/>
        <v>12</v>
      </c>
      <c r="D214" t="str">
        <f t="shared" si="22"/>
        <v>05</v>
      </c>
      <c r="E214" t="str">
        <f t="shared" si="23"/>
        <v>03</v>
      </c>
      <c r="F214">
        <f t="shared" si="24"/>
        <v>2012</v>
      </c>
      <c r="G214">
        <f t="shared" si="25"/>
        <v>5</v>
      </c>
      <c r="H214">
        <f t="shared" si="26"/>
        <v>3</v>
      </c>
      <c r="I214" t="str">
        <f t="shared" si="27"/>
        <v>12</v>
      </c>
    </row>
    <row r="215" spans="1:9" x14ac:dyDescent="0.25">
      <c r="A215" s="19">
        <v>42713</v>
      </c>
      <c r="B215" s="20">
        <v>0.97222222222222221</v>
      </c>
      <c r="C215" t="str">
        <f t="shared" si="21"/>
        <v>16</v>
      </c>
      <c r="D215" t="str">
        <f t="shared" si="22"/>
        <v>12</v>
      </c>
      <c r="E215" t="str">
        <f t="shared" si="23"/>
        <v>09</v>
      </c>
      <c r="F215">
        <f t="shared" si="24"/>
        <v>2016</v>
      </c>
      <c r="G215">
        <f t="shared" si="25"/>
        <v>12</v>
      </c>
      <c r="H215">
        <f t="shared" si="26"/>
        <v>9</v>
      </c>
      <c r="I215" t="str">
        <f t="shared" si="27"/>
        <v>16</v>
      </c>
    </row>
    <row r="216" spans="1:9" x14ac:dyDescent="0.25">
      <c r="A216" s="19">
        <v>40923</v>
      </c>
      <c r="B216" s="20">
        <v>6.7361111111111108E-2</v>
      </c>
      <c r="C216" t="str">
        <f t="shared" si="21"/>
        <v>12</v>
      </c>
      <c r="D216" t="str">
        <f t="shared" si="22"/>
        <v>01</v>
      </c>
      <c r="E216" t="str">
        <f t="shared" si="23"/>
        <v>15</v>
      </c>
      <c r="F216">
        <f t="shared" si="24"/>
        <v>2012</v>
      </c>
      <c r="G216">
        <f t="shared" si="25"/>
        <v>1</v>
      </c>
      <c r="H216">
        <f t="shared" si="26"/>
        <v>15</v>
      </c>
      <c r="I216" t="str">
        <f t="shared" si="27"/>
        <v>12</v>
      </c>
    </row>
    <row r="217" spans="1:9" x14ac:dyDescent="0.25">
      <c r="A217" s="19">
        <v>42470</v>
      </c>
      <c r="B217" s="20">
        <v>0.98541666666666672</v>
      </c>
      <c r="C217" t="str">
        <f t="shared" si="21"/>
        <v>16</v>
      </c>
      <c r="D217" t="str">
        <f t="shared" si="22"/>
        <v>04</v>
      </c>
      <c r="E217" t="str">
        <f t="shared" si="23"/>
        <v>10</v>
      </c>
      <c r="F217">
        <f t="shared" si="24"/>
        <v>2016</v>
      </c>
      <c r="G217">
        <f t="shared" si="25"/>
        <v>4</v>
      </c>
      <c r="H217">
        <f t="shared" si="26"/>
        <v>10</v>
      </c>
      <c r="I217" t="str">
        <f t="shared" si="27"/>
        <v>16</v>
      </c>
    </row>
    <row r="218" spans="1:9" x14ac:dyDescent="0.25">
      <c r="A218" s="19">
        <v>41294</v>
      </c>
      <c r="B218" s="20">
        <v>0.97847222222222219</v>
      </c>
      <c r="C218" t="str">
        <f t="shared" si="21"/>
        <v>13</v>
      </c>
      <c r="D218" t="str">
        <f t="shared" si="22"/>
        <v>01</v>
      </c>
      <c r="E218" t="str">
        <f t="shared" si="23"/>
        <v>20</v>
      </c>
      <c r="F218">
        <f t="shared" si="24"/>
        <v>2013</v>
      </c>
      <c r="G218">
        <f t="shared" si="25"/>
        <v>1</v>
      </c>
      <c r="H218">
        <f t="shared" si="26"/>
        <v>20</v>
      </c>
      <c r="I218" t="str">
        <f t="shared" si="27"/>
        <v>13</v>
      </c>
    </row>
    <row r="219" spans="1:9" x14ac:dyDescent="0.25">
      <c r="A219" s="19">
        <v>42148</v>
      </c>
      <c r="B219" s="20">
        <v>8.2638888888888887E-2</v>
      </c>
      <c r="C219" t="str">
        <f t="shared" si="21"/>
        <v>15</v>
      </c>
      <c r="D219" t="str">
        <f t="shared" si="22"/>
        <v>05</v>
      </c>
      <c r="E219" t="str">
        <f t="shared" si="23"/>
        <v>24</v>
      </c>
      <c r="F219">
        <f t="shared" si="24"/>
        <v>2015</v>
      </c>
      <c r="G219">
        <f t="shared" si="25"/>
        <v>5</v>
      </c>
      <c r="H219">
        <f t="shared" si="26"/>
        <v>24</v>
      </c>
      <c r="I219" t="str">
        <f t="shared" si="27"/>
        <v>15</v>
      </c>
    </row>
    <row r="220" spans="1:9" x14ac:dyDescent="0.25">
      <c r="A220" s="19">
        <v>41297</v>
      </c>
      <c r="B220" s="20">
        <v>0.97499999999999998</v>
      </c>
      <c r="C220" t="str">
        <f t="shared" si="21"/>
        <v>13</v>
      </c>
      <c r="D220" t="str">
        <f t="shared" si="22"/>
        <v>01</v>
      </c>
      <c r="E220" t="str">
        <f t="shared" si="23"/>
        <v>23</v>
      </c>
      <c r="F220">
        <f t="shared" si="24"/>
        <v>2013</v>
      </c>
      <c r="G220">
        <f t="shared" si="25"/>
        <v>1</v>
      </c>
      <c r="H220">
        <f t="shared" si="26"/>
        <v>23</v>
      </c>
      <c r="I220" t="str">
        <f t="shared" si="27"/>
        <v>13</v>
      </c>
    </row>
    <row r="221" spans="1:9" x14ac:dyDescent="0.25">
      <c r="A221" s="19">
        <v>41749</v>
      </c>
      <c r="B221" s="20">
        <v>4.3749999999999997E-2</v>
      </c>
      <c r="C221" t="str">
        <f t="shared" si="21"/>
        <v>14</v>
      </c>
      <c r="D221" t="str">
        <f t="shared" si="22"/>
        <v>04</v>
      </c>
      <c r="E221" t="str">
        <f t="shared" si="23"/>
        <v>20</v>
      </c>
      <c r="F221">
        <f t="shared" si="24"/>
        <v>2014</v>
      </c>
      <c r="G221">
        <f t="shared" si="25"/>
        <v>4</v>
      </c>
      <c r="H221">
        <f t="shared" si="26"/>
        <v>20</v>
      </c>
      <c r="I221" t="str">
        <f t="shared" si="27"/>
        <v>14</v>
      </c>
    </row>
    <row r="222" spans="1:9" x14ac:dyDescent="0.25">
      <c r="A222" s="19">
        <v>41133</v>
      </c>
      <c r="B222" s="20">
        <v>6.1805555555555558E-2</v>
      </c>
      <c r="C222" t="str">
        <f t="shared" si="21"/>
        <v>12</v>
      </c>
      <c r="D222" t="str">
        <f t="shared" si="22"/>
        <v>08</v>
      </c>
      <c r="E222" t="str">
        <f t="shared" si="23"/>
        <v>12</v>
      </c>
      <c r="F222">
        <f t="shared" si="24"/>
        <v>2012</v>
      </c>
      <c r="G222">
        <f t="shared" si="25"/>
        <v>8</v>
      </c>
      <c r="H222">
        <f t="shared" si="26"/>
        <v>12</v>
      </c>
      <c r="I222" t="str">
        <f t="shared" si="27"/>
        <v>12</v>
      </c>
    </row>
    <row r="223" spans="1:9" x14ac:dyDescent="0.25">
      <c r="A223" s="19">
        <v>42555</v>
      </c>
      <c r="B223" s="20">
        <v>7.6388888888888886E-3</v>
      </c>
      <c r="C223" t="str">
        <f t="shared" si="21"/>
        <v>16</v>
      </c>
      <c r="D223" t="str">
        <f t="shared" si="22"/>
        <v>07</v>
      </c>
      <c r="E223" t="str">
        <f t="shared" si="23"/>
        <v>04</v>
      </c>
      <c r="F223">
        <f t="shared" si="24"/>
        <v>2016</v>
      </c>
      <c r="G223">
        <f t="shared" si="25"/>
        <v>7</v>
      </c>
      <c r="H223">
        <f t="shared" si="26"/>
        <v>4</v>
      </c>
      <c r="I223" t="str">
        <f t="shared" si="27"/>
        <v>16</v>
      </c>
    </row>
    <row r="224" spans="1:9" x14ac:dyDescent="0.25">
      <c r="A224" s="19">
        <v>42541</v>
      </c>
      <c r="B224" s="20">
        <v>0.94513888888888886</v>
      </c>
      <c r="C224" t="str">
        <f t="shared" si="21"/>
        <v>16</v>
      </c>
      <c r="D224" t="str">
        <f t="shared" si="22"/>
        <v>06</v>
      </c>
      <c r="E224" t="str">
        <f t="shared" si="23"/>
        <v>20</v>
      </c>
      <c r="F224">
        <f t="shared" si="24"/>
        <v>2016</v>
      </c>
      <c r="G224">
        <f t="shared" si="25"/>
        <v>6</v>
      </c>
      <c r="H224">
        <f t="shared" si="26"/>
        <v>20</v>
      </c>
      <c r="I224" t="str">
        <f t="shared" si="27"/>
        <v>16</v>
      </c>
    </row>
    <row r="225" spans="1:9" x14ac:dyDescent="0.25">
      <c r="A225" s="19">
        <v>41575</v>
      </c>
      <c r="B225" s="20">
        <v>0.97291666666666665</v>
      </c>
      <c r="C225" t="str">
        <f t="shared" si="21"/>
        <v>13</v>
      </c>
      <c r="D225" t="str">
        <f t="shared" si="22"/>
        <v>10</v>
      </c>
      <c r="E225" t="str">
        <f t="shared" si="23"/>
        <v>28</v>
      </c>
      <c r="F225">
        <f t="shared" si="24"/>
        <v>2013</v>
      </c>
      <c r="G225">
        <f t="shared" si="25"/>
        <v>10</v>
      </c>
      <c r="H225">
        <f t="shared" si="26"/>
        <v>28</v>
      </c>
      <c r="I225" t="str">
        <f t="shared" si="27"/>
        <v>13</v>
      </c>
    </row>
    <row r="226" spans="1:9" x14ac:dyDescent="0.25">
      <c r="A226" s="19">
        <v>41960</v>
      </c>
      <c r="B226" s="20">
        <v>0.95138888888888884</v>
      </c>
      <c r="C226" t="str">
        <f t="shared" si="21"/>
        <v>14</v>
      </c>
      <c r="D226" t="str">
        <f t="shared" si="22"/>
        <v>11</v>
      </c>
      <c r="E226" t="str">
        <f t="shared" si="23"/>
        <v>17</v>
      </c>
      <c r="F226">
        <f t="shared" si="24"/>
        <v>2014</v>
      </c>
      <c r="G226">
        <f t="shared" si="25"/>
        <v>11</v>
      </c>
      <c r="H226">
        <f t="shared" si="26"/>
        <v>17</v>
      </c>
      <c r="I226" t="str">
        <f t="shared" si="27"/>
        <v>14</v>
      </c>
    </row>
    <row r="227" spans="1:9" x14ac:dyDescent="0.25">
      <c r="A227" s="19">
        <v>41557</v>
      </c>
      <c r="B227" s="20">
        <v>3.8194444444444448E-2</v>
      </c>
      <c r="C227" t="str">
        <f t="shared" si="21"/>
        <v>13</v>
      </c>
      <c r="D227" t="str">
        <f t="shared" si="22"/>
        <v>10</v>
      </c>
      <c r="E227" t="str">
        <f t="shared" si="23"/>
        <v>10</v>
      </c>
      <c r="F227">
        <f t="shared" si="24"/>
        <v>2013</v>
      </c>
      <c r="G227">
        <f t="shared" si="25"/>
        <v>10</v>
      </c>
      <c r="H227">
        <f t="shared" si="26"/>
        <v>10</v>
      </c>
      <c r="I227" t="str">
        <f t="shared" si="27"/>
        <v>13</v>
      </c>
    </row>
    <row r="228" spans="1:9" x14ac:dyDescent="0.25">
      <c r="A228" s="19">
        <v>41653</v>
      </c>
      <c r="B228" s="20">
        <v>1.8749999999999999E-2</v>
      </c>
      <c r="C228" t="str">
        <f t="shared" si="21"/>
        <v>14</v>
      </c>
      <c r="D228" t="str">
        <f t="shared" si="22"/>
        <v>01</v>
      </c>
      <c r="E228" t="str">
        <f t="shared" si="23"/>
        <v>14</v>
      </c>
      <c r="F228">
        <f t="shared" si="24"/>
        <v>2014</v>
      </c>
      <c r="G228">
        <f t="shared" si="25"/>
        <v>1</v>
      </c>
      <c r="H228">
        <f t="shared" si="26"/>
        <v>14</v>
      </c>
      <c r="I228" t="str">
        <f t="shared" si="27"/>
        <v>14</v>
      </c>
    </row>
    <row r="229" spans="1:9" x14ac:dyDescent="0.25">
      <c r="A229" s="19">
        <v>41718</v>
      </c>
      <c r="B229" s="20">
        <v>0.97777777777777775</v>
      </c>
      <c r="C229" t="str">
        <f t="shared" si="21"/>
        <v>14</v>
      </c>
      <c r="D229" t="str">
        <f t="shared" si="22"/>
        <v>03</v>
      </c>
      <c r="E229" t="str">
        <f t="shared" si="23"/>
        <v>20</v>
      </c>
      <c r="F229">
        <f t="shared" si="24"/>
        <v>2014</v>
      </c>
      <c r="G229">
        <f t="shared" si="25"/>
        <v>3</v>
      </c>
      <c r="H229">
        <f t="shared" si="26"/>
        <v>20</v>
      </c>
      <c r="I229" t="str">
        <f t="shared" si="27"/>
        <v>14</v>
      </c>
    </row>
    <row r="230" spans="1:9" x14ac:dyDescent="0.25">
      <c r="A230" s="19">
        <v>41579</v>
      </c>
      <c r="B230" s="20">
        <v>0.98333333333333328</v>
      </c>
      <c r="C230" t="str">
        <f t="shared" si="21"/>
        <v>13</v>
      </c>
      <c r="D230" t="str">
        <f t="shared" si="22"/>
        <v>11</v>
      </c>
      <c r="E230" t="str">
        <f t="shared" si="23"/>
        <v>01</v>
      </c>
      <c r="F230">
        <f t="shared" si="24"/>
        <v>2013</v>
      </c>
      <c r="G230">
        <f t="shared" si="25"/>
        <v>11</v>
      </c>
      <c r="H230">
        <f t="shared" si="26"/>
        <v>1</v>
      </c>
      <c r="I230" t="str">
        <f t="shared" si="27"/>
        <v>13</v>
      </c>
    </row>
    <row r="231" spans="1:9" x14ac:dyDescent="0.25">
      <c r="A231" s="19">
        <v>41359</v>
      </c>
      <c r="B231" s="20">
        <v>2.361111111111111E-2</v>
      </c>
      <c r="C231" t="str">
        <f t="shared" si="21"/>
        <v>13</v>
      </c>
      <c r="D231" t="str">
        <f t="shared" si="22"/>
        <v>03</v>
      </c>
      <c r="E231" t="str">
        <f t="shared" si="23"/>
        <v>26</v>
      </c>
      <c r="F231">
        <f t="shared" si="24"/>
        <v>2013</v>
      </c>
      <c r="G231">
        <f t="shared" si="25"/>
        <v>3</v>
      </c>
      <c r="H231">
        <f t="shared" si="26"/>
        <v>26</v>
      </c>
      <c r="I231" t="str">
        <f t="shared" si="27"/>
        <v>13</v>
      </c>
    </row>
    <row r="232" spans="1:9" x14ac:dyDescent="0.25">
      <c r="A232" s="19">
        <v>42332</v>
      </c>
      <c r="B232" s="20">
        <v>3.7499999999999999E-2</v>
      </c>
      <c r="C232" t="str">
        <f t="shared" si="21"/>
        <v>15</v>
      </c>
      <c r="D232" t="str">
        <f t="shared" si="22"/>
        <v>11</v>
      </c>
      <c r="E232" t="str">
        <f t="shared" si="23"/>
        <v>24</v>
      </c>
      <c r="F232">
        <f t="shared" si="24"/>
        <v>2015</v>
      </c>
      <c r="G232">
        <f t="shared" si="25"/>
        <v>11</v>
      </c>
      <c r="H232">
        <f t="shared" si="26"/>
        <v>24</v>
      </c>
      <c r="I232" t="str">
        <f t="shared" si="27"/>
        <v>15</v>
      </c>
    </row>
    <row r="233" spans="1:9" x14ac:dyDescent="0.25">
      <c r="A233" s="19">
        <v>41423</v>
      </c>
      <c r="B233" s="20">
        <v>8.3333333333333329E-2</v>
      </c>
      <c r="C233" t="str">
        <f t="shared" si="21"/>
        <v>13</v>
      </c>
      <c r="D233" t="str">
        <f t="shared" si="22"/>
        <v>05</v>
      </c>
      <c r="E233" t="str">
        <f t="shared" si="23"/>
        <v>29</v>
      </c>
      <c r="F233">
        <f t="shared" si="24"/>
        <v>2013</v>
      </c>
      <c r="G233">
        <f t="shared" si="25"/>
        <v>5</v>
      </c>
      <c r="H233">
        <f t="shared" si="26"/>
        <v>29</v>
      </c>
      <c r="I233" t="str">
        <f t="shared" si="27"/>
        <v>13</v>
      </c>
    </row>
    <row r="234" spans="1:9" x14ac:dyDescent="0.25">
      <c r="A234" s="19">
        <v>41773</v>
      </c>
      <c r="B234" s="20">
        <v>2.013888888888889E-2</v>
      </c>
      <c r="C234" t="str">
        <f t="shared" si="21"/>
        <v>14</v>
      </c>
      <c r="D234" t="str">
        <f t="shared" si="22"/>
        <v>05</v>
      </c>
      <c r="E234" t="str">
        <f t="shared" si="23"/>
        <v>14</v>
      </c>
      <c r="F234">
        <f t="shared" si="24"/>
        <v>2014</v>
      </c>
      <c r="G234">
        <f t="shared" si="25"/>
        <v>5</v>
      </c>
      <c r="H234">
        <f t="shared" si="26"/>
        <v>14</v>
      </c>
      <c r="I234" t="str">
        <f t="shared" si="27"/>
        <v>14</v>
      </c>
    </row>
    <row r="235" spans="1:9" x14ac:dyDescent="0.25">
      <c r="A235" s="19">
        <v>41796</v>
      </c>
      <c r="B235" s="20">
        <v>0.96875</v>
      </c>
      <c r="C235" t="str">
        <f t="shared" si="21"/>
        <v>14</v>
      </c>
      <c r="D235" t="str">
        <f t="shared" si="22"/>
        <v>06</v>
      </c>
      <c r="E235" t="str">
        <f t="shared" si="23"/>
        <v>06</v>
      </c>
      <c r="F235">
        <f t="shared" si="24"/>
        <v>2014</v>
      </c>
      <c r="G235">
        <f t="shared" si="25"/>
        <v>6</v>
      </c>
      <c r="H235">
        <f t="shared" si="26"/>
        <v>6</v>
      </c>
      <c r="I235" t="str">
        <f t="shared" si="27"/>
        <v>14</v>
      </c>
    </row>
    <row r="236" spans="1:9" x14ac:dyDescent="0.25">
      <c r="A236" s="19">
        <v>41584</v>
      </c>
      <c r="B236" s="20">
        <v>4.4444444444444446E-2</v>
      </c>
      <c r="C236" t="str">
        <f t="shared" si="21"/>
        <v>13</v>
      </c>
      <c r="D236" t="str">
        <f t="shared" si="22"/>
        <v>11</v>
      </c>
      <c r="E236" t="str">
        <f t="shared" si="23"/>
        <v>06</v>
      </c>
      <c r="F236">
        <f t="shared" si="24"/>
        <v>2013</v>
      </c>
      <c r="G236">
        <f t="shared" si="25"/>
        <v>11</v>
      </c>
      <c r="H236">
        <f t="shared" si="26"/>
        <v>6</v>
      </c>
      <c r="I236" t="str">
        <f t="shared" si="27"/>
        <v>13</v>
      </c>
    </row>
    <row r="237" spans="1:9" x14ac:dyDescent="0.25">
      <c r="A237" s="19">
        <v>41614</v>
      </c>
      <c r="B237" s="20">
        <v>4.027777777777778E-2</v>
      </c>
      <c r="C237" t="str">
        <f t="shared" si="21"/>
        <v>13</v>
      </c>
      <c r="D237" t="str">
        <f t="shared" si="22"/>
        <v>12</v>
      </c>
      <c r="E237" t="str">
        <f t="shared" si="23"/>
        <v>06</v>
      </c>
      <c r="F237">
        <f t="shared" si="24"/>
        <v>2013</v>
      </c>
      <c r="G237">
        <f t="shared" si="25"/>
        <v>12</v>
      </c>
      <c r="H237">
        <f t="shared" si="26"/>
        <v>6</v>
      </c>
      <c r="I237" t="str">
        <f t="shared" si="27"/>
        <v>13</v>
      </c>
    </row>
    <row r="238" spans="1:9" x14ac:dyDescent="0.25">
      <c r="A238" s="19">
        <v>41082</v>
      </c>
      <c r="B238" s="20">
        <v>3.3333333333333333E-2</v>
      </c>
      <c r="C238" t="str">
        <f t="shared" si="21"/>
        <v>12</v>
      </c>
      <c r="D238" t="str">
        <f t="shared" si="22"/>
        <v>06</v>
      </c>
      <c r="E238" t="str">
        <f t="shared" si="23"/>
        <v>22</v>
      </c>
      <c r="F238">
        <f t="shared" si="24"/>
        <v>2012</v>
      </c>
      <c r="G238">
        <f t="shared" si="25"/>
        <v>6</v>
      </c>
      <c r="H238">
        <f t="shared" si="26"/>
        <v>22</v>
      </c>
      <c r="I238" t="str">
        <f t="shared" si="27"/>
        <v>12</v>
      </c>
    </row>
    <row r="239" spans="1:9" x14ac:dyDescent="0.25">
      <c r="A239" s="19">
        <v>41050</v>
      </c>
      <c r="B239" s="20">
        <v>3.4027777777777775E-2</v>
      </c>
      <c r="C239" t="str">
        <f t="shared" si="21"/>
        <v>12</v>
      </c>
      <c r="D239" t="str">
        <f t="shared" si="22"/>
        <v>05</v>
      </c>
      <c r="E239" t="str">
        <f t="shared" si="23"/>
        <v>21</v>
      </c>
      <c r="F239">
        <f t="shared" si="24"/>
        <v>2012</v>
      </c>
      <c r="G239">
        <f t="shared" si="25"/>
        <v>5</v>
      </c>
      <c r="H239">
        <f t="shared" si="26"/>
        <v>21</v>
      </c>
      <c r="I239" t="str">
        <f t="shared" si="27"/>
        <v>12</v>
      </c>
    </row>
    <row r="240" spans="1:9" x14ac:dyDescent="0.25">
      <c r="A240" s="19">
        <v>42727</v>
      </c>
      <c r="B240" s="20">
        <v>0.97361111111111109</v>
      </c>
      <c r="C240" t="str">
        <f t="shared" si="21"/>
        <v>16</v>
      </c>
      <c r="D240" t="str">
        <f t="shared" si="22"/>
        <v>12</v>
      </c>
      <c r="E240" t="str">
        <f t="shared" si="23"/>
        <v>23</v>
      </c>
      <c r="F240">
        <f t="shared" si="24"/>
        <v>2016</v>
      </c>
      <c r="G240">
        <f t="shared" si="25"/>
        <v>12</v>
      </c>
      <c r="H240">
        <f t="shared" si="26"/>
        <v>23</v>
      </c>
      <c r="I240" t="str">
        <f t="shared" si="27"/>
        <v>16</v>
      </c>
    </row>
    <row r="241" spans="1:9" x14ac:dyDescent="0.25">
      <c r="A241" s="19">
        <v>41314</v>
      </c>
      <c r="B241" s="20">
        <v>3.4722222222222224E-2</v>
      </c>
      <c r="C241" t="str">
        <f t="shared" si="21"/>
        <v>13</v>
      </c>
      <c r="D241" t="str">
        <f t="shared" si="22"/>
        <v>02</v>
      </c>
      <c r="E241" t="str">
        <f t="shared" si="23"/>
        <v>09</v>
      </c>
      <c r="F241">
        <f t="shared" si="24"/>
        <v>2013</v>
      </c>
      <c r="G241">
        <f t="shared" si="25"/>
        <v>2</v>
      </c>
      <c r="H241">
        <f t="shared" si="26"/>
        <v>9</v>
      </c>
      <c r="I241" t="str">
        <f t="shared" si="27"/>
        <v>13</v>
      </c>
    </row>
    <row r="242" spans="1:9" x14ac:dyDescent="0.25">
      <c r="A242" s="19">
        <v>42337</v>
      </c>
      <c r="B242" s="20">
        <v>2.361111111111111E-2</v>
      </c>
      <c r="C242" t="str">
        <f t="shared" si="21"/>
        <v>15</v>
      </c>
      <c r="D242" t="str">
        <f t="shared" si="22"/>
        <v>11</v>
      </c>
      <c r="E242" t="str">
        <f t="shared" si="23"/>
        <v>29</v>
      </c>
      <c r="F242">
        <f t="shared" si="24"/>
        <v>2015</v>
      </c>
      <c r="G242">
        <f t="shared" si="25"/>
        <v>11</v>
      </c>
      <c r="H242">
        <f t="shared" si="26"/>
        <v>29</v>
      </c>
      <c r="I242" t="str">
        <f t="shared" si="27"/>
        <v>15</v>
      </c>
    </row>
    <row r="243" spans="1:9" x14ac:dyDescent="0.25">
      <c r="A243" s="19">
        <v>42155</v>
      </c>
      <c r="B243" s="20">
        <v>1.1111111111111112E-2</v>
      </c>
      <c r="C243" t="str">
        <f t="shared" si="21"/>
        <v>15</v>
      </c>
      <c r="D243" t="str">
        <f t="shared" si="22"/>
        <v>05</v>
      </c>
      <c r="E243" t="str">
        <f t="shared" si="23"/>
        <v>31</v>
      </c>
      <c r="F243">
        <f t="shared" si="24"/>
        <v>2015</v>
      </c>
      <c r="G243">
        <f t="shared" si="25"/>
        <v>5</v>
      </c>
      <c r="H243">
        <f t="shared" si="26"/>
        <v>31</v>
      </c>
      <c r="I243" t="str">
        <f t="shared" si="27"/>
        <v>15</v>
      </c>
    </row>
    <row r="244" spans="1:9" x14ac:dyDescent="0.25">
      <c r="A244" s="19">
        <v>41050</v>
      </c>
      <c r="B244" s="20">
        <v>2.4305555555555556E-2</v>
      </c>
      <c r="C244" t="str">
        <f t="shared" si="21"/>
        <v>12</v>
      </c>
      <c r="D244" t="str">
        <f t="shared" si="22"/>
        <v>05</v>
      </c>
      <c r="E244" t="str">
        <f t="shared" si="23"/>
        <v>21</v>
      </c>
      <c r="F244">
        <f t="shared" si="24"/>
        <v>2012</v>
      </c>
      <c r="G244">
        <f t="shared" si="25"/>
        <v>5</v>
      </c>
      <c r="H244">
        <f t="shared" si="26"/>
        <v>21</v>
      </c>
      <c r="I244" t="str">
        <f t="shared" si="27"/>
        <v>12</v>
      </c>
    </row>
    <row r="245" spans="1:9" x14ac:dyDescent="0.25">
      <c r="A245" s="19">
        <v>41610</v>
      </c>
      <c r="B245" s="20">
        <v>2.4305555555555556E-2</v>
      </c>
      <c r="C245" t="str">
        <f t="shared" si="21"/>
        <v>13</v>
      </c>
      <c r="D245" t="str">
        <f t="shared" si="22"/>
        <v>12</v>
      </c>
      <c r="E245" t="str">
        <f t="shared" si="23"/>
        <v>02</v>
      </c>
      <c r="F245">
        <f t="shared" si="24"/>
        <v>2013</v>
      </c>
      <c r="G245">
        <f t="shared" si="25"/>
        <v>12</v>
      </c>
      <c r="H245">
        <f t="shared" si="26"/>
        <v>2</v>
      </c>
      <c r="I245" t="str">
        <f t="shared" si="27"/>
        <v>13</v>
      </c>
    </row>
    <row r="246" spans="1:9" x14ac:dyDescent="0.25">
      <c r="A246" s="19">
        <v>42189</v>
      </c>
      <c r="B246" s="20">
        <v>3.7499999999999999E-2</v>
      </c>
      <c r="C246" t="str">
        <f t="shared" si="21"/>
        <v>15</v>
      </c>
      <c r="D246" t="str">
        <f t="shared" si="22"/>
        <v>07</v>
      </c>
      <c r="E246" t="str">
        <f t="shared" si="23"/>
        <v>04</v>
      </c>
      <c r="F246">
        <f t="shared" si="24"/>
        <v>2015</v>
      </c>
      <c r="G246">
        <f t="shared" si="25"/>
        <v>7</v>
      </c>
      <c r="H246">
        <f t="shared" si="26"/>
        <v>4</v>
      </c>
      <c r="I246" t="str">
        <f t="shared" si="27"/>
        <v>15</v>
      </c>
    </row>
    <row r="247" spans="1:9" x14ac:dyDescent="0.25">
      <c r="A247" s="19">
        <v>41290</v>
      </c>
      <c r="B247" s="20">
        <v>3.9583333333333331E-2</v>
      </c>
      <c r="C247" t="str">
        <f t="shared" si="21"/>
        <v>13</v>
      </c>
      <c r="D247" t="str">
        <f t="shared" si="22"/>
        <v>01</v>
      </c>
      <c r="E247" t="str">
        <f t="shared" si="23"/>
        <v>16</v>
      </c>
      <c r="F247">
        <f t="shared" si="24"/>
        <v>2013</v>
      </c>
      <c r="G247">
        <f t="shared" si="25"/>
        <v>1</v>
      </c>
      <c r="H247">
        <f t="shared" si="26"/>
        <v>16</v>
      </c>
      <c r="I247" t="str">
        <f t="shared" si="27"/>
        <v>13</v>
      </c>
    </row>
    <row r="248" spans="1:9" x14ac:dyDescent="0.25">
      <c r="A248" s="19">
        <v>42319</v>
      </c>
      <c r="B248" s="20">
        <v>3.4722222222222224E-2</v>
      </c>
      <c r="C248" t="str">
        <f t="shared" si="21"/>
        <v>15</v>
      </c>
      <c r="D248" t="str">
        <f t="shared" si="22"/>
        <v>11</v>
      </c>
      <c r="E248" t="str">
        <f t="shared" si="23"/>
        <v>11</v>
      </c>
      <c r="F248">
        <f t="shared" si="24"/>
        <v>2015</v>
      </c>
      <c r="G248">
        <f t="shared" si="25"/>
        <v>11</v>
      </c>
      <c r="H248">
        <f t="shared" si="26"/>
        <v>11</v>
      </c>
      <c r="I248" t="str">
        <f t="shared" si="27"/>
        <v>15</v>
      </c>
    </row>
    <row r="249" spans="1:9" x14ac:dyDescent="0.25">
      <c r="A249" s="19">
        <v>41768</v>
      </c>
      <c r="B249" s="20">
        <v>0.99722222222222223</v>
      </c>
      <c r="C249" t="str">
        <f t="shared" si="21"/>
        <v>14</v>
      </c>
      <c r="D249" t="str">
        <f t="shared" si="22"/>
        <v>05</v>
      </c>
      <c r="E249" t="str">
        <f t="shared" si="23"/>
        <v>09</v>
      </c>
      <c r="F249">
        <f t="shared" si="24"/>
        <v>2014</v>
      </c>
      <c r="G249">
        <f t="shared" si="25"/>
        <v>5</v>
      </c>
      <c r="H249">
        <f t="shared" si="26"/>
        <v>9</v>
      </c>
      <c r="I249" t="str">
        <f t="shared" si="27"/>
        <v>14</v>
      </c>
    </row>
    <row r="250" spans="1:9" x14ac:dyDescent="0.25">
      <c r="A250" s="19">
        <v>41822</v>
      </c>
      <c r="B250" s="20">
        <v>0.98750000000000004</v>
      </c>
      <c r="C250" t="str">
        <f t="shared" si="21"/>
        <v>14</v>
      </c>
      <c r="D250" t="str">
        <f t="shared" si="22"/>
        <v>07</v>
      </c>
      <c r="E250" t="str">
        <f t="shared" si="23"/>
        <v>02</v>
      </c>
      <c r="F250">
        <f t="shared" si="24"/>
        <v>2014</v>
      </c>
      <c r="G250">
        <f t="shared" si="25"/>
        <v>7</v>
      </c>
      <c r="H250">
        <f t="shared" si="26"/>
        <v>2</v>
      </c>
      <c r="I250" t="str">
        <f t="shared" si="27"/>
        <v>14</v>
      </c>
    </row>
    <row r="251" spans="1:9" x14ac:dyDescent="0.25">
      <c r="A251" s="19">
        <v>42238</v>
      </c>
      <c r="B251" s="20">
        <v>1.2500000000000001E-2</v>
      </c>
      <c r="C251" t="str">
        <f t="shared" si="21"/>
        <v>15</v>
      </c>
      <c r="D251" t="str">
        <f t="shared" si="22"/>
        <v>08</v>
      </c>
      <c r="E251" t="str">
        <f t="shared" si="23"/>
        <v>22</v>
      </c>
      <c r="F251">
        <f t="shared" si="24"/>
        <v>2015</v>
      </c>
      <c r="G251">
        <f t="shared" si="25"/>
        <v>8</v>
      </c>
      <c r="H251">
        <f t="shared" si="26"/>
        <v>22</v>
      </c>
      <c r="I251" t="str">
        <f t="shared" si="27"/>
        <v>15</v>
      </c>
    </row>
    <row r="252" spans="1:9" x14ac:dyDescent="0.25">
      <c r="A252" s="19">
        <v>42386</v>
      </c>
      <c r="B252" s="20">
        <v>3.5416666666666666E-2</v>
      </c>
      <c r="C252" t="str">
        <f t="shared" si="21"/>
        <v>16</v>
      </c>
      <c r="D252" t="str">
        <f t="shared" si="22"/>
        <v>01</v>
      </c>
      <c r="E252" t="str">
        <f t="shared" si="23"/>
        <v>17</v>
      </c>
      <c r="F252">
        <f t="shared" si="24"/>
        <v>2016</v>
      </c>
      <c r="G252">
        <f t="shared" si="25"/>
        <v>1</v>
      </c>
      <c r="H252">
        <f t="shared" si="26"/>
        <v>17</v>
      </c>
      <c r="I252" t="str">
        <f t="shared" si="27"/>
        <v>16</v>
      </c>
    </row>
    <row r="253" spans="1:9" x14ac:dyDescent="0.25">
      <c r="A253" s="19">
        <v>42057</v>
      </c>
      <c r="B253" s="20">
        <v>1.5277777777777777E-2</v>
      </c>
      <c r="C253" t="str">
        <f t="shared" si="21"/>
        <v>15</v>
      </c>
      <c r="D253" t="str">
        <f t="shared" si="22"/>
        <v>02</v>
      </c>
      <c r="E253" t="str">
        <f t="shared" si="23"/>
        <v>22</v>
      </c>
      <c r="F253">
        <f t="shared" si="24"/>
        <v>2015</v>
      </c>
      <c r="G253">
        <f t="shared" si="25"/>
        <v>2</v>
      </c>
      <c r="H253">
        <f t="shared" si="26"/>
        <v>22</v>
      </c>
      <c r="I253" t="str">
        <f t="shared" si="27"/>
        <v>15</v>
      </c>
    </row>
    <row r="254" spans="1:9" x14ac:dyDescent="0.25">
      <c r="A254" s="19">
        <v>42424</v>
      </c>
      <c r="B254" s="20">
        <v>3.8194444444444448E-2</v>
      </c>
      <c r="C254" t="str">
        <f t="shared" si="21"/>
        <v>16</v>
      </c>
      <c r="D254" t="str">
        <f t="shared" si="22"/>
        <v>02</v>
      </c>
      <c r="E254" t="str">
        <f t="shared" si="23"/>
        <v>24</v>
      </c>
      <c r="F254">
        <f t="shared" si="24"/>
        <v>2016</v>
      </c>
      <c r="G254">
        <f t="shared" si="25"/>
        <v>2</v>
      </c>
      <c r="H254">
        <f t="shared" si="26"/>
        <v>24</v>
      </c>
      <c r="I254" t="str">
        <f t="shared" si="27"/>
        <v>16</v>
      </c>
    </row>
    <row r="255" spans="1:9" x14ac:dyDescent="0.25">
      <c r="A255" s="19">
        <v>42698</v>
      </c>
      <c r="B255" s="20">
        <v>0.97777777777777775</v>
      </c>
      <c r="C255" t="str">
        <f t="shared" si="21"/>
        <v>16</v>
      </c>
      <c r="D255" t="str">
        <f t="shared" si="22"/>
        <v>11</v>
      </c>
      <c r="E255" t="str">
        <f t="shared" si="23"/>
        <v>24</v>
      </c>
      <c r="F255">
        <f t="shared" si="24"/>
        <v>2016</v>
      </c>
      <c r="G255">
        <f t="shared" si="25"/>
        <v>11</v>
      </c>
      <c r="H255">
        <f t="shared" si="26"/>
        <v>24</v>
      </c>
      <c r="I255" t="str">
        <f t="shared" si="27"/>
        <v>16</v>
      </c>
    </row>
    <row r="256" spans="1:9" x14ac:dyDescent="0.25">
      <c r="A256" s="19">
        <v>42430</v>
      </c>
      <c r="B256" s="20">
        <v>0.99444444444444446</v>
      </c>
      <c r="C256" t="str">
        <f t="shared" si="21"/>
        <v>16</v>
      </c>
      <c r="D256" t="str">
        <f t="shared" si="22"/>
        <v>03</v>
      </c>
      <c r="E256" t="str">
        <f t="shared" si="23"/>
        <v>01</v>
      </c>
      <c r="F256">
        <f t="shared" si="24"/>
        <v>2016</v>
      </c>
      <c r="G256">
        <f t="shared" si="25"/>
        <v>3</v>
      </c>
      <c r="H256">
        <f t="shared" si="26"/>
        <v>1</v>
      </c>
      <c r="I256" t="str">
        <f t="shared" si="27"/>
        <v>16</v>
      </c>
    </row>
    <row r="257" spans="1:9" x14ac:dyDescent="0.25">
      <c r="A257" s="19">
        <v>41234</v>
      </c>
      <c r="B257" s="20">
        <v>7.8472222222222221E-2</v>
      </c>
      <c r="C257" t="str">
        <f t="shared" si="21"/>
        <v>12</v>
      </c>
      <c r="D257" t="str">
        <f t="shared" si="22"/>
        <v>11</v>
      </c>
      <c r="E257" t="str">
        <f t="shared" si="23"/>
        <v>21</v>
      </c>
      <c r="F257">
        <f t="shared" si="24"/>
        <v>2012</v>
      </c>
      <c r="G257">
        <f t="shared" si="25"/>
        <v>11</v>
      </c>
      <c r="H257">
        <f t="shared" si="26"/>
        <v>21</v>
      </c>
      <c r="I257" t="str">
        <f t="shared" si="27"/>
        <v>12</v>
      </c>
    </row>
    <row r="258" spans="1:9" x14ac:dyDescent="0.25">
      <c r="A258" s="19">
        <v>42229</v>
      </c>
      <c r="B258" s="20">
        <v>0.97083333333333333</v>
      </c>
      <c r="C258" t="str">
        <f t="shared" si="21"/>
        <v>15</v>
      </c>
      <c r="D258" t="str">
        <f t="shared" si="22"/>
        <v>08</v>
      </c>
      <c r="E258" t="str">
        <f t="shared" si="23"/>
        <v>13</v>
      </c>
      <c r="F258">
        <f t="shared" si="24"/>
        <v>2015</v>
      </c>
      <c r="G258">
        <f t="shared" si="25"/>
        <v>8</v>
      </c>
      <c r="H258">
        <f t="shared" si="26"/>
        <v>13</v>
      </c>
      <c r="I258" t="str">
        <f t="shared" si="27"/>
        <v>15</v>
      </c>
    </row>
    <row r="259" spans="1:9" x14ac:dyDescent="0.25">
      <c r="A259" s="19">
        <v>42222</v>
      </c>
      <c r="B259" s="20">
        <v>3.0555555555555555E-2</v>
      </c>
      <c r="C259" t="str">
        <f t="shared" ref="C259:C322" si="28">TEXT(A259,"YY")</f>
        <v>15</v>
      </c>
      <c r="D259" t="str">
        <f t="shared" ref="D259:D322" si="29">TEXT(A259,"mm")</f>
        <v>08</v>
      </c>
      <c r="E259" t="str">
        <f t="shared" ref="E259:E322" si="30">TEXT(A259,"dd")</f>
        <v>06</v>
      </c>
      <c r="F259">
        <f t="shared" ref="F259:F322" si="31">YEAR($A259)</f>
        <v>2015</v>
      </c>
      <c r="G259">
        <f t="shared" ref="G259:G322" si="32">MONTH($A259)</f>
        <v>8</v>
      </c>
      <c r="H259">
        <f t="shared" ref="H259:H322" si="33">DAY($A259)</f>
        <v>6</v>
      </c>
      <c r="I259" t="str">
        <f t="shared" ref="I259:I322" si="34">TEXT($A259,"YY")</f>
        <v>15</v>
      </c>
    </row>
    <row r="260" spans="1:9" x14ac:dyDescent="0.25">
      <c r="A260" s="19">
        <v>42221</v>
      </c>
      <c r="B260" s="20">
        <v>0.97222222222222221</v>
      </c>
      <c r="C260" t="str">
        <f t="shared" si="28"/>
        <v>15</v>
      </c>
      <c r="D260" t="str">
        <f t="shared" si="29"/>
        <v>08</v>
      </c>
      <c r="E260" t="str">
        <f t="shared" si="30"/>
        <v>05</v>
      </c>
      <c r="F260">
        <f t="shared" si="31"/>
        <v>2015</v>
      </c>
      <c r="G260">
        <f t="shared" si="32"/>
        <v>8</v>
      </c>
      <c r="H260">
        <f t="shared" si="33"/>
        <v>5</v>
      </c>
      <c r="I260" t="str">
        <f t="shared" si="34"/>
        <v>15</v>
      </c>
    </row>
    <row r="261" spans="1:9" x14ac:dyDescent="0.25">
      <c r="A261" s="19">
        <v>41028</v>
      </c>
      <c r="B261" s="20">
        <v>0.97569444444444442</v>
      </c>
      <c r="C261" t="str">
        <f t="shared" si="28"/>
        <v>12</v>
      </c>
      <c r="D261" t="str">
        <f t="shared" si="29"/>
        <v>04</v>
      </c>
      <c r="E261" t="str">
        <f t="shared" si="30"/>
        <v>29</v>
      </c>
      <c r="F261">
        <f t="shared" si="31"/>
        <v>2012</v>
      </c>
      <c r="G261">
        <f t="shared" si="32"/>
        <v>4</v>
      </c>
      <c r="H261">
        <f t="shared" si="33"/>
        <v>29</v>
      </c>
      <c r="I261" t="str">
        <f t="shared" si="34"/>
        <v>12</v>
      </c>
    </row>
    <row r="262" spans="1:9" x14ac:dyDescent="0.25">
      <c r="A262" s="19">
        <v>42404</v>
      </c>
      <c r="B262" s="20">
        <v>5.6944444444444443E-2</v>
      </c>
      <c r="C262" t="str">
        <f t="shared" si="28"/>
        <v>16</v>
      </c>
      <c r="D262" t="str">
        <f t="shared" si="29"/>
        <v>02</v>
      </c>
      <c r="E262" t="str">
        <f t="shared" si="30"/>
        <v>04</v>
      </c>
      <c r="F262">
        <f t="shared" si="31"/>
        <v>2016</v>
      </c>
      <c r="G262">
        <f t="shared" si="32"/>
        <v>2</v>
      </c>
      <c r="H262">
        <f t="shared" si="33"/>
        <v>4</v>
      </c>
      <c r="I262" t="str">
        <f t="shared" si="34"/>
        <v>16</v>
      </c>
    </row>
    <row r="263" spans="1:9" x14ac:dyDescent="0.25">
      <c r="A263" s="19">
        <v>42425</v>
      </c>
      <c r="B263" s="20">
        <v>0.94166666666666665</v>
      </c>
      <c r="C263" t="str">
        <f t="shared" si="28"/>
        <v>16</v>
      </c>
      <c r="D263" t="str">
        <f t="shared" si="29"/>
        <v>02</v>
      </c>
      <c r="E263" t="str">
        <f t="shared" si="30"/>
        <v>25</v>
      </c>
      <c r="F263">
        <f t="shared" si="31"/>
        <v>2016</v>
      </c>
      <c r="G263">
        <f t="shared" si="32"/>
        <v>2</v>
      </c>
      <c r="H263">
        <f t="shared" si="33"/>
        <v>25</v>
      </c>
      <c r="I263" t="str">
        <f t="shared" si="34"/>
        <v>16</v>
      </c>
    </row>
    <row r="264" spans="1:9" x14ac:dyDescent="0.25">
      <c r="A264" s="19">
        <v>41412</v>
      </c>
      <c r="B264" s="20">
        <v>2.7777777777777776E-2</v>
      </c>
      <c r="C264" t="str">
        <f t="shared" si="28"/>
        <v>13</v>
      </c>
      <c r="D264" t="str">
        <f t="shared" si="29"/>
        <v>05</v>
      </c>
      <c r="E264" t="str">
        <f t="shared" si="30"/>
        <v>18</v>
      </c>
      <c r="F264">
        <f t="shared" si="31"/>
        <v>2013</v>
      </c>
      <c r="G264">
        <f t="shared" si="32"/>
        <v>5</v>
      </c>
      <c r="H264">
        <f t="shared" si="33"/>
        <v>18</v>
      </c>
      <c r="I264" t="str">
        <f t="shared" si="34"/>
        <v>13</v>
      </c>
    </row>
    <row r="265" spans="1:9" x14ac:dyDescent="0.25">
      <c r="A265" s="19">
        <v>41774</v>
      </c>
      <c r="B265" s="20">
        <v>0.94097222222222221</v>
      </c>
      <c r="C265" t="str">
        <f t="shared" si="28"/>
        <v>14</v>
      </c>
      <c r="D265" t="str">
        <f t="shared" si="29"/>
        <v>05</v>
      </c>
      <c r="E265" t="str">
        <f t="shared" si="30"/>
        <v>15</v>
      </c>
      <c r="F265">
        <f t="shared" si="31"/>
        <v>2014</v>
      </c>
      <c r="G265">
        <f t="shared" si="32"/>
        <v>5</v>
      </c>
      <c r="H265">
        <f t="shared" si="33"/>
        <v>15</v>
      </c>
      <c r="I265" t="str">
        <f t="shared" si="34"/>
        <v>14</v>
      </c>
    </row>
    <row r="266" spans="1:9" x14ac:dyDescent="0.25">
      <c r="A266" s="19">
        <v>41353</v>
      </c>
      <c r="B266" s="20">
        <v>3.472222222222222E-3</v>
      </c>
      <c r="C266" t="str">
        <f t="shared" si="28"/>
        <v>13</v>
      </c>
      <c r="D266" t="str">
        <f t="shared" si="29"/>
        <v>03</v>
      </c>
      <c r="E266" t="str">
        <f t="shared" si="30"/>
        <v>20</v>
      </c>
      <c r="F266">
        <f t="shared" si="31"/>
        <v>2013</v>
      </c>
      <c r="G266">
        <f t="shared" si="32"/>
        <v>3</v>
      </c>
      <c r="H266">
        <f t="shared" si="33"/>
        <v>20</v>
      </c>
      <c r="I266" t="str">
        <f t="shared" si="34"/>
        <v>13</v>
      </c>
    </row>
    <row r="267" spans="1:9" x14ac:dyDescent="0.25">
      <c r="A267" s="19">
        <v>41429</v>
      </c>
      <c r="B267" s="20">
        <v>7.9166666666666663E-2</v>
      </c>
      <c r="C267" t="str">
        <f t="shared" si="28"/>
        <v>13</v>
      </c>
      <c r="D267" t="str">
        <f t="shared" si="29"/>
        <v>06</v>
      </c>
      <c r="E267" t="str">
        <f t="shared" si="30"/>
        <v>04</v>
      </c>
      <c r="F267">
        <f t="shared" si="31"/>
        <v>2013</v>
      </c>
      <c r="G267">
        <f t="shared" si="32"/>
        <v>6</v>
      </c>
      <c r="H267">
        <f t="shared" si="33"/>
        <v>4</v>
      </c>
      <c r="I267" t="str">
        <f t="shared" si="34"/>
        <v>13</v>
      </c>
    </row>
    <row r="268" spans="1:9" x14ac:dyDescent="0.25">
      <c r="A268" s="19">
        <v>41925</v>
      </c>
      <c r="B268" s="20">
        <v>2.2916666666666665E-2</v>
      </c>
      <c r="C268" t="str">
        <f t="shared" si="28"/>
        <v>14</v>
      </c>
      <c r="D268" t="str">
        <f t="shared" si="29"/>
        <v>10</v>
      </c>
      <c r="E268" t="str">
        <f t="shared" si="30"/>
        <v>13</v>
      </c>
      <c r="F268">
        <f t="shared" si="31"/>
        <v>2014</v>
      </c>
      <c r="G268">
        <f t="shared" si="32"/>
        <v>10</v>
      </c>
      <c r="H268">
        <f t="shared" si="33"/>
        <v>13</v>
      </c>
      <c r="I268" t="str">
        <f t="shared" si="34"/>
        <v>14</v>
      </c>
    </row>
    <row r="269" spans="1:9" x14ac:dyDescent="0.25">
      <c r="A269" s="19">
        <v>42722</v>
      </c>
      <c r="B269" s="20">
        <v>0.95902777777777781</v>
      </c>
      <c r="C269" t="str">
        <f t="shared" si="28"/>
        <v>16</v>
      </c>
      <c r="D269" t="str">
        <f t="shared" si="29"/>
        <v>12</v>
      </c>
      <c r="E269" t="str">
        <f t="shared" si="30"/>
        <v>18</v>
      </c>
      <c r="F269">
        <f t="shared" si="31"/>
        <v>2016</v>
      </c>
      <c r="G269">
        <f t="shared" si="32"/>
        <v>12</v>
      </c>
      <c r="H269">
        <f t="shared" si="33"/>
        <v>18</v>
      </c>
      <c r="I269" t="str">
        <f t="shared" si="34"/>
        <v>16</v>
      </c>
    </row>
    <row r="270" spans="1:9" x14ac:dyDescent="0.25">
      <c r="A270" s="19">
        <v>41563</v>
      </c>
      <c r="B270" s="20">
        <v>2.4305555555555556E-2</v>
      </c>
      <c r="C270" t="str">
        <f t="shared" si="28"/>
        <v>13</v>
      </c>
      <c r="D270" t="str">
        <f t="shared" si="29"/>
        <v>10</v>
      </c>
      <c r="E270" t="str">
        <f t="shared" si="30"/>
        <v>16</v>
      </c>
      <c r="F270">
        <f t="shared" si="31"/>
        <v>2013</v>
      </c>
      <c r="G270">
        <f t="shared" si="32"/>
        <v>10</v>
      </c>
      <c r="H270">
        <f t="shared" si="33"/>
        <v>16</v>
      </c>
      <c r="I270" t="str">
        <f t="shared" si="34"/>
        <v>13</v>
      </c>
    </row>
    <row r="271" spans="1:9" x14ac:dyDescent="0.25">
      <c r="A271" s="19">
        <v>41826</v>
      </c>
      <c r="B271" s="20">
        <v>2.0833333333333333E-3</v>
      </c>
      <c r="C271" t="str">
        <f t="shared" si="28"/>
        <v>14</v>
      </c>
      <c r="D271" t="str">
        <f t="shared" si="29"/>
        <v>07</v>
      </c>
      <c r="E271" t="str">
        <f t="shared" si="30"/>
        <v>06</v>
      </c>
      <c r="F271">
        <f t="shared" si="31"/>
        <v>2014</v>
      </c>
      <c r="G271">
        <f t="shared" si="32"/>
        <v>7</v>
      </c>
      <c r="H271">
        <f t="shared" si="33"/>
        <v>6</v>
      </c>
      <c r="I271" t="str">
        <f t="shared" si="34"/>
        <v>14</v>
      </c>
    </row>
    <row r="272" spans="1:9" x14ac:dyDescent="0.25">
      <c r="A272" s="19">
        <v>42596</v>
      </c>
      <c r="B272" s="20">
        <v>0.95972222222222225</v>
      </c>
      <c r="C272" t="str">
        <f t="shared" si="28"/>
        <v>16</v>
      </c>
      <c r="D272" t="str">
        <f t="shared" si="29"/>
        <v>08</v>
      </c>
      <c r="E272" t="str">
        <f t="shared" si="30"/>
        <v>14</v>
      </c>
      <c r="F272">
        <f t="shared" si="31"/>
        <v>2016</v>
      </c>
      <c r="G272">
        <f t="shared" si="32"/>
        <v>8</v>
      </c>
      <c r="H272">
        <f t="shared" si="33"/>
        <v>14</v>
      </c>
      <c r="I272" t="str">
        <f t="shared" si="34"/>
        <v>16</v>
      </c>
    </row>
    <row r="273" spans="1:9" x14ac:dyDescent="0.25">
      <c r="A273" s="19">
        <v>41863</v>
      </c>
      <c r="B273" s="20">
        <v>4.027777777777778E-2</v>
      </c>
      <c r="C273" t="str">
        <f t="shared" si="28"/>
        <v>14</v>
      </c>
      <c r="D273" t="str">
        <f t="shared" si="29"/>
        <v>08</v>
      </c>
      <c r="E273" t="str">
        <f t="shared" si="30"/>
        <v>12</v>
      </c>
      <c r="F273">
        <f t="shared" si="31"/>
        <v>2014</v>
      </c>
      <c r="G273">
        <f t="shared" si="32"/>
        <v>8</v>
      </c>
      <c r="H273">
        <f t="shared" si="33"/>
        <v>12</v>
      </c>
      <c r="I273" t="str">
        <f t="shared" si="34"/>
        <v>14</v>
      </c>
    </row>
    <row r="274" spans="1:9" x14ac:dyDescent="0.25">
      <c r="A274" s="19">
        <v>42110</v>
      </c>
      <c r="B274" s="20">
        <v>0.94444444444444442</v>
      </c>
      <c r="C274" t="str">
        <f t="shared" si="28"/>
        <v>15</v>
      </c>
      <c r="D274" t="str">
        <f t="shared" si="29"/>
        <v>04</v>
      </c>
      <c r="E274" t="str">
        <f t="shared" si="30"/>
        <v>16</v>
      </c>
      <c r="F274">
        <f t="shared" si="31"/>
        <v>2015</v>
      </c>
      <c r="G274">
        <f t="shared" si="32"/>
        <v>4</v>
      </c>
      <c r="H274">
        <f t="shared" si="33"/>
        <v>16</v>
      </c>
      <c r="I274" t="str">
        <f t="shared" si="34"/>
        <v>15</v>
      </c>
    </row>
    <row r="275" spans="1:9" x14ac:dyDescent="0.25">
      <c r="A275" s="19">
        <v>40976</v>
      </c>
      <c r="B275" s="20">
        <v>8.819444444444445E-2</v>
      </c>
      <c r="C275" t="str">
        <f t="shared" si="28"/>
        <v>12</v>
      </c>
      <c r="D275" t="str">
        <f t="shared" si="29"/>
        <v>03</v>
      </c>
      <c r="E275" t="str">
        <f t="shared" si="30"/>
        <v>08</v>
      </c>
      <c r="F275">
        <f t="shared" si="31"/>
        <v>2012</v>
      </c>
      <c r="G275">
        <f t="shared" si="32"/>
        <v>3</v>
      </c>
      <c r="H275">
        <f t="shared" si="33"/>
        <v>8</v>
      </c>
      <c r="I275" t="str">
        <f t="shared" si="34"/>
        <v>12</v>
      </c>
    </row>
    <row r="276" spans="1:9" x14ac:dyDescent="0.25">
      <c r="A276" s="19">
        <v>41371</v>
      </c>
      <c r="B276" s="20">
        <v>5.6944444444444443E-2</v>
      </c>
      <c r="C276" t="str">
        <f t="shared" si="28"/>
        <v>13</v>
      </c>
      <c r="D276" t="str">
        <f t="shared" si="29"/>
        <v>04</v>
      </c>
      <c r="E276" t="str">
        <f t="shared" si="30"/>
        <v>07</v>
      </c>
      <c r="F276">
        <f t="shared" si="31"/>
        <v>2013</v>
      </c>
      <c r="G276">
        <f t="shared" si="32"/>
        <v>4</v>
      </c>
      <c r="H276">
        <f t="shared" si="33"/>
        <v>7</v>
      </c>
      <c r="I276" t="str">
        <f t="shared" si="34"/>
        <v>13</v>
      </c>
    </row>
    <row r="277" spans="1:9" x14ac:dyDescent="0.25">
      <c r="A277" s="19">
        <v>41933</v>
      </c>
      <c r="B277" s="20">
        <v>8.3333333333333332E-3</v>
      </c>
      <c r="C277" t="str">
        <f t="shared" si="28"/>
        <v>14</v>
      </c>
      <c r="D277" t="str">
        <f t="shared" si="29"/>
        <v>10</v>
      </c>
      <c r="E277" t="str">
        <f t="shared" si="30"/>
        <v>21</v>
      </c>
      <c r="F277">
        <f t="shared" si="31"/>
        <v>2014</v>
      </c>
      <c r="G277">
        <f t="shared" si="32"/>
        <v>10</v>
      </c>
      <c r="H277">
        <f t="shared" si="33"/>
        <v>21</v>
      </c>
      <c r="I277" t="str">
        <f t="shared" si="34"/>
        <v>14</v>
      </c>
    </row>
    <row r="278" spans="1:9" x14ac:dyDescent="0.25">
      <c r="A278" s="19">
        <v>40944</v>
      </c>
      <c r="B278" s="20">
        <v>0.98888888888888893</v>
      </c>
      <c r="C278" t="str">
        <f t="shared" si="28"/>
        <v>12</v>
      </c>
      <c r="D278" t="str">
        <f t="shared" si="29"/>
        <v>02</v>
      </c>
      <c r="E278" t="str">
        <f t="shared" si="30"/>
        <v>05</v>
      </c>
      <c r="F278">
        <f t="shared" si="31"/>
        <v>2012</v>
      </c>
      <c r="G278">
        <f t="shared" si="32"/>
        <v>2</v>
      </c>
      <c r="H278">
        <f t="shared" si="33"/>
        <v>5</v>
      </c>
      <c r="I278" t="str">
        <f t="shared" si="34"/>
        <v>12</v>
      </c>
    </row>
    <row r="279" spans="1:9" x14ac:dyDescent="0.25">
      <c r="A279" s="19">
        <v>41599</v>
      </c>
      <c r="B279" s="20">
        <v>0.95902777777777781</v>
      </c>
      <c r="C279" t="str">
        <f t="shared" si="28"/>
        <v>13</v>
      </c>
      <c r="D279" t="str">
        <f t="shared" si="29"/>
        <v>11</v>
      </c>
      <c r="E279" t="str">
        <f t="shared" si="30"/>
        <v>21</v>
      </c>
      <c r="F279">
        <f t="shared" si="31"/>
        <v>2013</v>
      </c>
      <c r="G279">
        <f t="shared" si="32"/>
        <v>11</v>
      </c>
      <c r="H279">
        <f t="shared" si="33"/>
        <v>21</v>
      </c>
      <c r="I279" t="str">
        <f t="shared" si="34"/>
        <v>13</v>
      </c>
    </row>
    <row r="280" spans="1:9" x14ac:dyDescent="0.25">
      <c r="A280" s="19">
        <v>41025</v>
      </c>
      <c r="B280" s="20">
        <v>0.98611111111111116</v>
      </c>
      <c r="C280" t="str">
        <f t="shared" si="28"/>
        <v>12</v>
      </c>
      <c r="D280" t="str">
        <f t="shared" si="29"/>
        <v>04</v>
      </c>
      <c r="E280" t="str">
        <f t="shared" si="30"/>
        <v>26</v>
      </c>
      <c r="F280">
        <f t="shared" si="31"/>
        <v>2012</v>
      </c>
      <c r="G280">
        <f t="shared" si="32"/>
        <v>4</v>
      </c>
      <c r="H280">
        <f t="shared" si="33"/>
        <v>26</v>
      </c>
      <c r="I280" t="str">
        <f t="shared" si="34"/>
        <v>12</v>
      </c>
    </row>
    <row r="281" spans="1:9" x14ac:dyDescent="0.25">
      <c r="A281" s="19">
        <v>41350</v>
      </c>
      <c r="B281" s="20">
        <v>7.1527777777777773E-2</v>
      </c>
      <c r="C281" t="str">
        <f t="shared" si="28"/>
        <v>13</v>
      </c>
      <c r="D281" t="str">
        <f t="shared" si="29"/>
        <v>03</v>
      </c>
      <c r="E281" t="str">
        <f t="shared" si="30"/>
        <v>17</v>
      </c>
      <c r="F281">
        <f t="shared" si="31"/>
        <v>2013</v>
      </c>
      <c r="G281">
        <f t="shared" si="32"/>
        <v>3</v>
      </c>
      <c r="H281">
        <f t="shared" si="33"/>
        <v>17</v>
      </c>
      <c r="I281" t="str">
        <f t="shared" si="34"/>
        <v>13</v>
      </c>
    </row>
    <row r="282" spans="1:9" x14ac:dyDescent="0.25">
      <c r="A282" s="19">
        <v>42006</v>
      </c>
      <c r="B282" s="20">
        <v>2.7777777777777776E-2</v>
      </c>
      <c r="C282" t="str">
        <f t="shared" si="28"/>
        <v>15</v>
      </c>
      <c r="D282" t="str">
        <f t="shared" si="29"/>
        <v>01</v>
      </c>
      <c r="E282" t="str">
        <f t="shared" si="30"/>
        <v>02</v>
      </c>
      <c r="F282">
        <f t="shared" si="31"/>
        <v>2015</v>
      </c>
      <c r="G282">
        <f t="shared" si="32"/>
        <v>1</v>
      </c>
      <c r="H282">
        <f t="shared" si="33"/>
        <v>2</v>
      </c>
      <c r="I282" t="str">
        <f t="shared" si="34"/>
        <v>15</v>
      </c>
    </row>
    <row r="283" spans="1:9" x14ac:dyDescent="0.25">
      <c r="A283" s="19">
        <v>41949</v>
      </c>
      <c r="B283" s="20">
        <v>0.94722222222222219</v>
      </c>
      <c r="C283" t="str">
        <f t="shared" si="28"/>
        <v>14</v>
      </c>
      <c r="D283" t="str">
        <f t="shared" si="29"/>
        <v>11</v>
      </c>
      <c r="E283" t="str">
        <f t="shared" si="30"/>
        <v>06</v>
      </c>
      <c r="F283">
        <f t="shared" si="31"/>
        <v>2014</v>
      </c>
      <c r="G283">
        <f t="shared" si="32"/>
        <v>11</v>
      </c>
      <c r="H283">
        <f t="shared" si="33"/>
        <v>6</v>
      </c>
      <c r="I283" t="str">
        <f t="shared" si="34"/>
        <v>14</v>
      </c>
    </row>
    <row r="284" spans="1:9" x14ac:dyDescent="0.25">
      <c r="A284" s="19">
        <v>41159</v>
      </c>
      <c r="B284" s="20">
        <v>4.4444444444444446E-2</v>
      </c>
      <c r="C284" t="str">
        <f t="shared" si="28"/>
        <v>12</v>
      </c>
      <c r="D284" t="str">
        <f t="shared" si="29"/>
        <v>09</v>
      </c>
      <c r="E284" t="str">
        <f t="shared" si="30"/>
        <v>07</v>
      </c>
      <c r="F284">
        <f t="shared" si="31"/>
        <v>2012</v>
      </c>
      <c r="G284">
        <f t="shared" si="32"/>
        <v>9</v>
      </c>
      <c r="H284">
        <f t="shared" si="33"/>
        <v>7</v>
      </c>
      <c r="I284" t="str">
        <f t="shared" si="34"/>
        <v>12</v>
      </c>
    </row>
    <row r="285" spans="1:9" x14ac:dyDescent="0.25">
      <c r="A285" s="19">
        <v>41686</v>
      </c>
      <c r="B285" s="20">
        <v>1.7361111111111112E-2</v>
      </c>
      <c r="C285" t="str">
        <f t="shared" si="28"/>
        <v>14</v>
      </c>
      <c r="D285" t="str">
        <f t="shared" si="29"/>
        <v>02</v>
      </c>
      <c r="E285" t="str">
        <f t="shared" si="30"/>
        <v>16</v>
      </c>
      <c r="F285">
        <f t="shared" si="31"/>
        <v>2014</v>
      </c>
      <c r="G285">
        <f t="shared" si="32"/>
        <v>2</v>
      </c>
      <c r="H285">
        <f t="shared" si="33"/>
        <v>16</v>
      </c>
      <c r="I285" t="str">
        <f t="shared" si="34"/>
        <v>14</v>
      </c>
    </row>
    <row r="286" spans="1:9" x14ac:dyDescent="0.25">
      <c r="A286" s="19">
        <v>41967</v>
      </c>
      <c r="B286" s="20">
        <v>5.5555555555555558E-3</v>
      </c>
      <c r="C286" t="str">
        <f t="shared" si="28"/>
        <v>14</v>
      </c>
      <c r="D286" t="str">
        <f t="shared" si="29"/>
        <v>11</v>
      </c>
      <c r="E286" t="str">
        <f t="shared" si="30"/>
        <v>24</v>
      </c>
      <c r="F286">
        <f t="shared" si="31"/>
        <v>2014</v>
      </c>
      <c r="G286">
        <f t="shared" si="32"/>
        <v>11</v>
      </c>
      <c r="H286">
        <f t="shared" si="33"/>
        <v>24</v>
      </c>
      <c r="I286" t="str">
        <f t="shared" si="34"/>
        <v>14</v>
      </c>
    </row>
    <row r="287" spans="1:9" x14ac:dyDescent="0.25">
      <c r="A287" s="19">
        <v>40923</v>
      </c>
      <c r="B287" s="20">
        <v>4.791666666666667E-2</v>
      </c>
      <c r="C287" t="str">
        <f t="shared" si="28"/>
        <v>12</v>
      </c>
      <c r="D287" t="str">
        <f t="shared" si="29"/>
        <v>01</v>
      </c>
      <c r="E287" t="str">
        <f t="shared" si="30"/>
        <v>15</v>
      </c>
      <c r="F287">
        <f t="shared" si="31"/>
        <v>2012</v>
      </c>
      <c r="G287">
        <f t="shared" si="32"/>
        <v>1</v>
      </c>
      <c r="H287">
        <f t="shared" si="33"/>
        <v>15</v>
      </c>
      <c r="I287" t="str">
        <f t="shared" si="34"/>
        <v>12</v>
      </c>
    </row>
    <row r="288" spans="1:9" x14ac:dyDescent="0.25">
      <c r="A288" s="19">
        <v>42272</v>
      </c>
      <c r="B288" s="20">
        <v>5.0694444444444445E-2</v>
      </c>
      <c r="C288" t="str">
        <f t="shared" si="28"/>
        <v>15</v>
      </c>
      <c r="D288" t="str">
        <f t="shared" si="29"/>
        <v>09</v>
      </c>
      <c r="E288" t="str">
        <f t="shared" si="30"/>
        <v>25</v>
      </c>
      <c r="F288">
        <f t="shared" si="31"/>
        <v>2015</v>
      </c>
      <c r="G288">
        <f t="shared" si="32"/>
        <v>9</v>
      </c>
      <c r="H288">
        <f t="shared" si="33"/>
        <v>25</v>
      </c>
      <c r="I288" t="str">
        <f t="shared" si="34"/>
        <v>15</v>
      </c>
    </row>
    <row r="289" spans="1:9" x14ac:dyDescent="0.25">
      <c r="A289" s="19">
        <v>41152</v>
      </c>
      <c r="B289" s="20">
        <v>3.888888888888889E-2</v>
      </c>
      <c r="C289" t="str">
        <f t="shared" si="28"/>
        <v>12</v>
      </c>
      <c r="D289" t="str">
        <f t="shared" si="29"/>
        <v>08</v>
      </c>
      <c r="E289" t="str">
        <f t="shared" si="30"/>
        <v>31</v>
      </c>
      <c r="F289">
        <f t="shared" si="31"/>
        <v>2012</v>
      </c>
      <c r="G289">
        <f t="shared" si="32"/>
        <v>8</v>
      </c>
      <c r="H289">
        <f t="shared" si="33"/>
        <v>31</v>
      </c>
      <c r="I289" t="str">
        <f t="shared" si="34"/>
        <v>12</v>
      </c>
    </row>
    <row r="290" spans="1:9" x14ac:dyDescent="0.25">
      <c r="A290" s="19">
        <v>40942</v>
      </c>
      <c r="B290" s="20">
        <v>1.8055555555555554E-2</v>
      </c>
      <c r="C290" t="str">
        <f t="shared" si="28"/>
        <v>12</v>
      </c>
      <c r="D290" t="str">
        <f t="shared" si="29"/>
        <v>02</v>
      </c>
      <c r="E290" t="str">
        <f t="shared" si="30"/>
        <v>03</v>
      </c>
      <c r="F290">
        <f t="shared" si="31"/>
        <v>2012</v>
      </c>
      <c r="G290">
        <f t="shared" si="32"/>
        <v>2</v>
      </c>
      <c r="H290">
        <f t="shared" si="33"/>
        <v>3</v>
      </c>
      <c r="I290" t="str">
        <f t="shared" si="34"/>
        <v>12</v>
      </c>
    </row>
    <row r="291" spans="1:9" x14ac:dyDescent="0.25">
      <c r="A291" s="19">
        <v>41317</v>
      </c>
      <c r="B291" s="20">
        <v>3.0555555555555555E-2</v>
      </c>
      <c r="C291" t="str">
        <f t="shared" si="28"/>
        <v>13</v>
      </c>
      <c r="D291" t="str">
        <f t="shared" si="29"/>
        <v>02</v>
      </c>
      <c r="E291" t="str">
        <f t="shared" si="30"/>
        <v>12</v>
      </c>
      <c r="F291">
        <f t="shared" si="31"/>
        <v>2013</v>
      </c>
      <c r="G291">
        <f t="shared" si="32"/>
        <v>2</v>
      </c>
      <c r="H291">
        <f t="shared" si="33"/>
        <v>12</v>
      </c>
      <c r="I291" t="str">
        <f t="shared" si="34"/>
        <v>13</v>
      </c>
    </row>
    <row r="292" spans="1:9" x14ac:dyDescent="0.25">
      <c r="A292" s="19">
        <v>41479</v>
      </c>
      <c r="B292" s="20">
        <v>5.7638888888888892E-2</v>
      </c>
      <c r="C292" t="str">
        <f t="shared" si="28"/>
        <v>13</v>
      </c>
      <c r="D292" t="str">
        <f t="shared" si="29"/>
        <v>07</v>
      </c>
      <c r="E292" t="str">
        <f t="shared" si="30"/>
        <v>24</v>
      </c>
      <c r="F292">
        <f t="shared" si="31"/>
        <v>2013</v>
      </c>
      <c r="G292">
        <f t="shared" si="32"/>
        <v>7</v>
      </c>
      <c r="H292">
        <f t="shared" si="33"/>
        <v>24</v>
      </c>
      <c r="I292" t="str">
        <f t="shared" si="34"/>
        <v>13</v>
      </c>
    </row>
    <row r="293" spans="1:9" x14ac:dyDescent="0.25">
      <c r="A293" s="19">
        <v>41415</v>
      </c>
      <c r="B293" s="20">
        <v>3.1944444444444442E-2</v>
      </c>
      <c r="C293" t="str">
        <f t="shared" si="28"/>
        <v>13</v>
      </c>
      <c r="D293" t="str">
        <f t="shared" si="29"/>
        <v>05</v>
      </c>
      <c r="E293" t="str">
        <f t="shared" si="30"/>
        <v>21</v>
      </c>
      <c r="F293">
        <f t="shared" si="31"/>
        <v>2013</v>
      </c>
      <c r="G293">
        <f t="shared" si="32"/>
        <v>5</v>
      </c>
      <c r="H293">
        <f t="shared" si="33"/>
        <v>21</v>
      </c>
      <c r="I293" t="str">
        <f t="shared" si="34"/>
        <v>13</v>
      </c>
    </row>
    <row r="294" spans="1:9" x14ac:dyDescent="0.25">
      <c r="A294" s="19">
        <v>41246</v>
      </c>
      <c r="B294" s="20">
        <v>0.97222222222222221</v>
      </c>
      <c r="C294" t="str">
        <f t="shared" si="28"/>
        <v>12</v>
      </c>
      <c r="D294" t="str">
        <f t="shared" si="29"/>
        <v>12</v>
      </c>
      <c r="E294" t="str">
        <f t="shared" si="30"/>
        <v>03</v>
      </c>
      <c r="F294">
        <f t="shared" si="31"/>
        <v>2012</v>
      </c>
      <c r="G294">
        <f t="shared" si="32"/>
        <v>12</v>
      </c>
      <c r="H294">
        <f t="shared" si="33"/>
        <v>3</v>
      </c>
      <c r="I294" t="str">
        <f t="shared" si="34"/>
        <v>12</v>
      </c>
    </row>
    <row r="295" spans="1:9" x14ac:dyDescent="0.25">
      <c r="A295" s="19">
        <v>40995</v>
      </c>
      <c r="B295" s="20">
        <v>5.8333333333333334E-2</v>
      </c>
      <c r="C295" t="str">
        <f t="shared" si="28"/>
        <v>12</v>
      </c>
      <c r="D295" t="str">
        <f t="shared" si="29"/>
        <v>03</v>
      </c>
      <c r="E295" t="str">
        <f t="shared" si="30"/>
        <v>27</v>
      </c>
      <c r="F295">
        <f t="shared" si="31"/>
        <v>2012</v>
      </c>
      <c r="G295">
        <f t="shared" si="32"/>
        <v>3</v>
      </c>
      <c r="H295">
        <f t="shared" si="33"/>
        <v>27</v>
      </c>
      <c r="I295" t="str">
        <f t="shared" si="34"/>
        <v>12</v>
      </c>
    </row>
    <row r="296" spans="1:9" x14ac:dyDescent="0.25">
      <c r="A296" s="19">
        <v>41519</v>
      </c>
      <c r="B296" s="20">
        <v>3.8194444444444448E-2</v>
      </c>
      <c r="C296" t="str">
        <f t="shared" si="28"/>
        <v>13</v>
      </c>
      <c r="D296" t="str">
        <f t="shared" si="29"/>
        <v>09</v>
      </c>
      <c r="E296" t="str">
        <f t="shared" si="30"/>
        <v>02</v>
      </c>
      <c r="F296">
        <f t="shared" si="31"/>
        <v>2013</v>
      </c>
      <c r="G296">
        <f t="shared" si="32"/>
        <v>9</v>
      </c>
      <c r="H296">
        <f t="shared" si="33"/>
        <v>2</v>
      </c>
      <c r="I296" t="str">
        <f t="shared" si="34"/>
        <v>13</v>
      </c>
    </row>
    <row r="297" spans="1:9" x14ac:dyDescent="0.25">
      <c r="A297" s="19">
        <v>41278</v>
      </c>
      <c r="B297" s="20">
        <v>7.2916666666666671E-2</v>
      </c>
      <c r="C297" t="str">
        <f t="shared" si="28"/>
        <v>13</v>
      </c>
      <c r="D297" t="str">
        <f t="shared" si="29"/>
        <v>01</v>
      </c>
      <c r="E297" t="str">
        <f t="shared" si="30"/>
        <v>04</v>
      </c>
      <c r="F297">
        <f t="shared" si="31"/>
        <v>2013</v>
      </c>
      <c r="G297">
        <f t="shared" si="32"/>
        <v>1</v>
      </c>
      <c r="H297">
        <f t="shared" si="33"/>
        <v>4</v>
      </c>
      <c r="I297" t="str">
        <f t="shared" si="34"/>
        <v>13</v>
      </c>
    </row>
    <row r="298" spans="1:9" x14ac:dyDescent="0.25">
      <c r="A298" s="19">
        <v>41478</v>
      </c>
      <c r="B298" s="20">
        <v>0.98541666666666672</v>
      </c>
      <c r="C298" t="str">
        <f t="shared" si="28"/>
        <v>13</v>
      </c>
      <c r="D298" t="str">
        <f t="shared" si="29"/>
        <v>07</v>
      </c>
      <c r="E298" t="str">
        <f t="shared" si="30"/>
        <v>23</v>
      </c>
      <c r="F298">
        <f t="shared" si="31"/>
        <v>2013</v>
      </c>
      <c r="G298">
        <f t="shared" si="32"/>
        <v>7</v>
      </c>
      <c r="H298">
        <f t="shared" si="33"/>
        <v>23</v>
      </c>
      <c r="I298" t="str">
        <f t="shared" si="34"/>
        <v>13</v>
      </c>
    </row>
    <row r="299" spans="1:9" x14ac:dyDescent="0.25">
      <c r="A299" s="19">
        <v>42268</v>
      </c>
      <c r="B299" s="20">
        <v>5.0694444444444445E-2</v>
      </c>
      <c r="C299" t="str">
        <f t="shared" si="28"/>
        <v>15</v>
      </c>
      <c r="D299" t="str">
        <f t="shared" si="29"/>
        <v>09</v>
      </c>
      <c r="E299" t="str">
        <f t="shared" si="30"/>
        <v>21</v>
      </c>
      <c r="F299">
        <f t="shared" si="31"/>
        <v>2015</v>
      </c>
      <c r="G299">
        <f t="shared" si="32"/>
        <v>9</v>
      </c>
      <c r="H299">
        <f t="shared" si="33"/>
        <v>21</v>
      </c>
      <c r="I299" t="str">
        <f t="shared" si="34"/>
        <v>15</v>
      </c>
    </row>
    <row r="300" spans="1:9" x14ac:dyDescent="0.25">
      <c r="A300" s="19">
        <v>42111</v>
      </c>
      <c r="B300" s="20">
        <v>6.8750000000000006E-2</v>
      </c>
      <c r="C300" t="str">
        <f t="shared" si="28"/>
        <v>15</v>
      </c>
      <c r="D300" t="str">
        <f t="shared" si="29"/>
        <v>04</v>
      </c>
      <c r="E300" t="str">
        <f t="shared" si="30"/>
        <v>17</v>
      </c>
      <c r="F300">
        <f t="shared" si="31"/>
        <v>2015</v>
      </c>
      <c r="G300">
        <f t="shared" si="32"/>
        <v>4</v>
      </c>
      <c r="H300">
        <f t="shared" si="33"/>
        <v>17</v>
      </c>
      <c r="I300" t="str">
        <f t="shared" si="34"/>
        <v>15</v>
      </c>
    </row>
    <row r="301" spans="1:9" x14ac:dyDescent="0.25">
      <c r="A301" s="19">
        <v>41002</v>
      </c>
      <c r="B301" s="20">
        <v>0.9916666666666667</v>
      </c>
      <c r="C301" t="str">
        <f t="shared" si="28"/>
        <v>12</v>
      </c>
      <c r="D301" t="str">
        <f t="shared" si="29"/>
        <v>04</v>
      </c>
      <c r="E301" t="str">
        <f t="shared" si="30"/>
        <v>03</v>
      </c>
      <c r="F301">
        <f t="shared" si="31"/>
        <v>2012</v>
      </c>
      <c r="G301">
        <f t="shared" si="32"/>
        <v>4</v>
      </c>
      <c r="H301">
        <f t="shared" si="33"/>
        <v>3</v>
      </c>
      <c r="I301" t="str">
        <f t="shared" si="34"/>
        <v>12</v>
      </c>
    </row>
    <row r="302" spans="1:9" x14ac:dyDescent="0.25">
      <c r="A302" s="19">
        <v>41879</v>
      </c>
      <c r="B302" s="20">
        <v>1.1111111111111112E-2</v>
      </c>
      <c r="C302" t="str">
        <f t="shared" si="28"/>
        <v>14</v>
      </c>
      <c r="D302" t="str">
        <f t="shared" si="29"/>
        <v>08</v>
      </c>
      <c r="E302" t="str">
        <f t="shared" si="30"/>
        <v>28</v>
      </c>
      <c r="F302">
        <f t="shared" si="31"/>
        <v>2014</v>
      </c>
      <c r="G302">
        <f t="shared" si="32"/>
        <v>8</v>
      </c>
      <c r="H302">
        <f t="shared" si="33"/>
        <v>28</v>
      </c>
      <c r="I302" t="str">
        <f t="shared" si="34"/>
        <v>14</v>
      </c>
    </row>
    <row r="303" spans="1:9" x14ac:dyDescent="0.25">
      <c r="A303" s="19">
        <v>41856</v>
      </c>
      <c r="B303" s="20">
        <v>5.2777777777777778E-2</v>
      </c>
      <c r="C303" t="str">
        <f t="shared" si="28"/>
        <v>14</v>
      </c>
      <c r="D303" t="str">
        <f t="shared" si="29"/>
        <v>08</v>
      </c>
      <c r="E303" t="str">
        <f t="shared" si="30"/>
        <v>05</v>
      </c>
      <c r="F303">
        <f t="shared" si="31"/>
        <v>2014</v>
      </c>
      <c r="G303">
        <f t="shared" si="32"/>
        <v>8</v>
      </c>
      <c r="H303">
        <f t="shared" si="33"/>
        <v>5</v>
      </c>
      <c r="I303" t="str">
        <f t="shared" si="34"/>
        <v>14</v>
      </c>
    </row>
    <row r="304" spans="1:9" x14ac:dyDescent="0.25">
      <c r="A304" s="19">
        <v>42652</v>
      </c>
      <c r="B304" s="20">
        <v>4.3749999999999997E-2</v>
      </c>
      <c r="C304" t="str">
        <f t="shared" si="28"/>
        <v>16</v>
      </c>
      <c r="D304" t="str">
        <f t="shared" si="29"/>
        <v>10</v>
      </c>
      <c r="E304" t="str">
        <f t="shared" si="30"/>
        <v>09</v>
      </c>
      <c r="F304">
        <f t="shared" si="31"/>
        <v>2016</v>
      </c>
      <c r="G304">
        <f t="shared" si="32"/>
        <v>10</v>
      </c>
      <c r="H304">
        <f t="shared" si="33"/>
        <v>9</v>
      </c>
      <c r="I304" t="str">
        <f t="shared" si="34"/>
        <v>16</v>
      </c>
    </row>
    <row r="305" spans="1:9" x14ac:dyDescent="0.25">
      <c r="A305" s="19">
        <v>41483</v>
      </c>
      <c r="B305" s="20">
        <v>2.4305555555555556E-2</v>
      </c>
      <c r="C305" t="str">
        <f t="shared" si="28"/>
        <v>13</v>
      </c>
      <c r="D305" t="str">
        <f t="shared" si="29"/>
        <v>07</v>
      </c>
      <c r="E305" t="str">
        <f t="shared" si="30"/>
        <v>28</v>
      </c>
      <c r="F305">
        <f t="shared" si="31"/>
        <v>2013</v>
      </c>
      <c r="G305">
        <f t="shared" si="32"/>
        <v>7</v>
      </c>
      <c r="H305">
        <f t="shared" si="33"/>
        <v>28</v>
      </c>
      <c r="I305" t="str">
        <f t="shared" si="34"/>
        <v>13</v>
      </c>
    </row>
    <row r="306" spans="1:9" x14ac:dyDescent="0.25">
      <c r="A306" s="19">
        <v>41098</v>
      </c>
      <c r="B306" s="20">
        <v>3.4027777777777775E-2</v>
      </c>
      <c r="C306" t="str">
        <f t="shared" si="28"/>
        <v>12</v>
      </c>
      <c r="D306" t="str">
        <f t="shared" si="29"/>
        <v>07</v>
      </c>
      <c r="E306" t="str">
        <f t="shared" si="30"/>
        <v>08</v>
      </c>
      <c r="F306">
        <f t="shared" si="31"/>
        <v>2012</v>
      </c>
      <c r="G306">
        <f t="shared" si="32"/>
        <v>7</v>
      </c>
      <c r="H306">
        <f t="shared" si="33"/>
        <v>8</v>
      </c>
      <c r="I306" t="str">
        <f t="shared" si="34"/>
        <v>12</v>
      </c>
    </row>
    <row r="307" spans="1:9" x14ac:dyDescent="0.25">
      <c r="A307" s="19">
        <v>42020</v>
      </c>
      <c r="B307" s="20">
        <v>6.7361111111111108E-2</v>
      </c>
      <c r="C307" t="str">
        <f t="shared" si="28"/>
        <v>15</v>
      </c>
      <c r="D307" t="str">
        <f t="shared" si="29"/>
        <v>01</v>
      </c>
      <c r="E307" t="str">
        <f t="shared" si="30"/>
        <v>16</v>
      </c>
      <c r="F307">
        <f t="shared" si="31"/>
        <v>2015</v>
      </c>
      <c r="G307">
        <f t="shared" si="32"/>
        <v>1</v>
      </c>
      <c r="H307">
        <f t="shared" si="33"/>
        <v>16</v>
      </c>
      <c r="I307" t="str">
        <f t="shared" si="34"/>
        <v>15</v>
      </c>
    </row>
    <row r="308" spans="1:9" x14ac:dyDescent="0.25">
      <c r="A308" s="19">
        <v>42111</v>
      </c>
      <c r="B308" s="20">
        <v>3.9583333333333331E-2</v>
      </c>
      <c r="C308" t="str">
        <f t="shared" si="28"/>
        <v>15</v>
      </c>
      <c r="D308" t="str">
        <f t="shared" si="29"/>
        <v>04</v>
      </c>
      <c r="E308" t="str">
        <f t="shared" si="30"/>
        <v>17</v>
      </c>
      <c r="F308">
        <f t="shared" si="31"/>
        <v>2015</v>
      </c>
      <c r="G308">
        <f t="shared" si="32"/>
        <v>4</v>
      </c>
      <c r="H308">
        <f t="shared" si="33"/>
        <v>17</v>
      </c>
      <c r="I308" t="str">
        <f t="shared" si="34"/>
        <v>15</v>
      </c>
    </row>
    <row r="309" spans="1:9" x14ac:dyDescent="0.25">
      <c r="A309" s="19">
        <v>41847</v>
      </c>
      <c r="B309" s="20">
        <v>0.97430555555555554</v>
      </c>
      <c r="C309" t="str">
        <f t="shared" si="28"/>
        <v>14</v>
      </c>
      <c r="D309" t="str">
        <f t="shared" si="29"/>
        <v>07</v>
      </c>
      <c r="E309" t="str">
        <f t="shared" si="30"/>
        <v>27</v>
      </c>
      <c r="F309">
        <f t="shared" si="31"/>
        <v>2014</v>
      </c>
      <c r="G309">
        <f t="shared" si="32"/>
        <v>7</v>
      </c>
      <c r="H309">
        <f t="shared" si="33"/>
        <v>27</v>
      </c>
      <c r="I309" t="str">
        <f t="shared" si="34"/>
        <v>14</v>
      </c>
    </row>
    <row r="310" spans="1:9" x14ac:dyDescent="0.25">
      <c r="A310" s="19">
        <v>41430</v>
      </c>
      <c r="B310" s="20">
        <v>1.9444444444444445E-2</v>
      </c>
      <c r="C310" t="str">
        <f t="shared" si="28"/>
        <v>13</v>
      </c>
      <c r="D310" t="str">
        <f t="shared" si="29"/>
        <v>06</v>
      </c>
      <c r="E310" t="str">
        <f t="shared" si="30"/>
        <v>05</v>
      </c>
      <c r="F310">
        <f t="shared" si="31"/>
        <v>2013</v>
      </c>
      <c r="G310">
        <f t="shared" si="32"/>
        <v>6</v>
      </c>
      <c r="H310">
        <f t="shared" si="33"/>
        <v>5</v>
      </c>
      <c r="I310" t="str">
        <f t="shared" si="34"/>
        <v>13</v>
      </c>
    </row>
    <row r="311" spans="1:9" x14ac:dyDescent="0.25">
      <c r="A311" s="19">
        <v>41300</v>
      </c>
      <c r="B311" s="20">
        <v>2.361111111111111E-2</v>
      </c>
      <c r="C311" t="str">
        <f t="shared" si="28"/>
        <v>13</v>
      </c>
      <c r="D311" t="str">
        <f t="shared" si="29"/>
        <v>01</v>
      </c>
      <c r="E311" t="str">
        <f t="shared" si="30"/>
        <v>26</v>
      </c>
      <c r="F311">
        <f t="shared" si="31"/>
        <v>2013</v>
      </c>
      <c r="G311">
        <f t="shared" si="32"/>
        <v>1</v>
      </c>
      <c r="H311">
        <f t="shared" si="33"/>
        <v>26</v>
      </c>
      <c r="I311" t="str">
        <f t="shared" si="34"/>
        <v>13</v>
      </c>
    </row>
    <row r="312" spans="1:9" x14ac:dyDescent="0.25">
      <c r="A312" s="19">
        <v>41176</v>
      </c>
      <c r="B312" s="20">
        <v>0.99236111111111114</v>
      </c>
      <c r="C312" t="str">
        <f t="shared" si="28"/>
        <v>12</v>
      </c>
      <c r="D312" t="str">
        <f t="shared" si="29"/>
        <v>09</v>
      </c>
      <c r="E312" t="str">
        <f t="shared" si="30"/>
        <v>24</v>
      </c>
      <c r="F312">
        <f t="shared" si="31"/>
        <v>2012</v>
      </c>
      <c r="G312">
        <f t="shared" si="32"/>
        <v>9</v>
      </c>
      <c r="H312">
        <f t="shared" si="33"/>
        <v>24</v>
      </c>
      <c r="I312" t="str">
        <f t="shared" si="34"/>
        <v>12</v>
      </c>
    </row>
    <row r="313" spans="1:9" x14ac:dyDescent="0.25">
      <c r="A313" s="19">
        <v>40958</v>
      </c>
      <c r="B313" s="20">
        <v>0.97083333333333333</v>
      </c>
      <c r="C313" t="str">
        <f t="shared" si="28"/>
        <v>12</v>
      </c>
      <c r="D313" t="str">
        <f t="shared" si="29"/>
        <v>02</v>
      </c>
      <c r="E313" t="str">
        <f t="shared" si="30"/>
        <v>19</v>
      </c>
      <c r="F313">
        <f t="shared" si="31"/>
        <v>2012</v>
      </c>
      <c r="G313">
        <f t="shared" si="32"/>
        <v>2</v>
      </c>
      <c r="H313">
        <f t="shared" si="33"/>
        <v>19</v>
      </c>
      <c r="I313" t="str">
        <f t="shared" si="34"/>
        <v>12</v>
      </c>
    </row>
    <row r="314" spans="1:9" x14ac:dyDescent="0.25">
      <c r="A314" s="19">
        <v>40927</v>
      </c>
      <c r="B314" s="20">
        <v>0.9868055555555556</v>
      </c>
      <c r="C314" t="str">
        <f t="shared" si="28"/>
        <v>12</v>
      </c>
      <c r="D314" t="str">
        <f t="shared" si="29"/>
        <v>01</v>
      </c>
      <c r="E314" t="str">
        <f t="shared" si="30"/>
        <v>19</v>
      </c>
      <c r="F314">
        <f t="shared" si="31"/>
        <v>2012</v>
      </c>
      <c r="G314">
        <f t="shared" si="32"/>
        <v>1</v>
      </c>
      <c r="H314">
        <f t="shared" si="33"/>
        <v>19</v>
      </c>
      <c r="I314" t="str">
        <f t="shared" si="34"/>
        <v>12</v>
      </c>
    </row>
    <row r="315" spans="1:9" x14ac:dyDescent="0.25">
      <c r="A315" s="19">
        <v>41031</v>
      </c>
      <c r="B315" s="20">
        <v>1.7361111111111112E-2</v>
      </c>
      <c r="C315" t="str">
        <f t="shared" si="28"/>
        <v>12</v>
      </c>
      <c r="D315" t="str">
        <f t="shared" si="29"/>
        <v>05</v>
      </c>
      <c r="E315" t="str">
        <f t="shared" si="30"/>
        <v>02</v>
      </c>
      <c r="F315">
        <f t="shared" si="31"/>
        <v>2012</v>
      </c>
      <c r="G315">
        <f t="shared" si="32"/>
        <v>5</v>
      </c>
      <c r="H315">
        <f t="shared" si="33"/>
        <v>2</v>
      </c>
      <c r="I315" t="str">
        <f t="shared" si="34"/>
        <v>12</v>
      </c>
    </row>
    <row r="316" spans="1:9" x14ac:dyDescent="0.25">
      <c r="A316" s="19">
        <v>41279</v>
      </c>
      <c r="B316" s="20">
        <v>7.6388888888888886E-3</v>
      </c>
      <c r="C316" t="str">
        <f t="shared" si="28"/>
        <v>13</v>
      </c>
      <c r="D316" t="str">
        <f t="shared" si="29"/>
        <v>01</v>
      </c>
      <c r="E316" t="str">
        <f t="shared" si="30"/>
        <v>05</v>
      </c>
      <c r="F316">
        <f t="shared" si="31"/>
        <v>2013</v>
      </c>
      <c r="G316">
        <f t="shared" si="32"/>
        <v>1</v>
      </c>
      <c r="H316">
        <f t="shared" si="33"/>
        <v>5</v>
      </c>
      <c r="I316" t="str">
        <f t="shared" si="34"/>
        <v>13</v>
      </c>
    </row>
    <row r="317" spans="1:9" x14ac:dyDescent="0.25">
      <c r="A317" s="19">
        <v>42202</v>
      </c>
      <c r="B317" s="20">
        <v>5.1388888888888887E-2</v>
      </c>
      <c r="C317" t="str">
        <f t="shared" si="28"/>
        <v>15</v>
      </c>
      <c r="D317" t="str">
        <f t="shared" si="29"/>
        <v>07</v>
      </c>
      <c r="E317" t="str">
        <f t="shared" si="30"/>
        <v>17</v>
      </c>
      <c r="F317">
        <f t="shared" si="31"/>
        <v>2015</v>
      </c>
      <c r="G317">
        <f t="shared" si="32"/>
        <v>7</v>
      </c>
      <c r="H317">
        <f t="shared" si="33"/>
        <v>17</v>
      </c>
      <c r="I317" t="str">
        <f t="shared" si="34"/>
        <v>15</v>
      </c>
    </row>
    <row r="318" spans="1:9" x14ac:dyDescent="0.25">
      <c r="A318" s="19">
        <v>41103</v>
      </c>
      <c r="B318" s="20">
        <v>0.98541666666666672</v>
      </c>
      <c r="C318" t="str">
        <f t="shared" si="28"/>
        <v>12</v>
      </c>
      <c r="D318" t="str">
        <f t="shared" si="29"/>
        <v>07</v>
      </c>
      <c r="E318" t="str">
        <f t="shared" si="30"/>
        <v>13</v>
      </c>
      <c r="F318">
        <f t="shared" si="31"/>
        <v>2012</v>
      </c>
      <c r="G318">
        <f t="shared" si="32"/>
        <v>7</v>
      </c>
      <c r="H318">
        <f t="shared" si="33"/>
        <v>13</v>
      </c>
      <c r="I318" t="str">
        <f t="shared" si="34"/>
        <v>12</v>
      </c>
    </row>
    <row r="319" spans="1:9" x14ac:dyDescent="0.25">
      <c r="A319" s="19">
        <v>41560</v>
      </c>
      <c r="B319" s="20">
        <v>0</v>
      </c>
      <c r="C319" t="str">
        <f t="shared" si="28"/>
        <v>13</v>
      </c>
      <c r="D319" t="str">
        <f t="shared" si="29"/>
        <v>10</v>
      </c>
      <c r="E319" t="str">
        <f t="shared" si="30"/>
        <v>13</v>
      </c>
      <c r="F319">
        <f t="shared" si="31"/>
        <v>2013</v>
      </c>
      <c r="G319">
        <f t="shared" si="32"/>
        <v>10</v>
      </c>
      <c r="H319">
        <f t="shared" si="33"/>
        <v>13</v>
      </c>
      <c r="I319" t="str">
        <f t="shared" si="34"/>
        <v>13</v>
      </c>
    </row>
    <row r="320" spans="1:9" x14ac:dyDescent="0.25">
      <c r="A320" s="19">
        <v>41169</v>
      </c>
      <c r="B320" s="20">
        <v>7.8472222222222221E-2</v>
      </c>
      <c r="C320" t="str">
        <f t="shared" si="28"/>
        <v>12</v>
      </c>
      <c r="D320" t="str">
        <f t="shared" si="29"/>
        <v>09</v>
      </c>
      <c r="E320" t="str">
        <f t="shared" si="30"/>
        <v>17</v>
      </c>
      <c r="F320">
        <f t="shared" si="31"/>
        <v>2012</v>
      </c>
      <c r="G320">
        <f t="shared" si="32"/>
        <v>9</v>
      </c>
      <c r="H320">
        <f t="shared" si="33"/>
        <v>17</v>
      </c>
      <c r="I320" t="str">
        <f t="shared" si="34"/>
        <v>12</v>
      </c>
    </row>
    <row r="321" spans="1:9" x14ac:dyDescent="0.25">
      <c r="A321" s="19">
        <v>42034</v>
      </c>
      <c r="B321" s="20">
        <v>0.95138888888888884</v>
      </c>
      <c r="C321" t="str">
        <f t="shared" si="28"/>
        <v>15</v>
      </c>
      <c r="D321" t="str">
        <f t="shared" si="29"/>
        <v>01</v>
      </c>
      <c r="E321" t="str">
        <f t="shared" si="30"/>
        <v>30</v>
      </c>
      <c r="F321">
        <f t="shared" si="31"/>
        <v>2015</v>
      </c>
      <c r="G321">
        <f t="shared" si="32"/>
        <v>1</v>
      </c>
      <c r="H321">
        <f t="shared" si="33"/>
        <v>30</v>
      </c>
      <c r="I321" t="str">
        <f t="shared" si="34"/>
        <v>15</v>
      </c>
    </row>
    <row r="322" spans="1:9" x14ac:dyDescent="0.25">
      <c r="A322" s="19">
        <v>41767</v>
      </c>
      <c r="B322" s="20">
        <v>3.6805555555555557E-2</v>
      </c>
      <c r="C322" t="str">
        <f t="shared" si="28"/>
        <v>14</v>
      </c>
      <c r="D322" t="str">
        <f t="shared" si="29"/>
        <v>05</v>
      </c>
      <c r="E322" t="str">
        <f t="shared" si="30"/>
        <v>08</v>
      </c>
      <c r="F322">
        <f t="shared" si="31"/>
        <v>2014</v>
      </c>
      <c r="G322">
        <f t="shared" si="32"/>
        <v>5</v>
      </c>
      <c r="H322">
        <f t="shared" si="33"/>
        <v>8</v>
      </c>
      <c r="I322" t="str">
        <f t="shared" si="34"/>
        <v>14</v>
      </c>
    </row>
    <row r="323" spans="1:9" x14ac:dyDescent="0.25">
      <c r="A323" s="19">
        <v>41191</v>
      </c>
      <c r="B323" s="20">
        <v>6.1111111111111109E-2</v>
      </c>
      <c r="C323" t="str">
        <f t="shared" ref="C323:C386" si="35">TEXT(A323,"YY")</f>
        <v>12</v>
      </c>
      <c r="D323" t="str">
        <f t="shared" ref="D323:D386" si="36">TEXT(A323,"mm")</f>
        <v>10</v>
      </c>
      <c r="E323" t="str">
        <f t="shared" ref="E323:E386" si="37">TEXT(A323,"dd")</f>
        <v>09</v>
      </c>
      <c r="F323">
        <f t="shared" ref="F323:F386" si="38">YEAR($A323)</f>
        <v>2012</v>
      </c>
      <c r="G323">
        <f t="shared" ref="G323:G386" si="39">MONTH($A323)</f>
        <v>10</v>
      </c>
      <c r="H323">
        <f t="shared" ref="H323:H386" si="40">DAY($A323)</f>
        <v>9</v>
      </c>
      <c r="I323" t="str">
        <f t="shared" ref="I323:I386" si="41">TEXT($A323,"YY")</f>
        <v>12</v>
      </c>
    </row>
    <row r="324" spans="1:9" x14ac:dyDescent="0.25">
      <c r="A324" s="19">
        <v>41066</v>
      </c>
      <c r="B324" s="20">
        <v>8.1944444444444445E-2</v>
      </c>
      <c r="C324" t="str">
        <f t="shared" si="35"/>
        <v>12</v>
      </c>
      <c r="D324" t="str">
        <f t="shared" si="36"/>
        <v>06</v>
      </c>
      <c r="E324" t="str">
        <f t="shared" si="37"/>
        <v>06</v>
      </c>
      <c r="F324">
        <f t="shared" si="38"/>
        <v>2012</v>
      </c>
      <c r="G324">
        <f t="shared" si="39"/>
        <v>6</v>
      </c>
      <c r="H324">
        <f t="shared" si="40"/>
        <v>6</v>
      </c>
      <c r="I324" t="str">
        <f t="shared" si="41"/>
        <v>12</v>
      </c>
    </row>
    <row r="325" spans="1:9" x14ac:dyDescent="0.25">
      <c r="A325" s="19">
        <v>42080</v>
      </c>
      <c r="B325" s="20">
        <v>0.95694444444444449</v>
      </c>
      <c r="C325" t="str">
        <f t="shared" si="35"/>
        <v>15</v>
      </c>
      <c r="D325" t="str">
        <f t="shared" si="36"/>
        <v>03</v>
      </c>
      <c r="E325" t="str">
        <f t="shared" si="37"/>
        <v>17</v>
      </c>
      <c r="F325">
        <f t="shared" si="38"/>
        <v>2015</v>
      </c>
      <c r="G325">
        <f t="shared" si="39"/>
        <v>3</v>
      </c>
      <c r="H325">
        <f t="shared" si="40"/>
        <v>17</v>
      </c>
      <c r="I325" t="str">
        <f t="shared" si="41"/>
        <v>15</v>
      </c>
    </row>
    <row r="326" spans="1:9" x14ac:dyDescent="0.25">
      <c r="A326" s="19">
        <v>42337</v>
      </c>
      <c r="B326" s="20">
        <v>3.5416666666666666E-2</v>
      </c>
      <c r="C326" t="str">
        <f t="shared" si="35"/>
        <v>15</v>
      </c>
      <c r="D326" t="str">
        <f t="shared" si="36"/>
        <v>11</v>
      </c>
      <c r="E326" t="str">
        <f t="shared" si="37"/>
        <v>29</v>
      </c>
      <c r="F326">
        <f t="shared" si="38"/>
        <v>2015</v>
      </c>
      <c r="G326">
        <f t="shared" si="39"/>
        <v>11</v>
      </c>
      <c r="H326">
        <f t="shared" si="40"/>
        <v>29</v>
      </c>
      <c r="I326" t="str">
        <f t="shared" si="41"/>
        <v>15</v>
      </c>
    </row>
    <row r="327" spans="1:9" x14ac:dyDescent="0.25">
      <c r="A327" s="19">
        <v>41598</v>
      </c>
      <c r="B327" s="20">
        <v>0.98611111111111116</v>
      </c>
      <c r="C327" t="str">
        <f t="shared" si="35"/>
        <v>13</v>
      </c>
      <c r="D327" t="str">
        <f t="shared" si="36"/>
        <v>11</v>
      </c>
      <c r="E327" t="str">
        <f t="shared" si="37"/>
        <v>20</v>
      </c>
      <c r="F327">
        <f t="shared" si="38"/>
        <v>2013</v>
      </c>
      <c r="G327">
        <f t="shared" si="39"/>
        <v>11</v>
      </c>
      <c r="H327">
        <f t="shared" si="40"/>
        <v>20</v>
      </c>
      <c r="I327" t="str">
        <f t="shared" si="41"/>
        <v>13</v>
      </c>
    </row>
    <row r="328" spans="1:9" x14ac:dyDescent="0.25">
      <c r="A328" s="19">
        <v>41882</v>
      </c>
      <c r="B328" s="20">
        <v>0.94097222222222221</v>
      </c>
      <c r="C328" t="str">
        <f t="shared" si="35"/>
        <v>14</v>
      </c>
      <c r="D328" t="str">
        <f t="shared" si="36"/>
        <v>08</v>
      </c>
      <c r="E328" t="str">
        <f t="shared" si="37"/>
        <v>31</v>
      </c>
      <c r="F328">
        <f t="shared" si="38"/>
        <v>2014</v>
      </c>
      <c r="G328">
        <f t="shared" si="39"/>
        <v>8</v>
      </c>
      <c r="H328">
        <f t="shared" si="40"/>
        <v>31</v>
      </c>
      <c r="I328" t="str">
        <f t="shared" si="41"/>
        <v>14</v>
      </c>
    </row>
    <row r="329" spans="1:9" x14ac:dyDescent="0.25">
      <c r="A329" s="19">
        <v>41995</v>
      </c>
      <c r="B329" s="20">
        <v>5.8333333333333334E-2</v>
      </c>
      <c r="C329" t="str">
        <f t="shared" si="35"/>
        <v>14</v>
      </c>
      <c r="D329" t="str">
        <f t="shared" si="36"/>
        <v>12</v>
      </c>
      <c r="E329" t="str">
        <f t="shared" si="37"/>
        <v>22</v>
      </c>
      <c r="F329">
        <f t="shared" si="38"/>
        <v>2014</v>
      </c>
      <c r="G329">
        <f t="shared" si="39"/>
        <v>12</v>
      </c>
      <c r="H329">
        <f t="shared" si="40"/>
        <v>22</v>
      </c>
      <c r="I329" t="str">
        <f t="shared" si="41"/>
        <v>14</v>
      </c>
    </row>
    <row r="330" spans="1:9" x14ac:dyDescent="0.25">
      <c r="A330" s="19">
        <v>41944</v>
      </c>
      <c r="B330" s="20">
        <v>0.96180555555555558</v>
      </c>
      <c r="C330" t="str">
        <f t="shared" si="35"/>
        <v>14</v>
      </c>
      <c r="D330" t="str">
        <f t="shared" si="36"/>
        <v>11</v>
      </c>
      <c r="E330" t="str">
        <f t="shared" si="37"/>
        <v>01</v>
      </c>
      <c r="F330">
        <f t="shared" si="38"/>
        <v>2014</v>
      </c>
      <c r="G330">
        <f t="shared" si="39"/>
        <v>11</v>
      </c>
      <c r="H330">
        <f t="shared" si="40"/>
        <v>1</v>
      </c>
      <c r="I330" t="str">
        <f t="shared" si="41"/>
        <v>14</v>
      </c>
    </row>
    <row r="331" spans="1:9" x14ac:dyDescent="0.25">
      <c r="A331" s="19">
        <v>41752</v>
      </c>
      <c r="B331" s="20">
        <v>4.027777777777778E-2</v>
      </c>
      <c r="C331" t="str">
        <f t="shared" si="35"/>
        <v>14</v>
      </c>
      <c r="D331" t="str">
        <f t="shared" si="36"/>
        <v>04</v>
      </c>
      <c r="E331" t="str">
        <f t="shared" si="37"/>
        <v>23</v>
      </c>
      <c r="F331">
        <f t="shared" si="38"/>
        <v>2014</v>
      </c>
      <c r="G331">
        <f t="shared" si="39"/>
        <v>4</v>
      </c>
      <c r="H331">
        <f t="shared" si="40"/>
        <v>23</v>
      </c>
      <c r="I331" t="str">
        <f t="shared" si="41"/>
        <v>14</v>
      </c>
    </row>
    <row r="332" spans="1:9" x14ac:dyDescent="0.25">
      <c r="A332" s="19">
        <v>42262</v>
      </c>
      <c r="B332" s="20">
        <v>6.9444444444444447E-4</v>
      </c>
      <c r="C332" t="str">
        <f t="shared" si="35"/>
        <v>15</v>
      </c>
      <c r="D332" t="str">
        <f t="shared" si="36"/>
        <v>09</v>
      </c>
      <c r="E332" t="str">
        <f t="shared" si="37"/>
        <v>15</v>
      </c>
      <c r="F332">
        <f t="shared" si="38"/>
        <v>2015</v>
      </c>
      <c r="G332">
        <f t="shared" si="39"/>
        <v>9</v>
      </c>
      <c r="H332">
        <f t="shared" si="40"/>
        <v>15</v>
      </c>
      <c r="I332" t="str">
        <f t="shared" si="41"/>
        <v>15</v>
      </c>
    </row>
    <row r="333" spans="1:9" x14ac:dyDescent="0.25">
      <c r="A333" s="19">
        <v>41584</v>
      </c>
      <c r="B333" s="20">
        <v>3.7499999999999999E-2</v>
      </c>
      <c r="C333" t="str">
        <f t="shared" si="35"/>
        <v>13</v>
      </c>
      <c r="D333" t="str">
        <f t="shared" si="36"/>
        <v>11</v>
      </c>
      <c r="E333" t="str">
        <f t="shared" si="37"/>
        <v>06</v>
      </c>
      <c r="F333">
        <f t="shared" si="38"/>
        <v>2013</v>
      </c>
      <c r="G333">
        <f t="shared" si="39"/>
        <v>11</v>
      </c>
      <c r="H333">
        <f t="shared" si="40"/>
        <v>6</v>
      </c>
      <c r="I333" t="str">
        <f t="shared" si="41"/>
        <v>13</v>
      </c>
    </row>
    <row r="334" spans="1:9" x14ac:dyDescent="0.25">
      <c r="A334" s="19">
        <v>41233</v>
      </c>
      <c r="B334" s="20">
        <v>3.9583333333333331E-2</v>
      </c>
      <c r="C334" t="str">
        <f t="shared" si="35"/>
        <v>12</v>
      </c>
      <c r="D334" t="str">
        <f t="shared" si="36"/>
        <v>11</v>
      </c>
      <c r="E334" t="str">
        <f t="shared" si="37"/>
        <v>20</v>
      </c>
      <c r="F334">
        <f t="shared" si="38"/>
        <v>2012</v>
      </c>
      <c r="G334">
        <f t="shared" si="39"/>
        <v>11</v>
      </c>
      <c r="H334">
        <f t="shared" si="40"/>
        <v>20</v>
      </c>
      <c r="I334" t="str">
        <f t="shared" si="41"/>
        <v>12</v>
      </c>
    </row>
    <row r="335" spans="1:9" x14ac:dyDescent="0.25">
      <c r="A335" s="19">
        <v>41039</v>
      </c>
      <c r="B335" s="20">
        <v>1.5972222222222221E-2</v>
      </c>
      <c r="C335" t="str">
        <f t="shared" si="35"/>
        <v>12</v>
      </c>
      <c r="D335" t="str">
        <f t="shared" si="36"/>
        <v>05</v>
      </c>
      <c r="E335" t="str">
        <f t="shared" si="37"/>
        <v>10</v>
      </c>
      <c r="F335">
        <f t="shared" si="38"/>
        <v>2012</v>
      </c>
      <c r="G335">
        <f t="shared" si="39"/>
        <v>5</v>
      </c>
      <c r="H335">
        <f t="shared" si="40"/>
        <v>10</v>
      </c>
      <c r="I335" t="str">
        <f t="shared" si="41"/>
        <v>12</v>
      </c>
    </row>
    <row r="336" spans="1:9" x14ac:dyDescent="0.25">
      <c r="A336" s="19">
        <v>41365</v>
      </c>
      <c r="B336" s="20">
        <v>0.05</v>
      </c>
      <c r="C336" t="str">
        <f t="shared" si="35"/>
        <v>13</v>
      </c>
      <c r="D336" t="str">
        <f t="shared" si="36"/>
        <v>04</v>
      </c>
      <c r="E336" t="str">
        <f t="shared" si="37"/>
        <v>01</v>
      </c>
      <c r="F336">
        <f t="shared" si="38"/>
        <v>2013</v>
      </c>
      <c r="G336">
        <f t="shared" si="39"/>
        <v>4</v>
      </c>
      <c r="H336">
        <f t="shared" si="40"/>
        <v>1</v>
      </c>
      <c r="I336" t="str">
        <f t="shared" si="41"/>
        <v>13</v>
      </c>
    </row>
    <row r="337" spans="1:9" x14ac:dyDescent="0.25">
      <c r="A337" s="19">
        <v>41009</v>
      </c>
      <c r="B337" s="20">
        <v>8.6805555555555552E-2</v>
      </c>
      <c r="C337" t="str">
        <f t="shared" si="35"/>
        <v>12</v>
      </c>
      <c r="D337" t="str">
        <f t="shared" si="36"/>
        <v>04</v>
      </c>
      <c r="E337" t="str">
        <f t="shared" si="37"/>
        <v>10</v>
      </c>
      <c r="F337">
        <f t="shared" si="38"/>
        <v>2012</v>
      </c>
      <c r="G337">
        <f t="shared" si="39"/>
        <v>4</v>
      </c>
      <c r="H337">
        <f t="shared" si="40"/>
        <v>10</v>
      </c>
      <c r="I337" t="str">
        <f t="shared" si="41"/>
        <v>12</v>
      </c>
    </row>
    <row r="338" spans="1:9" x14ac:dyDescent="0.25">
      <c r="A338" s="19">
        <v>41440</v>
      </c>
      <c r="B338" s="20">
        <v>3.6111111111111108E-2</v>
      </c>
      <c r="C338" t="str">
        <f t="shared" si="35"/>
        <v>13</v>
      </c>
      <c r="D338" t="str">
        <f t="shared" si="36"/>
        <v>06</v>
      </c>
      <c r="E338" t="str">
        <f t="shared" si="37"/>
        <v>15</v>
      </c>
      <c r="F338">
        <f t="shared" si="38"/>
        <v>2013</v>
      </c>
      <c r="G338">
        <f t="shared" si="39"/>
        <v>6</v>
      </c>
      <c r="H338">
        <f t="shared" si="40"/>
        <v>15</v>
      </c>
      <c r="I338" t="str">
        <f t="shared" si="41"/>
        <v>13</v>
      </c>
    </row>
    <row r="339" spans="1:9" x14ac:dyDescent="0.25">
      <c r="A339" s="19">
        <v>42471</v>
      </c>
      <c r="B339" s="20">
        <v>6.5277777777777782E-2</v>
      </c>
      <c r="C339" t="str">
        <f t="shared" si="35"/>
        <v>16</v>
      </c>
      <c r="D339" t="str">
        <f t="shared" si="36"/>
        <v>04</v>
      </c>
      <c r="E339" t="str">
        <f t="shared" si="37"/>
        <v>11</v>
      </c>
      <c r="F339">
        <f t="shared" si="38"/>
        <v>2016</v>
      </c>
      <c r="G339">
        <f t="shared" si="39"/>
        <v>4</v>
      </c>
      <c r="H339">
        <f t="shared" si="40"/>
        <v>11</v>
      </c>
      <c r="I339" t="str">
        <f t="shared" si="41"/>
        <v>16</v>
      </c>
    </row>
    <row r="340" spans="1:9" x14ac:dyDescent="0.25">
      <c r="A340" s="19">
        <v>40921</v>
      </c>
      <c r="B340" s="20">
        <v>2.7083333333333334E-2</v>
      </c>
      <c r="C340" t="str">
        <f t="shared" si="35"/>
        <v>12</v>
      </c>
      <c r="D340" t="str">
        <f t="shared" si="36"/>
        <v>01</v>
      </c>
      <c r="E340" t="str">
        <f t="shared" si="37"/>
        <v>13</v>
      </c>
      <c r="F340">
        <f t="shared" si="38"/>
        <v>2012</v>
      </c>
      <c r="G340">
        <f t="shared" si="39"/>
        <v>1</v>
      </c>
      <c r="H340">
        <f t="shared" si="40"/>
        <v>13</v>
      </c>
      <c r="I340" t="str">
        <f t="shared" si="41"/>
        <v>12</v>
      </c>
    </row>
    <row r="341" spans="1:9" x14ac:dyDescent="0.25">
      <c r="A341" s="19">
        <v>41471</v>
      </c>
      <c r="B341" s="20">
        <v>7.7083333333333337E-2</v>
      </c>
      <c r="C341" t="str">
        <f t="shared" si="35"/>
        <v>13</v>
      </c>
      <c r="D341" t="str">
        <f t="shared" si="36"/>
        <v>07</v>
      </c>
      <c r="E341" t="str">
        <f t="shared" si="37"/>
        <v>16</v>
      </c>
      <c r="F341">
        <f t="shared" si="38"/>
        <v>2013</v>
      </c>
      <c r="G341">
        <f t="shared" si="39"/>
        <v>7</v>
      </c>
      <c r="H341">
        <f t="shared" si="40"/>
        <v>16</v>
      </c>
      <c r="I341" t="str">
        <f t="shared" si="41"/>
        <v>13</v>
      </c>
    </row>
    <row r="342" spans="1:9" x14ac:dyDescent="0.25">
      <c r="A342" s="19">
        <v>41785</v>
      </c>
      <c r="B342" s="20">
        <v>0.97361111111111109</v>
      </c>
      <c r="C342" t="str">
        <f t="shared" si="35"/>
        <v>14</v>
      </c>
      <c r="D342" t="str">
        <f t="shared" si="36"/>
        <v>05</v>
      </c>
      <c r="E342" t="str">
        <f t="shared" si="37"/>
        <v>26</v>
      </c>
      <c r="F342">
        <f t="shared" si="38"/>
        <v>2014</v>
      </c>
      <c r="G342">
        <f t="shared" si="39"/>
        <v>5</v>
      </c>
      <c r="H342">
        <f t="shared" si="40"/>
        <v>26</v>
      </c>
      <c r="I342" t="str">
        <f t="shared" si="41"/>
        <v>14</v>
      </c>
    </row>
    <row r="343" spans="1:9" x14ac:dyDescent="0.25">
      <c r="A343" s="19">
        <v>41102</v>
      </c>
      <c r="B343" s="20">
        <v>1.1111111111111112E-2</v>
      </c>
      <c r="C343" t="str">
        <f t="shared" si="35"/>
        <v>12</v>
      </c>
      <c r="D343" t="str">
        <f t="shared" si="36"/>
        <v>07</v>
      </c>
      <c r="E343" t="str">
        <f t="shared" si="37"/>
        <v>12</v>
      </c>
      <c r="F343">
        <f t="shared" si="38"/>
        <v>2012</v>
      </c>
      <c r="G343">
        <f t="shared" si="39"/>
        <v>7</v>
      </c>
      <c r="H343">
        <f t="shared" si="40"/>
        <v>12</v>
      </c>
      <c r="I343" t="str">
        <f t="shared" si="41"/>
        <v>12</v>
      </c>
    </row>
    <row r="344" spans="1:9" x14ac:dyDescent="0.25">
      <c r="A344" s="19">
        <v>41596</v>
      </c>
      <c r="B344" s="20">
        <v>0.96736111111111112</v>
      </c>
      <c r="C344" t="str">
        <f t="shared" si="35"/>
        <v>13</v>
      </c>
      <c r="D344" t="str">
        <f t="shared" si="36"/>
        <v>11</v>
      </c>
      <c r="E344" t="str">
        <f t="shared" si="37"/>
        <v>18</v>
      </c>
      <c r="F344">
        <f t="shared" si="38"/>
        <v>2013</v>
      </c>
      <c r="G344">
        <f t="shared" si="39"/>
        <v>11</v>
      </c>
      <c r="H344">
        <f t="shared" si="40"/>
        <v>18</v>
      </c>
      <c r="I344" t="str">
        <f t="shared" si="41"/>
        <v>13</v>
      </c>
    </row>
    <row r="345" spans="1:9" x14ac:dyDescent="0.25">
      <c r="A345" s="19">
        <v>41613</v>
      </c>
      <c r="B345" s="20">
        <v>0.98124999999999996</v>
      </c>
      <c r="C345" t="str">
        <f t="shared" si="35"/>
        <v>13</v>
      </c>
      <c r="D345" t="str">
        <f t="shared" si="36"/>
        <v>12</v>
      </c>
      <c r="E345" t="str">
        <f t="shared" si="37"/>
        <v>05</v>
      </c>
      <c r="F345">
        <f t="shared" si="38"/>
        <v>2013</v>
      </c>
      <c r="G345">
        <f t="shared" si="39"/>
        <v>12</v>
      </c>
      <c r="H345">
        <f t="shared" si="40"/>
        <v>5</v>
      </c>
      <c r="I345" t="str">
        <f t="shared" si="41"/>
        <v>13</v>
      </c>
    </row>
    <row r="346" spans="1:9" x14ac:dyDescent="0.25">
      <c r="A346" s="19">
        <v>41482</v>
      </c>
      <c r="B346" s="20">
        <v>2.361111111111111E-2</v>
      </c>
      <c r="C346" t="str">
        <f t="shared" si="35"/>
        <v>13</v>
      </c>
      <c r="D346" t="str">
        <f t="shared" si="36"/>
        <v>07</v>
      </c>
      <c r="E346" t="str">
        <f t="shared" si="37"/>
        <v>27</v>
      </c>
      <c r="F346">
        <f t="shared" si="38"/>
        <v>2013</v>
      </c>
      <c r="G346">
        <f t="shared" si="39"/>
        <v>7</v>
      </c>
      <c r="H346">
        <f t="shared" si="40"/>
        <v>27</v>
      </c>
      <c r="I346" t="str">
        <f t="shared" si="41"/>
        <v>13</v>
      </c>
    </row>
    <row r="347" spans="1:9" x14ac:dyDescent="0.25">
      <c r="A347" s="19">
        <v>41805</v>
      </c>
      <c r="B347" s="20">
        <v>2.7777777777777776E-2</v>
      </c>
      <c r="C347" t="str">
        <f t="shared" si="35"/>
        <v>14</v>
      </c>
      <c r="D347" t="str">
        <f t="shared" si="36"/>
        <v>06</v>
      </c>
      <c r="E347" t="str">
        <f t="shared" si="37"/>
        <v>15</v>
      </c>
      <c r="F347">
        <f t="shared" si="38"/>
        <v>2014</v>
      </c>
      <c r="G347">
        <f t="shared" si="39"/>
        <v>6</v>
      </c>
      <c r="H347">
        <f t="shared" si="40"/>
        <v>15</v>
      </c>
      <c r="I347" t="str">
        <f t="shared" si="41"/>
        <v>14</v>
      </c>
    </row>
    <row r="348" spans="1:9" x14ac:dyDescent="0.25">
      <c r="A348" s="19">
        <v>42349</v>
      </c>
      <c r="B348" s="20">
        <v>0.97847222222222219</v>
      </c>
      <c r="C348" t="str">
        <f t="shared" si="35"/>
        <v>15</v>
      </c>
      <c r="D348" t="str">
        <f t="shared" si="36"/>
        <v>12</v>
      </c>
      <c r="E348" t="str">
        <f t="shared" si="37"/>
        <v>11</v>
      </c>
      <c r="F348">
        <f t="shared" si="38"/>
        <v>2015</v>
      </c>
      <c r="G348">
        <f t="shared" si="39"/>
        <v>12</v>
      </c>
      <c r="H348">
        <f t="shared" si="40"/>
        <v>11</v>
      </c>
      <c r="I348" t="str">
        <f t="shared" si="41"/>
        <v>15</v>
      </c>
    </row>
    <row r="349" spans="1:9" x14ac:dyDescent="0.25">
      <c r="A349" s="19">
        <v>40989</v>
      </c>
      <c r="B349" s="20">
        <v>7.0833333333333331E-2</v>
      </c>
      <c r="C349" t="str">
        <f t="shared" si="35"/>
        <v>12</v>
      </c>
      <c r="D349" t="str">
        <f t="shared" si="36"/>
        <v>03</v>
      </c>
      <c r="E349" t="str">
        <f t="shared" si="37"/>
        <v>21</v>
      </c>
      <c r="F349">
        <f t="shared" si="38"/>
        <v>2012</v>
      </c>
      <c r="G349">
        <f t="shared" si="39"/>
        <v>3</v>
      </c>
      <c r="H349">
        <f t="shared" si="40"/>
        <v>21</v>
      </c>
      <c r="I349" t="str">
        <f t="shared" si="41"/>
        <v>12</v>
      </c>
    </row>
    <row r="350" spans="1:9" x14ac:dyDescent="0.25">
      <c r="A350" s="19">
        <v>42078</v>
      </c>
      <c r="B350" s="20">
        <v>2.6388888888888889E-2</v>
      </c>
      <c r="C350" t="str">
        <f t="shared" si="35"/>
        <v>15</v>
      </c>
      <c r="D350" t="str">
        <f t="shared" si="36"/>
        <v>03</v>
      </c>
      <c r="E350" t="str">
        <f t="shared" si="37"/>
        <v>15</v>
      </c>
      <c r="F350">
        <f t="shared" si="38"/>
        <v>2015</v>
      </c>
      <c r="G350">
        <f t="shared" si="39"/>
        <v>3</v>
      </c>
      <c r="H350">
        <f t="shared" si="40"/>
        <v>15</v>
      </c>
      <c r="I350" t="str">
        <f t="shared" si="41"/>
        <v>15</v>
      </c>
    </row>
    <row r="351" spans="1:9" x14ac:dyDescent="0.25">
      <c r="A351" s="19">
        <v>41384</v>
      </c>
      <c r="B351" s="20">
        <v>8.3333333333333332E-3</v>
      </c>
      <c r="C351" t="str">
        <f t="shared" si="35"/>
        <v>13</v>
      </c>
      <c r="D351" t="str">
        <f t="shared" si="36"/>
        <v>04</v>
      </c>
      <c r="E351" t="str">
        <f t="shared" si="37"/>
        <v>20</v>
      </c>
      <c r="F351">
        <f t="shared" si="38"/>
        <v>2013</v>
      </c>
      <c r="G351">
        <f t="shared" si="39"/>
        <v>4</v>
      </c>
      <c r="H351">
        <f t="shared" si="40"/>
        <v>20</v>
      </c>
      <c r="I351" t="str">
        <f t="shared" si="41"/>
        <v>13</v>
      </c>
    </row>
    <row r="352" spans="1:9" x14ac:dyDescent="0.25">
      <c r="A352" s="19">
        <v>42462</v>
      </c>
      <c r="B352" s="20">
        <v>0.96180555555555558</v>
      </c>
      <c r="C352" t="str">
        <f t="shared" si="35"/>
        <v>16</v>
      </c>
      <c r="D352" t="str">
        <f t="shared" si="36"/>
        <v>04</v>
      </c>
      <c r="E352" t="str">
        <f t="shared" si="37"/>
        <v>02</v>
      </c>
      <c r="F352">
        <f t="shared" si="38"/>
        <v>2016</v>
      </c>
      <c r="G352">
        <f t="shared" si="39"/>
        <v>4</v>
      </c>
      <c r="H352">
        <f t="shared" si="40"/>
        <v>2</v>
      </c>
      <c r="I352" t="str">
        <f t="shared" si="41"/>
        <v>16</v>
      </c>
    </row>
    <row r="353" spans="1:9" x14ac:dyDescent="0.25">
      <c r="A353" s="19">
        <v>41615</v>
      </c>
      <c r="B353" s="20">
        <v>0.96250000000000002</v>
      </c>
      <c r="C353" t="str">
        <f t="shared" si="35"/>
        <v>13</v>
      </c>
      <c r="D353" t="str">
        <f t="shared" si="36"/>
        <v>12</v>
      </c>
      <c r="E353" t="str">
        <f t="shared" si="37"/>
        <v>07</v>
      </c>
      <c r="F353">
        <f t="shared" si="38"/>
        <v>2013</v>
      </c>
      <c r="G353">
        <f t="shared" si="39"/>
        <v>12</v>
      </c>
      <c r="H353">
        <f t="shared" si="40"/>
        <v>7</v>
      </c>
      <c r="I353" t="str">
        <f t="shared" si="41"/>
        <v>13</v>
      </c>
    </row>
    <row r="354" spans="1:9" x14ac:dyDescent="0.25">
      <c r="A354" s="19">
        <v>41945</v>
      </c>
      <c r="B354" s="20">
        <v>1.2500000000000001E-2</v>
      </c>
      <c r="C354" t="str">
        <f t="shared" si="35"/>
        <v>14</v>
      </c>
      <c r="D354" t="str">
        <f t="shared" si="36"/>
        <v>11</v>
      </c>
      <c r="E354" t="str">
        <f t="shared" si="37"/>
        <v>02</v>
      </c>
      <c r="F354">
        <f t="shared" si="38"/>
        <v>2014</v>
      </c>
      <c r="G354">
        <f t="shared" si="39"/>
        <v>11</v>
      </c>
      <c r="H354">
        <f t="shared" si="40"/>
        <v>2</v>
      </c>
      <c r="I354" t="str">
        <f t="shared" si="41"/>
        <v>14</v>
      </c>
    </row>
    <row r="355" spans="1:9" x14ac:dyDescent="0.25">
      <c r="A355" s="19">
        <v>41482</v>
      </c>
      <c r="B355" s="20">
        <v>3.3333333333333333E-2</v>
      </c>
      <c r="C355" t="str">
        <f t="shared" si="35"/>
        <v>13</v>
      </c>
      <c r="D355" t="str">
        <f t="shared" si="36"/>
        <v>07</v>
      </c>
      <c r="E355" t="str">
        <f t="shared" si="37"/>
        <v>27</v>
      </c>
      <c r="F355">
        <f t="shared" si="38"/>
        <v>2013</v>
      </c>
      <c r="G355">
        <f t="shared" si="39"/>
        <v>7</v>
      </c>
      <c r="H355">
        <f t="shared" si="40"/>
        <v>27</v>
      </c>
      <c r="I355" t="str">
        <f t="shared" si="41"/>
        <v>13</v>
      </c>
    </row>
    <row r="356" spans="1:9" x14ac:dyDescent="0.25">
      <c r="A356" s="19">
        <v>41866</v>
      </c>
      <c r="B356" s="20">
        <v>0.98958333333333337</v>
      </c>
      <c r="C356" t="str">
        <f t="shared" si="35"/>
        <v>14</v>
      </c>
      <c r="D356" t="str">
        <f t="shared" si="36"/>
        <v>08</v>
      </c>
      <c r="E356" t="str">
        <f t="shared" si="37"/>
        <v>15</v>
      </c>
      <c r="F356">
        <f t="shared" si="38"/>
        <v>2014</v>
      </c>
      <c r="G356">
        <f t="shared" si="39"/>
        <v>8</v>
      </c>
      <c r="H356">
        <f t="shared" si="40"/>
        <v>15</v>
      </c>
      <c r="I356" t="str">
        <f t="shared" si="41"/>
        <v>14</v>
      </c>
    </row>
    <row r="357" spans="1:9" x14ac:dyDescent="0.25">
      <c r="A357" s="19">
        <v>41426</v>
      </c>
      <c r="B357" s="20">
        <v>6.8750000000000006E-2</v>
      </c>
      <c r="C357" t="str">
        <f t="shared" si="35"/>
        <v>13</v>
      </c>
      <c r="D357" t="str">
        <f t="shared" si="36"/>
        <v>06</v>
      </c>
      <c r="E357" t="str">
        <f t="shared" si="37"/>
        <v>01</v>
      </c>
      <c r="F357">
        <f t="shared" si="38"/>
        <v>2013</v>
      </c>
      <c r="G357">
        <f t="shared" si="39"/>
        <v>6</v>
      </c>
      <c r="H357">
        <f t="shared" si="40"/>
        <v>1</v>
      </c>
      <c r="I357" t="str">
        <f t="shared" si="41"/>
        <v>13</v>
      </c>
    </row>
    <row r="358" spans="1:9" x14ac:dyDescent="0.25">
      <c r="A358" s="19">
        <v>41159</v>
      </c>
      <c r="B358" s="20">
        <v>0.99027777777777781</v>
      </c>
      <c r="C358" t="str">
        <f t="shared" si="35"/>
        <v>12</v>
      </c>
      <c r="D358" t="str">
        <f t="shared" si="36"/>
        <v>09</v>
      </c>
      <c r="E358" t="str">
        <f t="shared" si="37"/>
        <v>07</v>
      </c>
      <c r="F358">
        <f t="shared" si="38"/>
        <v>2012</v>
      </c>
      <c r="G358">
        <f t="shared" si="39"/>
        <v>9</v>
      </c>
      <c r="H358">
        <f t="shared" si="40"/>
        <v>7</v>
      </c>
      <c r="I358" t="str">
        <f t="shared" si="41"/>
        <v>12</v>
      </c>
    </row>
    <row r="359" spans="1:9" x14ac:dyDescent="0.25">
      <c r="A359" s="19">
        <v>42152</v>
      </c>
      <c r="B359" s="20">
        <v>5.7638888888888892E-2</v>
      </c>
      <c r="C359" t="str">
        <f t="shared" si="35"/>
        <v>15</v>
      </c>
      <c r="D359" t="str">
        <f t="shared" si="36"/>
        <v>05</v>
      </c>
      <c r="E359" t="str">
        <f t="shared" si="37"/>
        <v>28</v>
      </c>
      <c r="F359">
        <f t="shared" si="38"/>
        <v>2015</v>
      </c>
      <c r="G359">
        <f t="shared" si="39"/>
        <v>5</v>
      </c>
      <c r="H359">
        <f t="shared" si="40"/>
        <v>28</v>
      </c>
      <c r="I359" t="str">
        <f t="shared" si="41"/>
        <v>15</v>
      </c>
    </row>
    <row r="360" spans="1:9" x14ac:dyDescent="0.25">
      <c r="A360" s="19">
        <v>41877</v>
      </c>
      <c r="B360" s="20">
        <v>0.94930555555555551</v>
      </c>
      <c r="C360" t="str">
        <f t="shared" si="35"/>
        <v>14</v>
      </c>
      <c r="D360" t="str">
        <f t="shared" si="36"/>
        <v>08</v>
      </c>
      <c r="E360" t="str">
        <f t="shared" si="37"/>
        <v>26</v>
      </c>
      <c r="F360">
        <f t="shared" si="38"/>
        <v>2014</v>
      </c>
      <c r="G360">
        <f t="shared" si="39"/>
        <v>8</v>
      </c>
      <c r="H360">
        <f t="shared" si="40"/>
        <v>26</v>
      </c>
      <c r="I360" t="str">
        <f t="shared" si="41"/>
        <v>14</v>
      </c>
    </row>
    <row r="361" spans="1:9" x14ac:dyDescent="0.25">
      <c r="A361" s="19">
        <v>42362</v>
      </c>
      <c r="B361" s="20">
        <v>3.2638888888888891E-2</v>
      </c>
      <c r="C361" t="str">
        <f t="shared" si="35"/>
        <v>15</v>
      </c>
      <c r="D361" t="str">
        <f t="shared" si="36"/>
        <v>12</v>
      </c>
      <c r="E361" t="str">
        <f t="shared" si="37"/>
        <v>24</v>
      </c>
      <c r="F361">
        <f t="shared" si="38"/>
        <v>2015</v>
      </c>
      <c r="G361">
        <f t="shared" si="39"/>
        <v>12</v>
      </c>
      <c r="H361">
        <f t="shared" si="40"/>
        <v>24</v>
      </c>
      <c r="I361" t="str">
        <f t="shared" si="41"/>
        <v>15</v>
      </c>
    </row>
    <row r="362" spans="1:9" x14ac:dyDescent="0.25">
      <c r="A362" s="19">
        <v>41594</v>
      </c>
      <c r="B362" s="20">
        <v>0.99652777777777779</v>
      </c>
      <c r="C362" t="str">
        <f t="shared" si="35"/>
        <v>13</v>
      </c>
      <c r="D362" t="str">
        <f t="shared" si="36"/>
        <v>11</v>
      </c>
      <c r="E362" t="str">
        <f t="shared" si="37"/>
        <v>16</v>
      </c>
      <c r="F362">
        <f t="shared" si="38"/>
        <v>2013</v>
      </c>
      <c r="G362">
        <f t="shared" si="39"/>
        <v>11</v>
      </c>
      <c r="H362">
        <f t="shared" si="40"/>
        <v>16</v>
      </c>
      <c r="I362" t="str">
        <f t="shared" si="41"/>
        <v>13</v>
      </c>
    </row>
    <row r="363" spans="1:9" x14ac:dyDescent="0.25">
      <c r="A363" s="19">
        <v>42616</v>
      </c>
      <c r="B363" s="20">
        <v>0.97083333333333333</v>
      </c>
      <c r="C363" t="str">
        <f t="shared" si="35"/>
        <v>16</v>
      </c>
      <c r="D363" t="str">
        <f t="shared" si="36"/>
        <v>09</v>
      </c>
      <c r="E363" t="str">
        <f t="shared" si="37"/>
        <v>03</v>
      </c>
      <c r="F363">
        <f t="shared" si="38"/>
        <v>2016</v>
      </c>
      <c r="G363">
        <f t="shared" si="39"/>
        <v>9</v>
      </c>
      <c r="H363">
        <f t="shared" si="40"/>
        <v>3</v>
      </c>
      <c r="I363" t="str">
        <f t="shared" si="41"/>
        <v>16</v>
      </c>
    </row>
    <row r="364" spans="1:9" x14ac:dyDescent="0.25">
      <c r="A364" s="19">
        <v>42338</v>
      </c>
      <c r="B364" s="20">
        <v>3.3333333333333333E-2</v>
      </c>
      <c r="C364" t="str">
        <f t="shared" si="35"/>
        <v>15</v>
      </c>
      <c r="D364" t="str">
        <f t="shared" si="36"/>
        <v>11</v>
      </c>
      <c r="E364" t="str">
        <f t="shared" si="37"/>
        <v>30</v>
      </c>
      <c r="F364">
        <f t="shared" si="38"/>
        <v>2015</v>
      </c>
      <c r="G364">
        <f t="shared" si="39"/>
        <v>11</v>
      </c>
      <c r="H364">
        <f t="shared" si="40"/>
        <v>30</v>
      </c>
      <c r="I364" t="str">
        <f t="shared" si="41"/>
        <v>15</v>
      </c>
    </row>
    <row r="365" spans="1:9" x14ac:dyDescent="0.25">
      <c r="A365" s="19">
        <v>41374</v>
      </c>
      <c r="B365" s="20">
        <v>0.97986111111111107</v>
      </c>
      <c r="C365" t="str">
        <f t="shared" si="35"/>
        <v>13</v>
      </c>
      <c r="D365" t="str">
        <f t="shared" si="36"/>
        <v>04</v>
      </c>
      <c r="E365" t="str">
        <f t="shared" si="37"/>
        <v>10</v>
      </c>
      <c r="F365">
        <f t="shared" si="38"/>
        <v>2013</v>
      </c>
      <c r="G365">
        <f t="shared" si="39"/>
        <v>4</v>
      </c>
      <c r="H365">
        <f t="shared" si="40"/>
        <v>10</v>
      </c>
      <c r="I365" t="str">
        <f t="shared" si="41"/>
        <v>13</v>
      </c>
    </row>
    <row r="366" spans="1:9" x14ac:dyDescent="0.25">
      <c r="A366" s="19">
        <v>41327</v>
      </c>
      <c r="B366" s="20">
        <v>1.3194444444444444E-2</v>
      </c>
      <c r="C366" t="str">
        <f t="shared" si="35"/>
        <v>13</v>
      </c>
      <c r="D366" t="str">
        <f t="shared" si="36"/>
        <v>02</v>
      </c>
      <c r="E366" t="str">
        <f t="shared" si="37"/>
        <v>22</v>
      </c>
      <c r="F366">
        <f t="shared" si="38"/>
        <v>2013</v>
      </c>
      <c r="G366">
        <f t="shared" si="39"/>
        <v>2</v>
      </c>
      <c r="H366">
        <f t="shared" si="40"/>
        <v>22</v>
      </c>
      <c r="I366" t="str">
        <f t="shared" si="41"/>
        <v>13</v>
      </c>
    </row>
    <row r="367" spans="1:9" x14ac:dyDescent="0.25">
      <c r="A367" s="19">
        <v>41142</v>
      </c>
      <c r="B367" s="20">
        <v>0.98055555555555551</v>
      </c>
      <c r="C367" t="str">
        <f t="shared" si="35"/>
        <v>12</v>
      </c>
      <c r="D367" t="str">
        <f t="shared" si="36"/>
        <v>08</v>
      </c>
      <c r="E367" t="str">
        <f t="shared" si="37"/>
        <v>21</v>
      </c>
      <c r="F367">
        <f t="shared" si="38"/>
        <v>2012</v>
      </c>
      <c r="G367">
        <f t="shared" si="39"/>
        <v>8</v>
      </c>
      <c r="H367">
        <f t="shared" si="40"/>
        <v>21</v>
      </c>
      <c r="I367" t="str">
        <f t="shared" si="41"/>
        <v>12</v>
      </c>
    </row>
    <row r="368" spans="1:9" x14ac:dyDescent="0.25">
      <c r="A368" s="19">
        <v>41877</v>
      </c>
      <c r="B368" s="20">
        <v>0.95416666666666672</v>
      </c>
      <c r="C368" t="str">
        <f t="shared" si="35"/>
        <v>14</v>
      </c>
      <c r="D368" t="str">
        <f t="shared" si="36"/>
        <v>08</v>
      </c>
      <c r="E368" t="str">
        <f t="shared" si="37"/>
        <v>26</v>
      </c>
      <c r="F368">
        <f t="shared" si="38"/>
        <v>2014</v>
      </c>
      <c r="G368">
        <f t="shared" si="39"/>
        <v>8</v>
      </c>
      <c r="H368">
        <f t="shared" si="40"/>
        <v>26</v>
      </c>
      <c r="I368" t="str">
        <f t="shared" si="41"/>
        <v>14</v>
      </c>
    </row>
    <row r="369" spans="1:9" x14ac:dyDescent="0.25">
      <c r="A369" s="19">
        <v>41077</v>
      </c>
      <c r="B369" s="20">
        <v>0.99375000000000002</v>
      </c>
      <c r="C369" t="str">
        <f t="shared" si="35"/>
        <v>12</v>
      </c>
      <c r="D369" t="str">
        <f t="shared" si="36"/>
        <v>06</v>
      </c>
      <c r="E369" t="str">
        <f t="shared" si="37"/>
        <v>17</v>
      </c>
      <c r="F369">
        <f t="shared" si="38"/>
        <v>2012</v>
      </c>
      <c r="G369">
        <f t="shared" si="39"/>
        <v>6</v>
      </c>
      <c r="H369">
        <f t="shared" si="40"/>
        <v>17</v>
      </c>
      <c r="I369" t="str">
        <f t="shared" si="41"/>
        <v>12</v>
      </c>
    </row>
    <row r="370" spans="1:9" x14ac:dyDescent="0.25">
      <c r="A370" s="19">
        <v>41149</v>
      </c>
      <c r="B370" s="20">
        <v>0.97569444444444442</v>
      </c>
      <c r="C370" t="str">
        <f t="shared" si="35"/>
        <v>12</v>
      </c>
      <c r="D370" t="str">
        <f t="shared" si="36"/>
        <v>08</v>
      </c>
      <c r="E370" t="str">
        <f t="shared" si="37"/>
        <v>28</v>
      </c>
      <c r="F370">
        <f t="shared" si="38"/>
        <v>2012</v>
      </c>
      <c r="G370">
        <f t="shared" si="39"/>
        <v>8</v>
      </c>
      <c r="H370">
        <f t="shared" si="40"/>
        <v>28</v>
      </c>
      <c r="I370" t="str">
        <f t="shared" si="41"/>
        <v>12</v>
      </c>
    </row>
    <row r="371" spans="1:9" x14ac:dyDescent="0.25">
      <c r="A371" s="19">
        <v>41478</v>
      </c>
      <c r="B371" s="20">
        <v>1.0416666666666666E-2</v>
      </c>
      <c r="C371" t="str">
        <f t="shared" si="35"/>
        <v>13</v>
      </c>
      <c r="D371" t="str">
        <f t="shared" si="36"/>
        <v>07</v>
      </c>
      <c r="E371" t="str">
        <f t="shared" si="37"/>
        <v>23</v>
      </c>
      <c r="F371">
        <f t="shared" si="38"/>
        <v>2013</v>
      </c>
      <c r="G371">
        <f t="shared" si="39"/>
        <v>7</v>
      </c>
      <c r="H371">
        <f t="shared" si="40"/>
        <v>23</v>
      </c>
      <c r="I371" t="str">
        <f t="shared" si="41"/>
        <v>13</v>
      </c>
    </row>
    <row r="372" spans="1:9" x14ac:dyDescent="0.25">
      <c r="A372" s="19">
        <v>41254</v>
      </c>
      <c r="B372" s="20">
        <v>3.6111111111111108E-2</v>
      </c>
      <c r="C372" t="str">
        <f t="shared" si="35"/>
        <v>12</v>
      </c>
      <c r="D372" t="str">
        <f t="shared" si="36"/>
        <v>12</v>
      </c>
      <c r="E372" t="str">
        <f t="shared" si="37"/>
        <v>11</v>
      </c>
      <c r="F372">
        <f t="shared" si="38"/>
        <v>2012</v>
      </c>
      <c r="G372">
        <f t="shared" si="39"/>
        <v>12</v>
      </c>
      <c r="H372">
        <f t="shared" si="40"/>
        <v>11</v>
      </c>
      <c r="I372" t="str">
        <f t="shared" si="41"/>
        <v>12</v>
      </c>
    </row>
    <row r="373" spans="1:9" x14ac:dyDescent="0.25">
      <c r="A373" s="19">
        <v>42300</v>
      </c>
      <c r="B373" s="20">
        <v>1.1805555555555555E-2</v>
      </c>
      <c r="C373" t="str">
        <f t="shared" si="35"/>
        <v>15</v>
      </c>
      <c r="D373" t="str">
        <f t="shared" si="36"/>
        <v>10</v>
      </c>
      <c r="E373" t="str">
        <f t="shared" si="37"/>
        <v>23</v>
      </c>
      <c r="F373">
        <f t="shared" si="38"/>
        <v>2015</v>
      </c>
      <c r="G373">
        <f t="shared" si="39"/>
        <v>10</v>
      </c>
      <c r="H373">
        <f t="shared" si="40"/>
        <v>23</v>
      </c>
      <c r="I373" t="str">
        <f t="shared" si="41"/>
        <v>15</v>
      </c>
    </row>
    <row r="374" spans="1:9" x14ac:dyDescent="0.25">
      <c r="A374" s="19">
        <v>41304</v>
      </c>
      <c r="B374" s="20">
        <v>8.1944444444444445E-2</v>
      </c>
      <c r="C374" t="str">
        <f t="shared" si="35"/>
        <v>13</v>
      </c>
      <c r="D374" t="str">
        <f t="shared" si="36"/>
        <v>01</v>
      </c>
      <c r="E374" t="str">
        <f t="shared" si="37"/>
        <v>30</v>
      </c>
      <c r="F374">
        <f t="shared" si="38"/>
        <v>2013</v>
      </c>
      <c r="G374">
        <f t="shared" si="39"/>
        <v>1</v>
      </c>
      <c r="H374">
        <f t="shared" si="40"/>
        <v>30</v>
      </c>
      <c r="I374" t="str">
        <f t="shared" si="41"/>
        <v>13</v>
      </c>
    </row>
    <row r="375" spans="1:9" x14ac:dyDescent="0.25">
      <c r="A375" s="19">
        <v>41483</v>
      </c>
      <c r="B375" s="20">
        <v>0.98055555555555551</v>
      </c>
      <c r="C375" t="str">
        <f t="shared" si="35"/>
        <v>13</v>
      </c>
      <c r="D375" t="str">
        <f t="shared" si="36"/>
        <v>07</v>
      </c>
      <c r="E375" t="str">
        <f t="shared" si="37"/>
        <v>28</v>
      </c>
      <c r="F375">
        <f t="shared" si="38"/>
        <v>2013</v>
      </c>
      <c r="G375">
        <f t="shared" si="39"/>
        <v>7</v>
      </c>
      <c r="H375">
        <f t="shared" si="40"/>
        <v>28</v>
      </c>
      <c r="I375" t="str">
        <f t="shared" si="41"/>
        <v>13</v>
      </c>
    </row>
    <row r="376" spans="1:9" x14ac:dyDescent="0.25">
      <c r="A376" s="19">
        <v>41676</v>
      </c>
      <c r="B376" s="20">
        <v>6.458333333333334E-2</v>
      </c>
      <c r="C376" t="str">
        <f t="shared" si="35"/>
        <v>14</v>
      </c>
      <c r="D376" t="str">
        <f t="shared" si="36"/>
        <v>02</v>
      </c>
      <c r="E376" t="str">
        <f t="shared" si="37"/>
        <v>06</v>
      </c>
      <c r="F376">
        <f t="shared" si="38"/>
        <v>2014</v>
      </c>
      <c r="G376">
        <f t="shared" si="39"/>
        <v>2</v>
      </c>
      <c r="H376">
        <f t="shared" si="40"/>
        <v>6</v>
      </c>
      <c r="I376" t="str">
        <f t="shared" si="41"/>
        <v>14</v>
      </c>
    </row>
    <row r="377" spans="1:9" x14ac:dyDescent="0.25">
      <c r="A377" s="19">
        <v>41464</v>
      </c>
      <c r="B377" s="20">
        <v>4.1666666666666664E-2</v>
      </c>
      <c r="C377" t="str">
        <f t="shared" si="35"/>
        <v>13</v>
      </c>
      <c r="D377" t="str">
        <f t="shared" si="36"/>
        <v>07</v>
      </c>
      <c r="E377" t="str">
        <f t="shared" si="37"/>
        <v>09</v>
      </c>
      <c r="F377">
        <f t="shared" si="38"/>
        <v>2013</v>
      </c>
      <c r="G377">
        <f t="shared" si="39"/>
        <v>7</v>
      </c>
      <c r="H377">
        <f t="shared" si="40"/>
        <v>9</v>
      </c>
      <c r="I377" t="str">
        <f t="shared" si="41"/>
        <v>13</v>
      </c>
    </row>
    <row r="378" spans="1:9" x14ac:dyDescent="0.25">
      <c r="A378" s="19">
        <v>42344</v>
      </c>
      <c r="B378" s="20">
        <v>1.3888888888888889E-3</v>
      </c>
      <c r="C378" t="str">
        <f t="shared" si="35"/>
        <v>15</v>
      </c>
      <c r="D378" t="str">
        <f t="shared" si="36"/>
        <v>12</v>
      </c>
      <c r="E378" t="str">
        <f t="shared" si="37"/>
        <v>06</v>
      </c>
      <c r="F378">
        <f t="shared" si="38"/>
        <v>2015</v>
      </c>
      <c r="G378">
        <f t="shared" si="39"/>
        <v>12</v>
      </c>
      <c r="H378">
        <f t="shared" si="40"/>
        <v>6</v>
      </c>
      <c r="I378" t="str">
        <f t="shared" si="41"/>
        <v>15</v>
      </c>
    </row>
    <row r="379" spans="1:9" x14ac:dyDescent="0.25">
      <c r="A379" s="19">
        <v>41733</v>
      </c>
      <c r="B379" s="20">
        <v>5.2777777777777778E-2</v>
      </c>
      <c r="C379" t="str">
        <f t="shared" si="35"/>
        <v>14</v>
      </c>
      <c r="D379" t="str">
        <f t="shared" si="36"/>
        <v>04</v>
      </c>
      <c r="E379" t="str">
        <f t="shared" si="37"/>
        <v>04</v>
      </c>
      <c r="F379">
        <f t="shared" si="38"/>
        <v>2014</v>
      </c>
      <c r="G379">
        <f t="shared" si="39"/>
        <v>4</v>
      </c>
      <c r="H379">
        <f t="shared" si="40"/>
        <v>4</v>
      </c>
      <c r="I379" t="str">
        <f t="shared" si="41"/>
        <v>14</v>
      </c>
    </row>
    <row r="380" spans="1:9" x14ac:dyDescent="0.25">
      <c r="A380" s="19">
        <v>41445</v>
      </c>
      <c r="B380" s="20">
        <v>4.7222222222222221E-2</v>
      </c>
      <c r="C380" t="str">
        <f t="shared" si="35"/>
        <v>13</v>
      </c>
      <c r="D380" t="str">
        <f t="shared" si="36"/>
        <v>06</v>
      </c>
      <c r="E380" t="str">
        <f t="shared" si="37"/>
        <v>20</v>
      </c>
      <c r="F380">
        <f t="shared" si="38"/>
        <v>2013</v>
      </c>
      <c r="G380">
        <f t="shared" si="39"/>
        <v>6</v>
      </c>
      <c r="H380">
        <f t="shared" si="40"/>
        <v>20</v>
      </c>
      <c r="I380" t="str">
        <f t="shared" si="41"/>
        <v>13</v>
      </c>
    </row>
    <row r="381" spans="1:9" x14ac:dyDescent="0.25">
      <c r="A381" s="19">
        <v>41774</v>
      </c>
      <c r="B381" s="20">
        <v>0.99097222222222225</v>
      </c>
      <c r="C381" t="str">
        <f t="shared" si="35"/>
        <v>14</v>
      </c>
      <c r="D381" t="str">
        <f t="shared" si="36"/>
        <v>05</v>
      </c>
      <c r="E381" t="str">
        <f t="shared" si="37"/>
        <v>15</v>
      </c>
      <c r="F381">
        <f t="shared" si="38"/>
        <v>2014</v>
      </c>
      <c r="G381">
        <f t="shared" si="39"/>
        <v>5</v>
      </c>
      <c r="H381">
        <f t="shared" si="40"/>
        <v>15</v>
      </c>
      <c r="I381" t="str">
        <f t="shared" si="41"/>
        <v>14</v>
      </c>
    </row>
    <row r="382" spans="1:9" x14ac:dyDescent="0.25">
      <c r="A382" s="19">
        <v>42053</v>
      </c>
      <c r="B382" s="20">
        <v>0.98819444444444449</v>
      </c>
      <c r="C382" t="str">
        <f t="shared" si="35"/>
        <v>15</v>
      </c>
      <c r="D382" t="str">
        <f t="shared" si="36"/>
        <v>02</v>
      </c>
      <c r="E382" t="str">
        <f t="shared" si="37"/>
        <v>18</v>
      </c>
      <c r="F382">
        <f t="shared" si="38"/>
        <v>2015</v>
      </c>
      <c r="G382">
        <f t="shared" si="39"/>
        <v>2</v>
      </c>
      <c r="H382">
        <f t="shared" si="40"/>
        <v>18</v>
      </c>
      <c r="I382" t="str">
        <f t="shared" si="41"/>
        <v>15</v>
      </c>
    </row>
    <row r="383" spans="1:9" x14ac:dyDescent="0.25">
      <c r="A383" s="19">
        <v>41399</v>
      </c>
      <c r="B383" s="20">
        <v>5.6250000000000001E-2</v>
      </c>
      <c r="C383" t="str">
        <f t="shared" si="35"/>
        <v>13</v>
      </c>
      <c r="D383" t="str">
        <f t="shared" si="36"/>
        <v>05</v>
      </c>
      <c r="E383" t="str">
        <f t="shared" si="37"/>
        <v>05</v>
      </c>
      <c r="F383">
        <f t="shared" si="38"/>
        <v>2013</v>
      </c>
      <c r="G383">
        <f t="shared" si="39"/>
        <v>5</v>
      </c>
      <c r="H383">
        <f t="shared" si="40"/>
        <v>5</v>
      </c>
      <c r="I383" t="str">
        <f t="shared" si="41"/>
        <v>13</v>
      </c>
    </row>
    <row r="384" spans="1:9" x14ac:dyDescent="0.25">
      <c r="A384" s="19">
        <v>40939</v>
      </c>
      <c r="B384" s="20">
        <v>4.027777777777778E-2</v>
      </c>
      <c r="C384" t="str">
        <f t="shared" si="35"/>
        <v>12</v>
      </c>
      <c r="D384" t="str">
        <f t="shared" si="36"/>
        <v>01</v>
      </c>
      <c r="E384" t="str">
        <f t="shared" si="37"/>
        <v>31</v>
      </c>
      <c r="F384">
        <f t="shared" si="38"/>
        <v>2012</v>
      </c>
      <c r="G384">
        <f t="shared" si="39"/>
        <v>1</v>
      </c>
      <c r="H384">
        <f t="shared" si="40"/>
        <v>31</v>
      </c>
      <c r="I384" t="str">
        <f t="shared" si="41"/>
        <v>12</v>
      </c>
    </row>
    <row r="385" spans="1:9" x14ac:dyDescent="0.25">
      <c r="A385" s="19">
        <v>42606</v>
      </c>
      <c r="B385" s="20">
        <v>0.99375000000000002</v>
      </c>
      <c r="C385" t="str">
        <f t="shared" si="35"/>
        <v>16</v>
      </c>
      <c r="D385" t="str">
        <f t="shared" si="36"/>
        <v>08</v>
      </c>
      <c r="E385" t="str">
        <f t="shared" si="37"/>
        <v>24</v>
      </c>
      <c r="F385">
        <f t="shared" si="38"/>
        <v>2016</v>
      </c>
      <c r="G385">
        <f t="shared" si="39"/>
        <v>8</v>
      </c>
      <c r="H385">
        <f t="shared" si="40"/>
        <v>24</v>
      </c>
      <c r="I385" t="str">
        <f t="shared" si="41"/>
        <v>16</v>
      </c>
    </row>
    <row r="386" spans="1:9" x14ac:dyDescent="0.25">
      <c r="A386" s="19">
        <v>41961</v>
      </c>
      <c r="B386" s="20">
        <v>0.99861111111111112</v>
      </c>
      <c r="C386" t="str">
        <f t="shared" si="35"/>
        <v>14</v>
      </c>
      <c r="D386" t="str">
        <f t="shared" si="36"/>
        <v>11</v>
      </c>
      <c r="E386" t="str">
        <f t="shared" si="37"/>
        <v>18</v>
      </c>
      <c r="F386">
        <f t="shared" si="38"/>
        <v>2014</v>
      </c>
      <c r="G386">
        <f t="shared" si="39"/>
        <v>11</v>
      </c>
      <c r="H386">
        <f t="shared" si="40"/>
        <v>18</v>
      </c>
      <c r="I386" t="str">
        <f t="shared" si="41"/>
        <v>14</v>
      </c>
    </row>
    <row r="387" spans="1:9" x14ac:dyDescent="0.25">
      <c r="A387" s="19">
        <v>41522</v>
      </c>
      <c r="B387" s="20">
        <v>6.1805555555555558E-2</v>
      </c>
      <c r="C387" t="str">
        <f t="shared" ref="C387:C450" si="42">TEXT(A387,"YY")</f>
        <v>13</v>
      </c>
      <c r="D387" t="str">
        <f t="shared" ref="D387:D450" si="43">TEXT(A387,"mm")</f>
        <v>09</v>
      </c>
      <c r="E387" t="str">
        <f t="shared" ref="E387:E450" si="44">TEXT(A387,"dd")</f>
        <v>05</v>
      </c>
      <c r="F387">
        <f t="shared" ref="F387:F450" si="45">YEAR($A387)</f>
        <v>2013</v>
      </c>
      <c r="G387">
        <f t="shared" ref="G387:G450" si="46">MONTH($A387)</f>
        <v>9</v>
      </c>
      <c r="H387">
        <f t="shared" ref="H387:H450" si="47">DAY($A387)</f>
        <v>5</v>
      </c>
      <c r="I387" t="str">
        <f t="shared" ref="I387:I450" si="48">TEXT($A387,"YY")</f>
        <v>13</v>
      </c>
    </row>
    <row r="388" spans="1:9" x14ac:dyDescent="0.25">
      <c r="A388" s="19">
        <v>41166</v>
      </c>
      <c r="B388" s="20">
        <v>0.99861111111111112</v>
      </c>
      <c r="C388" t="str">
        <f t="shared" si="42"/>
        <v>12</v>
      </c>
      <c r="D388" t="str">
        <f t="shared" si="43"/>
        <v>09</v>
      </c>
      <c r="E388" t="str">
        <f t="shared" si="44"/>
        <v>14</v>
      </c>
      <c r="F388">
        <f t="shared" si="45"/>
        <v>2012</v>
      </c>
      <c r="G388">
        <f t="shared" si="46"/>
        <v>9</v>
      </c>
      <c r="H388">
        <f t="shared" si="47"/>
        <v>14</v>
      </c>
      <c r="I388" t="str">
        <f t="shared" si="48"/>
        <v>12</v>
      </c>
    </row>
    <row r="389" spans="1:9" x14ac:dyDescent="0.25">
      <c r="A389" s="19">
        <v>41405</v>
      </c>
      <c r="B389" s="20">
        <v>4.5138888888888888E-2</v>
      </c>
      <c r="C389" t="str">
        <f t="shared" si="42"/>
        <v>13</v>
      </c>
      <c r="D389" t="str">
        <f t="shared" si="43"/>
        <v>05</v>
      </c>
      <c r="E389" t="str">
        <f t="shared" si="44"/>
        <v>11</v>
      </c>
      <c r="F389">
        <f t="shared" si="45"/>
        <v>2013</v>
      </c>
      <c r="G389">
        <f t="shared" si="46"/>
        <v>5</v>
      </c>
      <c r="H389">
        <f t="shared" si="47"/>
        <v>11</v>
      </c>
      <c r="I389" t="str">
        <f t="shared" si="48"/>
        <v>13</v>
      </c>
    </row>
    <row r="390" spans="1:9" x14ac:dyDescent="0.25">
      <c r="A390" s="19">
        <v>41852</v>
      </c>
      <c r="B390" s="20">
        <v>0.93888888888888888</v>
      </c>
      <c r="C390" t="str">
        <f t="shared" si="42"/>
        <v>14</v>
      </c>
      <c r="D390" t="str">
        <f t="shared" si="43"/>
        <v>08</v>
      </c>
      <c r="E390" t="str">
        <f t="shared" si="44"/>
        <v>01</v>
      </c>
      <c r="F390">
        <f t="shared" si="45"/>
        <v>2014</v>
      </c>
      <c r="G390">
        <f t="shared" si="46"/>
        <v>8</v>
      </c>
      <c r="H390">
        <f t="shared" si="47"/>
        <v>1</v>
      </c>
      <c r="I390" t="str">
        <f t="shared" si="48"/>
        <v>14</v>
      </c>
    </row>
    <row r="391" spans="1:9" x14ac:dyDescent="0.25">
      <c r="A391" s="19">
        <v>41288</v>
      </c>
      <c r="B391" s="20">
        <v>3.7499999999999999E-2</v>
      </c>
      <c r="C391" t="str">
        <f t="shared" si="42"/>
        <v>13</v>
      </c>
      <c r="D391" t="str">
        <f t="shared" si="43"/>
        <v>01</v>
      </c>
      <c r="E391" t="str">
        <f t="shared" si="44"/>
        <v>14</v>
      </c>
      <c r="F391">
        <f t="shared" si="45"/>
        <v>2013</v>
      </c>
      <c r="G391">
        <f t="shared" si="46"/>
        <v>1</v>
      </c>
      <c r="H391">
        <f t="shared" si="47"/>
        <v>14</v>
      </c>
      <c r="I391" t="str">
        <f t="shared" si="48"/>
        <v>13</v>
      </c>
    </row>
    <row r="392" spans="1:9" x14ac:dyDescent="0.25">
      <c r="A392" s="19">
        <v>42628</v>
      </c>
      <c r="B392" s="20">
        <v>0.95833333333333337</v>
      </c>
      <c r="C392" t="str">
        <f t="shared" si="42"/>
        <v>16</v>
      </c>
      <c r="D392" t="str">
        <f t="shared" si="43"/>
        <v>09</v>
      </c>
      <c r="E392" t="str">
        <f t="shared" si="44"/>
        <v>15</v>
      </c>
      <c r="F392">
        <f t="shared" si="45"/>
        <v>2016</v>
      </c>
      <c r="G392">
        <f t="shared" si="46"/>
        <v>9</v>
      </c>
      <c r="H392">
        <f t="shared" si="47"/>
        <v>15</v>
      </c>
      <c r="I392" t="str">
        <f t="shared" si="48"/>
        <v>16</v>
      </c>
    </row>
    <row r="393" spans="1:9" x14ac:dyDescent="0.25">
      <c r="A393" s="19">
        <v>41939</v>
      </c>
      <c r="B393" s="20">
        <v>2.7777777777777779E-3</v>
      </c>
      <c r="C393" t="str">
        <f t="shared" si="42"/>
        <v>14</v>
      </c>
      <c r="D393" t="str">
        <f t="shared" si="43"/>
        <v>10</v>
      </c>
      <c r="E393" t="str">
        <f t="shared" si="44"/>
        <v>27</v>
      </c>
      <c r="F393">
        <f t="shared" si="45"/>
        <v>2014</v>
      </c>
      <c r="G393">
        <f t="shared" si="46"/>
        <v>10</v>
      </c>
      <c r="H393">
        <f t="shared" si="47"/>
        <v>27</v>
      </c>
      <c r="I393" t="str">
        <f t="shared" si="48"/>
        <v>14</v>
      </c>
    </row>
    <row r="394" spans="1:9" x14ac:dyDescent="0.25">
      <c r="A394" s="19">
        <v>41543</v>
      </c>
      <c r="B394" s="20">
        <v>0.98750000000000004</v>
      </c>
      <c r="C394" t="str">
        <f t="shared" si="42"/>
        <v>13</v>
      </c>
      <c r="D394" t="str">
        <f t="shared" si="43"/>
        <v>09</v>
      </c>
      <c r="E394" t="str">
        <f t="shared" si="44"/>
        <v>26</v>
      </c>
      <c r="F394">
        <f t="shared" si="45"/>
        <v>2013</v>
      </c>
      <c r="G394">
        <f t="shared" si="46"/>
        <v>9</v>
      </c>
      <c r="H394">
        <f t="shared" si="47"/>
        <v>26</v>
      </c>
      <c r="I394" t="str">
        <f t="shared" si="48"/>
        <v>13</v>
      </c>
    </row>
    <row r="395" spans="1:9" x14ac:dyDescent="0.25">
      <c r="A395" s="19">
        <v>41461</v>
      </c>
      <c r="B395" s="20">
        <v>0.98402777777777772</v>
      </c>
      <c r="C395" t="str">
        <f t="shared" si="42"/>
        <v>13</v>
      </c>
      <c r="D395" t="str">
        <f t="shared" si="43"/>
        <v>07</v>
      </c>
      <c r="E395" t="str">
        <f t="shared" si="44"/>
        <v>06</v>
      </c>
      <c r="F395">
        <f t="shared" si="45"/>
        <v>2013</v>
      </c>
      <c r="G395">
        <f t="shared" si="46"/>
        <v>7</v>
      </c>
      <c r="H395">
        <f t="shared" si="47"/>
        <v>6</v>
      </c>
      <c r="I395" t="str">
        <f t="shared" si="48"/>
        <v>13</v>
      </c>
    </row>
    <row r="396" spans="1:9" x14ac:dyDescent="0.25">
      <c r="A396" s="19">
        <v>41715</v>
      </c>
      <c r="B396" s="20">
        <v>9.7222222222222224E-3</v>
      </c>
      <c r="C396" t="str">
        <f t="shared" si="42"/>
        <v>14</v>
      </c>
      <c r="D396" t="str">
        <f t="shared" si="43"/>
        <v>03</v>
      </c>
      <c r="E396" t="str">
        <f t="shared" si="44"/>
        <v>17</v>
      </c>
      <c r="F396">
        <f t="shared" si="45"/>
        <v>2014</v>
      </c>
      <c r="G396">
        <f t="shared" si="46"/>
        <v>3</v>
      </c>
      <c r="H396">
        <f t="shared" si="47"/>
        <v>17</v>
      </c>
      <c r="I396" t="str">
        <f t="shared" si="48"/>
        <v>14</v>
      </c>
    </row>
    <row r="397" spans="1:9" x14ac:dyDescent="0.25">
      <c r="A397" s="19">
        <v>42264</v>
      </c>
      <c r="B397" s="20">
        <v>0.99375000000000002</v>
      </c>
      <c r="C397" t="str">
        <f t="shared" si="42"/>
        <v>15</v>
      </c>
      <c r="D397" t="str">
        <f t="shared" si="43"/>
        <v>09</v>
      </c>
      <c r="E397" t="str">
        <f t="shared" si="44"/>
        <v>17</v>
      </c>
      <c r="F397">
        <f t="shared" si="45"/>
        <v>2015</v>
      </c>
      <c r="G397">
        <f t="shared" si="46"/>
        <v>9</v>
      </c>
      <c r="H397">
        <f t="shared" si="47"/>
        <v>17</v>
      </c>
      <c r="I397" t="str">
        <f t="shared" si="48"/>
        <v>15</v>
      </c>
    </row>
    <row r="398" spans="1:9" x14ac:dyDescent="0.25">
      <c r="A398" s="19">
        <v>41081</v>
      </c>
      <c r="B398" s="20">
        <v>8.1944444444444445E-2</v>
      </c>
      <c r="C398" t="str">
        <f t="shared" si="42"/>
        <v>12</v>
      </c>
      <c r="D398" t="str">
        <f t="shared" si="43"/>
        <v>06</v>
      </c>
      <c r="E398" t="str">
        <f t="shared" si="44"/>
        <v>21</v>
      </c>
      <c r="F398">
        <f t="shared" si="45"/>
        <v>2012</v>
      </c>
      <c r="G398">
        <f t="shared" si="46"/>
        <v>6</v>
      </c>
      <c r="H398">
        <f t="shared" si="47"/>
        <v>21</v>
      </c>
      <c r="I398" t="str">
        <f t="shared" si="48"/>
        <v>12</v>
      </c>
    </row>
    <row r="399" spans="1:9" x14ac:dyDescent="0.25">
      <c r="A399" s="19">
        <v>41676</v>
      </c>
      <c r="B399" s="20">
        <v>7.8472222222222221E-2</v>
      </c>
      <c r="C399" t="str">
        <f t="shared" si="42"/>
        <v>14</v>
      </c>
      <c r="D399" t="str">
        <f t="shared" si="43"/>
        <v>02</v>
      </c>
      <c r="E399" t="str">
        <f t="shared" si="44"/>
        <v>06</v>
      </c>
      <c r="F399">
        <f t="shared" si="45"/>
        <v>2014</v>
      </c>
      <c r="G399">
        <f t="shared" si="46"/>
        <v>2</v>
      </c>
      <c r="H399">
        <f t="shared" si="47"/>
        <v>6</v>
      </c>
      <c r="I399" t="str">
        <f t="shared" si="48"/>
        <v>14</v>
      </c>
    </row>
    <row r="400" spans="1:9" x14ac:dyDescent="0.25">
      <c r="A400" s="19">
        <v>41242</v>
      </c>
      <c r="B400" s="20">
        <v>8.3333333333333332E-3</v>
      </c>
      <c r="C400" t="str">
        <f t="shared" si="42"/>
        <v>12</v>
      </c>
      <c r="D400" t="str">
        <f t="shared" si="43"/>
        <v>11</v>
      </c>
      <c r="E400" t="str">
        <f t="shared" si="44"/>
        <v>29</v>
      </c>
      <c r="F400">
        <f t="shared" si="45"/>
        <v>2012</v>
      </c>
      <c r="G400">
        <f t="shared" si="46"/>
        <v>11</v>
      </c>
      <c r="H400">
        <f t="shared" si="47"/>
        <v>29</v>
      </c>
      <c r="I400" t="str">
        <f t="shared" si="48"/>
        <v>12</v>
      </c>
    </row>
    <row r="401" spans="1:9" x14ac:dyDescent="0.25">
      <c r="A401" s="19">
        <v>42034</v>
      </c>
      <c r="B401" s="20">
        <v>0.99444444444444446</v>
      </c>
      <c r="C401" t="str">
        <f t="shared" si="42"/>
        <v>15</v>
      </c>
      <c r="D401" t="str">
        <f t="shared" si="43"/>
        <v>01</v>
      </c>
      <c r="E401" t="str">
        <f t="shared" si="44"/>
        <v>30</v>
      </c>
      <c r="F401">
        <f t="shared" si="45"/>
        <v>2015</v>
      </c>
      <c r="G401">
        <f t="shared" si="46"/>
        <v>1</v>
      </c>
      <c r="H401">
        <f t="shared" si="47"/>
        <v>30</v>
      </c>
      <c r="I401" t="str">
        <f t="shared" si="48"/>
        <v>15</v>
      </c>
    </row>
    <row r="402" spans="1:9" x14ac:dyDescent="0.25">
      <c r="A402" s="19">
        <v>42084</v>
      </c>
      <c r="B402" s="20">
        <v>0.97777777777777775</v>
      </c>
      <c r="C402" t="str">
        <f t="shared" si="42"/>
        <v>15</v>
      </c>
      <c r="D402" t="str">
        <f t="shared" si="43"/>
        <v>03</v>
      </c>
      <c r="E402" t="str">
        <f t="shared" si="44"/>
        <v>21</v>
      </c>
      <c r="F402">
        <f t="shared" si="45"/>
        <v>2015</v>
      </c>
      <c r="G402">
        <f t="shared" si="46"/>
        <v>3</v>
      </c>
      <c r="H402">
        <f t="shared" si="47"/>
        <v>21</v>
      </c>
      <c r="I402" t="str">
        <f t="shared" si="48"/>
        <v>15</v>
      </c>
    </row>
    <row r="403" spans="1:9" x14ac:dyDescent="0.25">
      <c r="A403" s="19">
        <v>41528</v>
      </c>
      <c r="B403" s="20">
        <v>6.6666666666666666E-2</v>
      </c>
      <c r="C403" t="str">
        <f t="shared" si="42"/>
        <v>13</v>
      </c>
      <c r="D403" t="str">
        <f t="shared" si="43"/>
        <v>09</v>
      </c>
      <c r="E403" t="str">
        <f t="shared" si="44"/>
        <v>11</v>
      </c>
      <c r="F403">
        <f t="shared" si="45"/>
        <v>2013</v>
      </c>
      <c r="G403">
        <f t="shared" si="46"/>
        <v>9</v>
      </c>
      <c r="H403">
        <f t="shared" si="47"/>
        <v>11</v>
      </c>
      <c r="I403" t="str">
        <f t="shared" si="48"/>
        <v>13</v>
      </c>
    </row>
    <row r="404" spans="1:9" x14ac:dyDescent="0.25">
      <c r="A404" s="19">
        <v>41710</v>
      </c>
      <c r="B404" s="20">
        <v>3.7499999999999999E-2</v>
      </c>
      <c r="C404" t="str">
        <f t="shared" si="42"/>
        <v>14</v>
      </c>
      <c r="D404" t="str">
        <f t="shared" si="43"/>
        <v>03</v>
      </c>
      <c r="E404" t="str">
        <f t="shared" si="44"/>
        <v>12</v>
      </c>
      <c r="F404">
        <f t="shared" si="45"/>
        <v>2014</v>
      </c>
      <c r="G404">
        <f t="shared" si="46"/>
        <v>3</v>
      </c>
      <c r="H404">
        <f t="shared" si="47"/>
        <v>12</v>
      </c>
      <c r="I404" t="str">
        <f t="shared" si="48"/>
        <v>14</v>
      </c>
    </row>
    <row r="405" spans="1:9" x14ac:dyDescent="0.25">
      <c r="A405" s="19">
        <v>41766</v>
      </c>
      <c r="B405" s="20">
        <v>5.486111111111111E-2</v>
      </c>
      <c r="C405" t="str">
        <f t="shared" si="42"/>
        <v>14</v>
      </c>
      <c r="D405" t="str">
        <f t="shared" si="43"/>
        <v>05</v>
      </c>
      <c r="E405" t="str">
        <f t="shared" si="44"/>
        <v>07</v>
      </c>
      <c r="F405">
        <f t="shared" si="45"/>
        <v>2014</v>
      </c>
      <c r="G405">
        <f t="shared" si="46"/>
        <v>5</v>
      </c>
      <c r="H405">
        <f t="shared" si="47"/>
        <v>7</v>
      </c>
      <c r="I405" t="str">
        <f t="shared" si="48"/>
        <v>14</v>
      </c>
    </row>
    <row r="406" spans="1:9" x14ac:dyDescent="0.25">
      <c r="A406" s="19">
        <v>41424</v>
      </c>
      <c r="B406" s="20">
        <v>0.99791666666666667</v>
      </c>
      <c r="C406" t="str">
        <f t="shared" si="42"/>
        <v>13</v>
      </c>
      <c r="D406" t="str">
        <f t="shared" si="43"/>
        <v>05</v>
      </c>
      <c r="E406" t="str">
        <f t="shared" si="44"/>
        <v>30</v>
      </c>
      <c r="F406">
        <f t="shared" si="45"/>
        <v>2013</v>
      </c>
      <c r="G406">
        <f t="shared" si="46"/>
        <v>5</v>
      </c>
      <c r="H406">
        <f t="shared" si="47"/>
        <v>30</v>
      </c>
      <c r="I406" t="str">
        <f t="shared" si="48"/>
        <v>13</v>
      </c>
    </row>
    <row r="407" spans="1:9" x14ac:dyDescent="0.25">
      <c r="A407" s="19">
        <v>40924</v>
      </c>
      <c r="B407" s="20">
        <v>1.5972222222222221E-2</v>
      </c>
      <c r="C407" t="str">
        <f t="shared" si="42"/>
        <v>12</v>
      </c>
      <c r="D407" t="str">
        <f t="shared" si="43"/>
        <v>01</v>
      </c>
      <c r="E407" t="str">
        <f t="shared" si="44"/>
        <v>16</v>
      </c>
      <c r="F407">
        <f t="shared" si="45"/>
        <v>2012</v>
      </c>
      <c r="G407">
        <f t="shared" si="46"/>
        <v>1</v>
      </c>
      <c r="H407">
        <f t="shared" si="47"/>
        <v>16</v>
      </c>
      <c r="I407" t="str">
        <f t="shared" si="48"/>
        <v>12</v>
      </c>
    </row>
    <row r="408" spans="1:9" x14ac:dyDescent="0.25">
      <c r="A408" s="19">
        <v>41835</v>
      </c>
      <c r="B408" s="20">
        <v>3.1944444444444442E-2</v>
      </c>
      <c r="C408" t="str">
        <f t="shared" si="42"/>
        <v>14</v>
      </c>
      <c r="D408" t="str">
        <f t="shared" si="43"/>
        <v>07</v>
      </c>
      <c r="E408" t="str">
        <f t="shared" si="44"/>
        <v>15</v>
      </c>
      <c r="F408">
        <f t="shared" si="45"/>
        <v>2014</v>
      </c>
      <c r="G408">
        <f t="shared" si="46"/>
        <v>7</v>
      </c>
      <c r="H408">
        <f t="shared" si="47"/>
        <v>15</v>
      </c>
      <c r="I408" t="str">
        <f t="shared" si="48"/>
        <v>14</v>
      </c>
    </row>
    <row r="409" spans="1:9" x14ac:dyDescent="0.25">
      <c r="A409" s="19">
        <v>41217</v>
      </c>
      <c r="B409" s="20">
        <v>4.4444444444444446E-2</v>
      </c>
      <c r="C409" t="str">
        <f t="shared" si="42"/>
        <v>12</v>
      </c>
      <c r="D409" t="str">
        <f t="shared" si="43"/>
        <v>11</v>
      </c>
      <c r="E409" t="str">
        <f t="shared" si="44"/>
        <v>04</v>
      </c>
      <c r="F409">
        <f t="shared" si="45"/>
        <v>2012</v>
      </c>
      <c r="G409">
        <f t="shared" si="46"/>
        <v>11</v>
      </c>
      <c r="H409">
        <f t="shared" si="47"/>
        <v>4</v>
      </c>
      <c r="I409" t="str">
        <f t="shared" si="48"/>
        <v>12</v>
      </c>
    </row>
    <row r="410" spans="1:9" x14ac:dyDescent="0.25">
      <c r="A410" s="19">
        <v>41744</v>
      </c>
      <c r="B410" s="20">
        <v>0.99583333333333335</v>
      </c>
      <c r="C410" t="str">
        <f t="shared" si="42"/>
        <v>14</v>
      </c>
      <c r="D410" t="str">
        <f t="shared" si="43"/>
        <v>04</v>
      </c>
      <c r="E410" t="str">
        <f t="shared" si="44"/>
        <v>15</v>
      </c>
      <c r="F410">
        <f t="shared" si="45"/>
        <v>2014</v>
      </c>
      <c r="G410">
        <f t="shared" si="46"/>
        <v>4</v>
      </c>
      <c r="H410">
        <f t="shared" si="47"/>
        <v>15</v>
      </c>
      <c r="I410" t="str">
        <f t="shared" si="48"/>
        <v>14</v>
      </c>
    </row>
    <row r="411" spans="1:9" x14ac:dyDescent="0.25">
      <c r="A411" s="19">
        <v>42038</v>
      </c>
      <c r="B411" s="20">
        <v>7.9166666666666663E-2</v>
      </c>
      <c r="C411" t="str">
        <f t="shared" si="42"/>
        <v>15</v>
      </c>
      <c r="D411" t="str">
        <f t="shared" si="43"/>
        <v>02</v>
      </c>
      <c r="E411" t="str">
        <f t="shared" si="44"/>
        <v>03</v>
      </c>
      <c r="F411">
        <f t="shared" si="45"/>
        <v>2015</v>
      </c>
      <c r="G411">
        <f t="shared" si="46"/>
        <v>2</v>
      </c>
      <c r="H411">
        <f t="shared" si="47"/>
        <v>3</v>
      </c>
      <c r="I411" t="str">
        <f t="shared" si="48"/>
        <v>15</v>
      </c>
    </row>
    <row r="412" spans="1:9" x14ac:dyDescent="0.25">
      <c r="A412" s="19">
        <v>41751</v>
      </c>
      <c r="B412" s="20">
        <v>3.472222222222222E-3</v>
      </c>
      <c r="C412" t="str">
        <f t="shared" si="42"/>
        <v>14</v>
      </c>
      <c r="D412" t="str">
        <f t="shared" si="43"/>
        <v>04</v>
      </c>
      <c r="E412" t="str">
        <f t="shared" si="44"/>
        <v>22</v>
      </c>
      <c r="F412">
        <f t="shared" si="45"/>
        <v>2014</v>
      </c>
      <c r="G412">
        <f t="shared" si="46"/>
        <v>4</v>
      </c>
      <c r="H412">
        <f t="shared" si="47"/>
        <v>22</v>
      </c>
      <c r="I412" t="str">
        <f t="shared" si="48"/>
        <v>14</v>
      </c>
    </row>
    <row r="413" spans="1:9" x14ac:dyDescent="0.25">
      <c r="A413" s="19">
        <v>42250</v>
      </c>
      <c r="B413" s="20">
        <v>0.9770833333333333</v>
      </c>
      <c r="C413" t="str">
        <f t="shared" si="42"/>
        <v>15</v>
      </c>
      <c r="D413" t="str">
        <f t="shared" si="43"/>
        <v>09</v>
      </c>
      <c r="E413" t="str">
        <f t="shared" si="44"/>
        <v>03</v>
      </c>
      <c r="F413">
        <f t="shared" si="45"/>
        <v>2015</v>
      </c>
      <c r="G413">
        <f t="shared" si="46"/>
        <v>9</v>
      </c>
      <c r="H413">
        <f t="shared" si="47"/>
        <v>3</v>
      </c>
      <c r="I413" t="str">
        <f t="shared" si="48"/>
        <v>15</v>
      </c>
    </row>
    <row r="414" spans="1:9" x14ac:dyDescent="0.25">
      <c r="A414" s="19">
        <v>42753</v>
      </c>
      <c r="B414" s="20">
        <v>7.6388888888888886E-3</v>
      </c>
      <c r="C414" t="str">
        <f t="shared" si="42"/>
        <v>17</v>
      </c>
      <c r="D414" t="str">
        <f t="shared" si="43"/>
        <v>01</v>
      </c>
      <c r="E414" t="str">
        <f t="shared" si="44"/>
        <v>18</v>
      </c>
      <c r="F414">
        <f t="shared" si="45"/>
        <v>2017</v>
      </c>
      <c r="G414">
        <f t="shared" si="46"/>
        <v>1</v>
      </c>
      <c r="H414">
        <f t="shared" si="47"/>
        <v>18</v>
      </c>
      <c r="I414" t="str">
        <f t="shared" si="48"/>
        <v>17</v>
      </c>
    </row>
    <row r="415" spans="1:9" x14ac:dyDescent="0.25">
      <c r="A415" s="19">
        <v>41515</v>
      </c>
      <c r="B415" s="20">
        <v>3.3333333333333333E-2</v>
      </c>
      <c r="C415" t="str">
        <f t="shared" si="42"/>
        <v>13</v>
      </c>
      <c r="D415" t="str">
        <f t="shared" si="43"/>
        <v>08</v>
      </c>
      <c r="E415" t="str">
        <f t="shared" si="44"/>
        <v>29</v>
      </c>
      <c r="F415">
        <f t="shared" si="45"/>
        <v>2013</v>
      </c>
      <c r="G415">
        <f t="shared" si="46"/>
        <v>8</v>
      </c>
      <c r="H415">
        <f t="shared" si="47"/>
        <v>29</v>
      </c>
      <c r="I415" t="str">
        <f t="shared" si="48"/>
        <v>13</v>
      </c>
    </row>
    <row r="416" spans="1:9" x14ac:dyDescent="0.25">
      <c r="A416" s="19">
        <v>42137</v>
      </c>
      <c r="B416" s="20">
        <v>0.96458333333333335</v>
      </c>
      <c r="C416" t="str">
        <f t="shared" si="42"/>
        <v>15</v>
      </c>
      <c r="D416" t="str">
        <f t="shared" si="43"/>
        <v>05</v>
      </c>
      <c r="E416" t="str">
        <f t="shared" si="44"/>
        <v>13</v>
      </c>
      <c r="F416">
        <f t="shared" si="45"/>
        <v>2015</v>
      </c>
      <c r="G416">
        <f t="shared" si="46"/>
        <v>5</v>
      </c>
      <c r="H416">
        <f t="shared" si="47"/>
        <v>13</v>
      </c>
      <c r="I416" t="str">
        <f t="shared" si="48"/>
        <v>15</v>
      </c>
    </row>
    <row r="417" spans="1:9" x14ac:dyDescent="0.25">
      <c r="A417" s="19">
        <v>41000</v>
      </c>
      <c r="B417" s="20">
        <v>0.99444444444444446</v>
      </c>
      <c r="C417" t="str">
        <f t="shared" si="42"/>
        <v>12</v>
      </c>
      <c r="D417" t="str">
        <f t="shared" si="43"/>
        <v>04</v>
      </c>
      <c r="E417" t="str">
        <f t="shared" si="44"/>
        <v>01</v>
      </c>
      <c r="F417">
        <f t="shared" si="45"/>
        <v>2012</v>
      </c>
      <c r="G417">
        <f t="shared" si="46"/>
        <v>4</v>
      </c>
      <c r="H417">
        <f t="shared" si="47"/>
        <v>1</v>
      </c>
      <c r="I417" t="str">
        <f t="shared" si="48"/>
        <v>12</v>
      </c>
    </row>
    <row r="418" spans="1:9" x14ac:dyDescent="0.25">
      <c r="A418" s="19">
        <v>41740</v>
      </c>
      <c r="B418" s="20">
        <v>0.94930555555555551</v>
      </c>
      <c r="C418" t="str">
        <f t="shared" si="42"/>
        <v>14</v>
      </c>
      <c r="D418" t="str">
        <f t="shared" si="43"/>
        <v>04</v>
      </c>
      <c r="E418" t="str">
        <f t="shared" si="44"/>
        <v>11</v>
      </c>
      <c r="F418">
        <f t="shared" si="45"/>
        <v>2014</v>
      </c>
      <c r="G418">
        <f t="shared" si="46"/>
        <v>4</v>
      </c>
      <c r="H418">
        <f t="shared" si="47"/>
        <v>11</v>
      </c>
      <c r="I418" t="str">
        <f t="shared" si="48"/>
        <v>14</v>
      </c>
    </row>
    <row r="419" spans="1:9" x14ac:dyDescent="0.25">
      <c r="A419" s="19">
        <v>42652</v>
      </c>
      <c r="B419" s="20">
        <v>6.3888888888888884E-2</v>
      </c>
      <c r="C419" t="str">
        <f t="shared" si="42"/>
        <v>16</v>
      </c>
      <c r="D419" t="str">
        <f t="shared" si="43"/>
        <v>10</v>
      </c>
      <c r="E419" t="str">
        <f t="shared" si="44"/>
        <v>09</v>
      </c>
      <c r="F419">
        <f t="shared" si="45"/>
        <v>2016</v>
      </c>
      <c r="G419">
        <f t="shared" si="46"/>
        <v>10</v>
      </c>
      <c r="H419">
        <f t="shared" si="47"/>
        <v>9</v>
      </c>
      <c r="I419" t="str">
        <f t="shared" si="48"/>
        <v>16</v>
      </c>
    </row>
    <row r="420" spans="1:9" x14ac:dyDescent="0.25">
      <c r="A420" s="19">
        <v>42320</v>
      </c>
      <c r="B420" s="20">
        <v>0.95833333333333337</v>
      </c>
      <c r="C420" t="str">
        <f t="shared" si="42"/>
        <v>15</v>
      </c>
      <c r="D420" t="str">
        <f t="shared" si="43"/>
        <v>11</v>
      </c>
      <c r="E420" t="str">
        <f t="shared" si="44"/>
        <v>12</v>
      </c>
      <c r="F420">
        <f t="shared" si="45"/>
        <v>2015</v>
      </c>
      <c r="G420">
        <f t="shared" si="46"/>
        <v>11</v>
      </c>
      <c r="H420">
        <f t="shared" si="47"/>
        <v>12</v>
      </c>
      <c r="I420" t="str">
        <f t="shared" si="48"/>
        <v>15</v>
      </c>
    </row>
    <row r="421" spans="1:9" x14ac:dyDescent="0.25">
      <c r="A421" s="19">
        <v>41562</v>
      </c>
      <c r="B421" s="20">
        <v>5.9722222222222225E-2</v>
      </c>
      <c r="C421" t="str">
        <f t="shared" si="42"/>
        <v>13</v>
      </c>
      <c r="D421" t="str">
        <f t="shared" si="43"/>
        <v>10</v>
      </c>
      <c r="E421" t="str">
        <f t="shared" si="44"/>
        <v>15</v>
      </c>
      <c r="F421">
        <f t="shared" si="45"/>
        <v>2013</v>
      </c>
      <c r="G421">
        <f t="shared" si="46"/>
        <v>10</v>
      </c>
      <c r="H421">
        <f t="shared" si="47"/>
        <v>15</v>
      </c>
      <c r="I421" t="str">
        <f t="shared" si="48"/>
        <v>13</v>
      </c>
    </row>
    <row r="422" spans="1:9" x14ac:dyDescent="0.25">
      <c r="A422" s="19">
        <v>41597</v>
      </c>
      <c r="B422" s="20">
        <v>0.99583333333333335</v>
      </c>
      <c r="C422" t="str">
        <f t="shared" si="42"/>
        <v>13</v>
      </c>
      <c r="D422" t="str">
        <f t="shared" si="43"/>
        <v>11</v>
      </c>
      <c r="E422" t="str">
        <f t="shared" si="44"/>
        <v>19</v>
      </c>
      <c r="F422">
        <f t="shared" si="45"/>
        <v>2013</v>
      </c>
      <c r="G422">
        <f t="shared" si="46"/>
        <v>11</v>
      </c>
      <c r="H422">
        <f t="shared" si="47"/>
        <v>19</v>
      </c>
      <c r="I422" t="str">
        <f t="shared" si="48"/>
        <v>13</v>
      </c>
    </row>
    <row r="423" spans="1:9" x14ac:dyDescent="0.25">
      <c r="A423" s="19">
        <v>41789</v>
      </c>
      <c r="B423" s="20">
        <v>0.95972222222222225</v>
      </c>
      <c r="C423" t="str">
        <f t="shared" si="42"/>
        <v>14</v>
      </c>
      <c r="D423" t="str">
        <f t="shared" si="43"/>
        <v>05</v>
      </c>
      <c r="E423" t="str">
        <f t="shared" si="44"/>
        <v>30</v>
      </c>
      <c r="F423">
        <f t="shared" si="45"/>
        <v>2014</v>
      </c>
      <c r="G423">
        <f t="shared" si="46"/>
        <v>5</v>
      </c>
      <c r="H423">
        <f t="shared" si="47"/>
        <v>30</v>
      </c>
      <c r="I423" t="str">
        <f t="shared" si="48"/>
        <v>14</v>
      </c>
    </row>
    <row r="424" spans="1:9" x14ac:dyDescent="0.25">
      <c r="A424" s="19">
        <v>42047</v>
      </c>
      <c r="B424" s="20">
        <v>3.0555555555555555E-2</v>
      </c>
      <c r="C424" t="str">
        <f t="shared" si="42"/>
        <v>15</v>
      </c>
      <c r="D424" t="str">
        <f t="shared" si="43"/>
        <v>02</v>
      </c>
      <c r="E424" t="str">
        <f t="shared" si="44"/>
        <v>12</v>
      </c>
      <c r="F424">
        <f t="shared" si="45"/>
        <v>2015</v>
      </c>
      <c r="G424">
        <f t="shared" si="46"/>
        <v>2</v>
      </c>
      <c r="H424">
        <f t="shared" si="47"/>
        <v>12</v>
      </c>
      <c r="I424" t="str">
        <f t="shared" si="48"/>
        <v>15</v>
      </c>
    </row>
    <row r="425" spans="1:9" x14ac:dyDescent="0.25">
      <c r="A425" s="19">
        <v>41492</v>
      </c>
      <c r="B425" s="20">
        <v>1.1805555555555555E-2</v>
      </c>
      <c r="C425" t="str">
        <f t="shared" si="42"/>
        <v>13</v>
      </c>
      <c r="D425" t="str">
        <f t="shared" si="43"/>
        <v>08</v>
      </c>
      <c r="E425" t="str">
        <f t="shared" si="44"/>
        <v>06</v>
      </c>
      <c r="F425">
        <f t="shared" si="45"/>
        <v>2013</v>
      </c>
      <c r="G425">
        <f t="shared" si="46"/>
        <v>8</v>
      </c>
      <c r="H425">
        <f t="shared" si="47"/>
        <v>6</v>
      </c>
      <c r="I425" t="str">
        <f t="shared" si="48"/>
        <v>13</v>
      </c>
    </row>
    <row r="426" spans="1:9" x14ac:dyDescent="0.25">
      <c r="A426" s="19">
        <v>41344</v>
      </c>
      <c r="B426" s="20">
        <v>1.3888888888888888E-2</v>
      </c>
      <c r="C426" t="str">
        <f t="shared" si="42"/>
        <v>13</v>
      </c>
      <c r="D426" t="str">
        <f t="shared" si="43"/>
        <v>03</v>
      </c>
      <c r="E426" t="str">
        <f t="shared" si="44"/>
        <v>11</v>
      </c>
      <c r="F426">
        <f t="shared" si="45"/>
        <v>2013</v>
      </c>
      <c r="G426">
        <f t="shared" si="46"/>
        <v>3</v>
      </c>
      <c r="H426">
        <f t="shared" si="47"/>
        <v>11</v>
      </c>
      <c r="I426" t="str">
        <f t="shared" si="48"/>
        <v>13</v>
      </c>
    </row>
    <row r="427" spans="1:9" x14ac:dyDescent="0.25">
      <c r="A427" s="19">
        <v>42238</v>
      </c>
      <c r="B427" s="20">
        <v>0.96527777777777779</v>
      </c>
      <c r="C427" t="str">
        <f t="shared" si="42"/>
        <v>15</v>
      </c>
      <c r="D427" t="str">
        <f t="shared" si="43"/>
        <v>08</v>
      </c>
      <c r="E427" t="str">
        <f t="shared" si="44"/>
        <v>22</v>
      </c>
      <c r="F427">
        <f t="shared" si="45"/>
        <v>2015</v>
      </c>
      <c r="G427">
        <f t="shared" si="46"/>
        <v>8</v>
      </c>
      <c r="H427">
        <f t="shared" si="47"/>
        <v>22</v>
      </c>
      <c r="I427" t="str">
        <f t="shared" si="48"/>
        <v>15</v>
      </c>
    </row>
    <row r="428" spans="1:9" x14ac:dyDescent="0.25">
      <c r="A428" s="19">
        <v>41599</v>
      </c>
      <c r="B428" s="20">
        <v>8.3333333333333329E-2</v>
      </c>
      <c r="C428" t="str">
        <f t="shared" si="42"/>
        <v>13</v>
      </c>
      <c r="D428" t="str">
        <f t="shared" si="43"/>
        <v>11</v>
      </c>
      <c r="E428" t="str">
        <f t="shared" si="44"/>
        <v>21</v>
      </c>
      <c r="F428">
        <f t="shared" si="45"/>
        <v>2013</v>
      </c>
      <c r="G428">
        <f t="shared" si="46"/>
        <v>11</v>
      </c>
      <c r="H428">
        <f t="shared" si="47"/>
        <v>21</v>
      </c>
      <c r="I428" t="str">
        <f t="shared" si="48"/>
        <v>13</v>
      </c>
    </row>
    <row r="429" spans="1:9" x14ac:dyDescent="0.25">
      <c r="A429" s="19">
        <v>41871</v>
      </c>
      <c r="B429" s="20">
        <v>0.98958333333333337</v>
      </c>
      <c r="C429" t="str">
        <f t="shared" si="42"/>
        <v>14</v>
      </c>
      <c r="D429" t="str">
        <f t="shared" si="43"/>
        <v>08</v>
      </c>
      <c r="E429" t="str">
        <f t="shared" si="44"/>
        <v>20</v>
      </c>
      <c r="F429">
        <f t="shared" si="45"/>
        <v>2014</v>
      </c>
      <c r="G429">
        <f t="shared" si="46"/>
        <v>8</v>
      </c>
      <c r="H429">
        <f t="shared" si="47"/>
        <v>20</v>
      </c>
      <c r="I429" t="str">
        <f t="shared" si="48"/>
        <v>14</v>
      </c>
    </row>
    <row r="430" spans="1:9" x14ac:dyDescent="0.25">
      <c r="A430" s="19">
        <v>41288</v>
      </c>
      <c r="B430" s="20">
        <v>2.013888888888889E-2</v>
      </c>
      <c r="C430" t="str">
        <f t="shared" si="42"/>
        <v>13</v>
      </c>
      <c r="D430" t="str">
        <f t="shared" si="43"/>
        <v>01</v>
      </c>
      <c r="E430" t="str">
        <f t="shared" si="44"/>
        <v>14</v>
      </c>
      <c r="F430">
        <f t="shared" si="45"/>
        <v>2013</v>
      </c>
      <c r="G430">
        <f t="shared" si="46"/>
        <v>1</v>
      </c>
      <c r="H430">
        <f t="shared" si="47"/>
        <v>14</v>
      </c>
      <c r="I430" t="str">
        <f t="shared" si="48"/>
        <v>13</v>
      </c>
    </row>
    <row r="431" spans="1:9" x14ac:dyDescent="0.25">
      <c r="A431" s="19">
        <v>41073</v>
      </c>
      <c r="B431" s="20">
        <v>2.4305555555555556E-2</v>
      </c>
      <c r="C431" t="str">
        <f t="shared" si="42"/>
        <v>12</v>
      </c>
      <c r="D431" t="str">
        <f t="shared" si="43"/>
        <v>06</v>
      </c>
      <c r="E431" t="str">
        <f t="shared" si="44"/>
        <v>13</v>
      </c>
      <c r="F431">
        <f t="shared" si="45"/>
        <v>2012</v>
      </c>
      <c r="G431">
        <f t="shared" si="46"/>
        <v>6</v>
      </c>
      <c r="H431">
        <f t="shared" si="47"/>
        <v>13</v>
      </c>
      <c r="I431" t="str">
        <f t="shared" si="48"/>
        <v>12</v>
      </c>
    </row>
    <row r="432" spans="1:9" x14ac:dyDescent="0.25">
      <c r="A432" s="19">
        <v>41824</v>
      </c>
      <c r="B432" s="20">
        <v>0.98124999999999996</v>
      </c>
      <c r="C432" t="str">
        <f t="shared" si="42"/>
        <v>14</v>
      </c>
      <c r="D432" t="str">
        <f t="shared" si="43"/>
        <v>07</v>
      </c>
      <c r="E432" t="str">
        <f t="shared" si="44"/>
        <v>04</v>
      </c>
      <c r="F432">
        <f t="shared" si="45"/>
        <v>2014</v>
      </c>
      <c r="G432">
        <f t="shared" si="46"/>
        <v>7</v>
      </c>
      <c r="H432">
        <f t="shared" si="47"/>
        <v>4</v>
      </c>
      <c r="I432" t="str">
        <f t="shared" si="48"/>
        <v>14</v>
      </c>
    </row>
    <row r="433" spans="1:9" x14ac:dyDescent="0.25">
      <c r="A433" s="19">
        <v>41005</v>
      </c>
      <c r="B433" s="20">
        <v>4.791666666666667E-2</v>
      </c>
      <c r="C433" t="str">
        <f t="shared" si="42"/>
        <v>12</v>
      </c>
      <c r="D433" t="str">
        <f t="shared" si="43"/>
        <v>04</v>
      </c>
      <c r="E433" t="str">
        <f t="shared" si="44"/>
        <v>06</v>
      </c>
      <c r="F433">
        <f t="shared" si="45"/>
        <v>2012</v>
      </c>
      <c r="G433">
        <f t="shared" si="46"/>
        <v>4</v>
      </c>
      <c r="H433">
        <f t="shared" si="47"/>
        <v>6</v>
      </c>
      <c r="I433" t="str">
        <f t="shared" si="48"/>
        <v>12</v>
      </c>
    </row>
    <row r="434" spans="1:9" x14ac:dyDescent="0.25">
      <c r="A434" s="19">
        <v>41168</v>
      </c>
      <c r="B434" s="20">
        <v>2.361111111111111E-2</v>
      </c>
      <c r="C434" t="str">
        <f t="shared" si="42"/>
        <v>12</v>
      </c>
      <c r="D434" t="str">
        <f t="shared" si="43"/>
        <v>09</v>
      </c>
      <c r="E434" t="str">
        <f t="shared" si="44"/>
        <v>16</v>
      </c>
      <c r="F434">
        <f t="shared" si="45"/>
        <v>2012</v>
      </c>
      <c r="G434">
        <f t="shared" si="46"/>
        <v>9</v>
      </c>
      <c r="H434">
        <f t="shared" si="47"/>
        <v>16</v>
      </c>
      <c r="I434" t="str">
        <f t="shared" si="48"/>
        <v>12</v>
      </c>
    </row>
    <row r="435" spans="1:9" x14ac:dyDescent="0.25">
      <c r="A435" s="19">
        <v>41747</v>
      </c>
      <c r="B435" s="20">
        <v>2.7777777777777779E-3</v>
      </c>
      <c r="C435" t="str">
        <f t="shared" si="42"/>
        <v>14</v>
      </c>
      <c r="D435" t="str">
        <f t="shared" si="43"/>
        <v>04</v>
      </c>
      <c r="E435" t="str">
        <f t="shared" si="44"/>
        <v>18</v>
      </c>
      <c r="F435">
        <f t="shared" si="45"/>
        <v>2014</v>
      </c>
      <c r="G435">
        <f t="shared" si="46"/>
        <v>4</v>
      </c>
      <c r="H435">
        <f t="shared" si="47"/>
        <v>18</v>
      </c>
      <c r="I435" t="str">
        <f t="shared" si="48"/>
        <v>14</v>
      </c>
    </row>
    <row r="436" spans="1:9" x14ac:dyDescent="0.25">
      <c r="A436" s="19">
        <v>41848</v>
      </c>
      <c r="B436" s="20">
        <v>1.9444444444444445E-2</v>
      </c>
      <c r="C436" t="str">
        <f t="shared" si="42"/>
        <v>14</v>
      </c>
      <c r="D436" t="str">
        <f t="shared" si="43"/>
        <v>07</v>
      </c>
      <c r="E436" t="str">
        <f t="shared" si="44"/>
        <v>28</v>
      </c>
      <c r="F436">
        <f t="shared" si="45"/>
        <v>2014</v>
      </c>
      <c r="G436">
        <f t="shared" si="46"/>
        <v>7</v>
      </c>
      <c r="H436">
        <f t="shared" si="47"/>
        <v>28</v>
      </c>
      <c r="I436" t="str">
        <f t="shared" si="48"/>
        <v>14</v>
      </c>
    </row>
    <row r="437" spans="1:9" x14ac:dyDescent="0.25">
      <c r="A437" s="19">
        <v>41196</v>
      </c>
      <c r="B437" s="20">
        <v>0.99097222222222225</v>
      </c>
      <c r="C437" t="str">
        <f t="shared" si="42"/>
        <v>12</v>
      </c>
      <c r="D437" t="str">
        <f t="shared" si="43"/>
        <v>10</v>
      </c>
      <c r="E437" t="str">
        <f t="shared" si="44"/>
        <v>14</v>
      </c>
      <c r="F437">
        <f t="shared" si="45"/>
        <v>2012</v>
      </c>
      <c r="G437">
        <f t="shared" si="46"/>
        <v>10</v>
      </c>
      <c r="H437">
        <f t="shared" si="47"/>
        <v>14</v>
      </c>
      <c r="I437" t="str">
        <f t="shared" si="48"/>
        <v>12</v>
      </c>
    </row>
    <row r="438" spans="1:9" x14ac:dyDescent="0.25">
      <c r="A438" s="19">
        <v>41231</v>
      </c>
      <c r="B438" s="20">
        <v>1.9444444444444445E-2</v>
      </c>
      <c r="C438" t="str">
        <f t="shared" si="42"/>
        <v>12</v>
      </c>
      <c r="D438" t="str">
        <f t="shared" si="43"/>
        <v>11</v>
      </c>
      <c r="E438" t="str">
        <f t="shared" si="44"/>
        <v>18</v>
      </c>
      <c r="F438">
        <f t="shared" si="45"/>
        <v>2012</v>
      </c>
      <c r="G438">
        <f t="shared" si="46"/>
        <v>11</v>
      </c>
      <c r="H438">
        <f t="shared" si="47"/>
        <v>18</v>
      </c>
      <c r="I438" t="str">
        <f t="shared" si="48"/>
        <v>12</v>
      </c>
    </row>
    <row r="439" spans="1:9" x14ac:dyDescent="0.25">
      <c r="A439" s="19">
        <v>42354</v>
      </c>
      <c r="B439" s="20">
        <v>0.96180555555555558</v>
      </c>
      <c r="C439" t="str">
        <f t="shared" si="42"/>
        <v>15</v>
      </c>
      <c r="D439" t="str">
        <f t="shared" si="43"/>
        <v>12</v>
      </c>
      <c r="E439" t="str">
        <f t="shared" si="44"/>
        <v>16</v>
      </c>
      <c r="F439">
        <f t="shared" si="45"/>
        <v>2015</v>
      </c>
      <c r="G439">
        <f t="shared" si="46"/>
        <v>12</v>
      </c>
      <c r="H439">
        <f t="shared" si="47"/>
        <v>16</v>
      </c>
      <c r="I439" t="str">
        <f t="shared" si="48"/>
        <v>15</v>
      </c>
    </row>
    <row r="440" spans="1:9" x14ac:dyDescent="0.25">
      <c r="A440" s="19">
        <v>41168</v>
      </c>
      <c r="B440" s="20">
        <v>1.1805555555555555E-2</v>
      </c>
      <c r="C440" t="str">
        <f t="shared" si="42"/>
        <v>12</v>
      </c>
      <c r="D440" t="str">
        <f t="shared" si="43"/>
        <v>09</v>
      </c>
      <c r="E440" t="str">
        <f t="shared" si="44"/>
        <v>16</v>
      </c>
      <c r="F440">
        <f t="shared" si="45"/>
        <v>2012</v>
      </c>
      <c r="G440">
        <f t="shared" si="46"/>
        <v>9</v>
      </c>
      <c r="H440">
        <f t="shared" si="47"/>
        <v>16</v>
      </c>
      <c r="I440" t="str">
        <f t="shared" si="48"/>
        <v>12</v>
      </c>
    </row>
    <row r="441" spans="1:9" x14ac:dyDescent="0.25">
      <c r="A441" s="19">
        <v>41128</v>
      </c>
      <c r="B441" s="20">
        <v>3.3333333333333333E-2</v>
      </c>
      <c r="C441" t="str">
        <f t="shared" si="42"/>
        <v>12</v>
      </c>
      <c r="D441" t="str">
        <f t="shared" si="43"/>
        <v>08</v>
      </c>
      <c r="E441" t="str">
        <f t="shared" si="44"/>
        <v>07</v>
      </c>
      <c r="F441">
        <f t="shared" si="45"/>
        <v>2012</v>
      </c>
      <c r="G441">
        <f t="shared" si="46"/>
        <v>8</v>
      </c>
      <c r="H441">
        <f t="shared" si="47"/>
        <v>7</v>
      </c>
      <c r="I441" t="str">
        <f t="shared" si="48"/>
        <v>12</v>
      </c>
    </row>
    <row r="442" spans="1:9" x14ac:dyDescent="0.25">
      <c r="A442" s="19">
        <v>42545</v>
      </c>
      <c r="B442" s="20">
        <v>6.2500000000000003E-3</v>
      </c>
      <c r="C442" t="str">
        <f t="shared" si="42"/>
        <v>16</v>
      </c>
      <c r="D442" t="str">
        <f t="shared" si="43"/>
        <v>06</v>
      </c>
      <c r="E442" t="str">
        <f t="shared" si="44"/>
        <v>24</v>
      </c>
      <c r="F442">
        <f t="shared" si="45"/>
        <v>2016</v>
      </c>
      <c r="G442">
        <f t="shared" si="46"/>
        <v>6</v>
      </c>
      <c r="H442">
        <f t="shared" si="47"/>
        <v>24</v>
      </c>
      <c r="I442" t="str">
        <f t="shared" si="48"/>
        <v>16</v>
      </c>
    </row>
    <row r="443" spans="1:9" x14ac:dyDescent="0.25">
      <c r="A443" s="19">
        <v>41636</v>
      </c>
      <c r="B443" s="20">
        <v>6.3194444444444442E-2</v>
      </c>
      <c r="C443" t="str">
        <f t="shared" si="42"/>
        <v>13</v>
      </c>
      <c r="D443" t="str">
        <f t="shared" si="43"/>
        <v>12</v>
      </c>
      <c r="E443" t="str">
        <f t="shared" si="44"/>
        <v>28</v>
      </c>
      <c r="F443">
        <f t="shared" si="45"/>
        <v>2013</v>
      </c>
      <c r="G443">
        <f t="shared" si="46"/>
        <v>12</v>
      </c>
      <c r="H443">
        <f t="shared" si="47"/>
        <v>28</v>
      </c>
      <c r="I443" t="str">
        <f t="shared" si="48"/>
        <v>13</v>
      </c>
    </row>
    <row r="444" spans="1:9" x14ac:dyDescent="0.25">
      <c r="A444" s="19">
        <v>41846</v>
      </c>
      <c r="B444" s="20">
        <v>1.3888888888888888E-2</v>
      </c>
      <c r="C444" t="str">
        <f t="shared" si="42"/>
        <v>14</v>
      </c>
      <c r="D444" t="str">
        <f t="shared" si="43"/>
        <v>07</v>
      </c>
      <c r="E444" t="str">
        <f t="shared" si="44"/>
        <v>26</v>
      </c>
      <c r="F444">
        <f t="shared" si="45"/>
        <v>2014</v>
      </c>
      <c r="G444">
        <f t="shared" si="46"/>
        <v>7</v>
      </c>
      <c r="H444">
        <f t="shared" si="47"/>
        <v>26</v>
      </c>
      <c r="I444" t="str">
        <f t="shared" si="48"/>
        <v>14</v>
      </c>
    </row>
    <row r="445" spans="1:9" x14ac:dyDescent="0.25">
      <c r="A445" s="19">
        <v>41589</v>
      </c>
      <c r="B445" s="20">
        <v>3.4722222222222224E-2</v>
      </c>
      <c r="C445" t="str">
        <f t="shared" si="42"/>
        <v>13</v>
      </c>
      <c r="D445" t="str">
        <f t="shared" si="43"/>
        <v>11</v>
      </c>
      <c r="E445" t="str">
        <f t="shared" si="44"/>
        <v>11</v>
      </c>
      <c r="F445">
        <f t="shared" si="45"/>
        <v>2013</v>
      </c>
      <c r="G445">
        <f t="shared" si="46"/>
        <v>11</v>
      </c>
      <c r="H445">
        <f t="shared" si="47"/>
        <v>11</v>
      </c>
      <c r="I445" t="str">
        <f t="shared" si="48"/>
        <v>13</v>
      </c>
    </row>
    <row r="446" spans="1:9" x14ac:dyDescent="0.25">
      <c r="A446" s="19">
        <v>42448</v>
      </c>
      <c r="B446" s="20">
        <v>0.98541666666666672</v>
      </c>
      <c r="C446" t="str">
        <f t="shared" si="42"/>
        <v>16</v>
      </c>
      <c r="D446" t="str">
        <f t="shared" si="43"/>
        <v>03</v>
      </c>
      <c r="E446" t="str">
        <f t="shared" si="44"/>
        <v>19</v>
      </c>
      <c r="F446">
        <f t="shared" si="45"/>
        <v>2016</v>
      </c>
      <c r="G446">
        <f t="shared" si="46"/>
        <v>3</v>
      </c>
      <c r="H446">
        <f t="shared" si="47"/>
        <v>19</v>
      </c>
      <c r="I446" t="str">
        <f t="shared" si="48"/>
        <v>16</v>
      </c>
    </row>
    <row r="447" spans="1:9" x14ac:dyDescent="0.25">
      <c r="A447" s="19">
        <v>41921</v>
      </c>
      <c r="B447" s="20">
        <v>3.888888888888889E-2</v>
      </c>
      <c r="C447" t="str">
        <f t="shared" si="42"/>
        <v>14</v>
      </c>
      <c r="D447" t="str">
        <f t="shared" si="43"/>
        <v>10</v>
      </c>
      <c r="E447" t="str">
        <f t="shared" si="44"/>
        <v>09</v>
      </c>
      <c r="F447">
        <f t="shared" si="45"/>
        <v>2014</v>
      </c>
      <c r="G447">
        <f t="shared" si="46"/>
        <v>10</v>
      </c>
      <c r="H447">
        <f t="shared" si="47"/>
        <v>9</v>
      </c>
      <c r="I447" t="str">
        <f t="shared" si="48"/>
        <v>14</v>
      </c>
    </row>
    <row r="448" spans="1:9" x14ac:dyDescent="0.25">
      <c r="A448" s="19">
        <v>41520</v>
      </c>
      <c r="B448" s="20">
        <v>6.9444444444444447E-4</v>
      </c>
      <c r="C448" t="str">
        <f t="shared" si="42"/>
        <v>13</v>
      </c>
      <c r="D448" t="str">
        <f t="shared" si="43"/>
        <v>09</v>
      </c>
      <c r="E448" t="str">
        <f t="shared" si="44"/>
        <v>03</v>
      </c>
      <c r="F448">
        <f t="shared" si="45"/>
        <v>2013</v>
      </c>
      <c r="G448">
        <f t="shared" si="46"/>
        <v>9</v>
      </c>
      <c r="H448">
        <f t="shared" si="47"/>
        <v>3</v>
      </c>
      <c r="I448" t="str">
        <f t="shared" si="48"/>
        <v>13</v>
      </c>
    </row>
    <row r="449" spans="1:9" x14ac:dyDescent="0.25">
      <c r="A449" s="19">
        <v>41705</v>
      </c>
      <c r="B449" s="20">
        <v>1.3888888888888888E-2</v>
      </c>
      <c r="C449" t="str">
        <f t="shared" si="42"/>
        <v>14</v>
      </c>
      <c r="D449" t="str">
        <f t="shared" si="43"/>
        <v>03</v>
      </c>
      <c r="E449" t="str">
        <f t="shared" si="44"/>
        <v>07</v>
      </c>
      <c r="F449">
        <f t="shared" si="45"/>
        <v>2014</v>
      </c>
      <c r="G449">
        <f t="shared" si="46"/>
        <v>3</v>
      </c>
      <c r="H449">
        <f t="shared" si="47"/>
        <v>7</v>
      </c>
      <c r="I449" t="str">
        <f t="shared" si="48"/>
        <v>14</v>
      </c>
    </row>
    <row r="450" spans="1:9" x14ac:dyDescent="0.25">
      <c r="A450" s="19">
        <v>41952</v>
      </c>
      <c r="B450" s="20">
        <v>1.3194444444444444E-2</v>
      </c>
      <c r="C450" t="str">
        <f t="shared" si="42"/>
        <v>14</v>
      </c>
      <c r="D450" t="str">
        <f t="shared" si="43"/>
        <v>11</v>
      </c>
      <c r="E450" t="str">
        <f t="shared" si="44"/>
        <v>09</v>
      </c>
      <c r="F450">
        <f t="shared" si="45"/>
        <v>2014</v>
      </c>
      <c r="G450">
        <f t="shared" si="46"/>
        <v>11</v>
      </c>
      <c r="H450">
        <f t="shared" si="47"/>
        <v>9</v>
      </c>
      <c r="I450" t="str">
        <f t="shared" si="48"/>
        <v>14</v>
      </c>
    </row>
    <row r="451" spans="1:9" x14ac:dyDescent="0.25">
      <c r="A451" s="19">
        <v>41351</v>
      </c>
      <c r="B451" s="20">
        <v>2.7083333333333334E-2</v>
      </c>
      <c r="C451" t="str">
        <f t="shared" ref="C451:C514" si="49">TEXT(A451,"YY")</f>
        <v>13</v>
      </c>
      <c r="D451" t="str">
        <f t="shared" ref="D451:D514" si="50">TEXT(A451,"mm")</f>
        <v>03</v>
      </c>
      <c r="E451" t="str">
        <f t="shared" ref="E451:E514" si="51">TEXT(A451,"dd")</f>
        <v>18</v>
      </c>
      <c r="F451">
        <f t="shared" ref="F451:F514" si="52">YEAR($A451)</f>
        <v>2013</v>
      </c>
      <c r="G451">
        <f t="shared" ref="G451:G514" si="53">MONTH($A451)</f>
        <v>3</v>
      </c>
      <c r="H451">
        <f t="shared" ref="H451:H514" si="54">DAY($A451)</f>
        <v>18</v>
      </c>
      <c r="I451" t="str">
        <f t="shared" ref="I451:I514" si="55">TEXT($A451,"YY")</f>
        <v>13</v>
      </c>
    </row>
    <row r="452" spans="1:9" x14ac:dyDescent="0.25">
      <c r="A452" s="19">
        <v>41377</v>
      </c>
      <c r="B452" s="20">
        <v>0.97361111111111109</v>
      </c>
      <c r="C452" t="str">
        <f t="shared" si="49"/>
        <v>13</v>
      </c>
      <c r="D452" t="str">
        <f t="shared" si="50"/>
        <v>04</v>
      </c>
      <c r="E452" t="str">
        <f t="shared" si="51"/>
        <v>13</v>
      </c>
      <c r="F452">
        <f t="shared" si="52"/>
        <v>2013</v>
      </c>
      <c r="G452">
        <f t="shared" si="53"/>
        <v>4</v>
      </c>
      <c r="H452">
        <f t="shared" si="54"/>
        <v>13</v>
      </c>
      <c r="I452" t="str">
        <f t="shared" si="55"/>
        <v>13</v>
      </c>
    </row>
    <row r="453" spans="1:9" x14ac:dyDescent="0.25">
      <c r="A453" s="19">
        <v>41768</v>
      </c>
      <c r="B453" s="20">
        <v>5.1388888888888887E-2</v>
      </c>
      <c r="C453" t="str">
        <f t="shared" si="49"/>
        <v>14</v>
      </c>
      <c r="D453" t="str">
        <f t="shared" si="50"/>
        <v>05</v>
      </c>
      <c r="E453" t="str">
        <f t="shared" si="51"/>
        <v>09</v>
      </c>
      <c r="F453">
        <f t="shared" si="52"/>
        <v>2014</v>
      </c>
      <c r="G453">
        <f t="shared" si="53"/>
        <v>5</v>
      </c>
      <c r="H453">
        <f t="shared" si="54"/>
        <v>9</v>
      </c>
      <c r="I453" t="str">
        <f t="shared" si="55"/>
        <v>14</v>
      </c>
    </row>
    <row r="454" spans="1:9" x14ac:dyDescent="0.25">
      <c r="A454" s="19">
        <v>41182</v>
      </c>
      <c r="B454" s="20">
        <v>2.7777777777777779E-3</v>
      </c>
      <c r="C454" t="str">
        <f t="shared" si="49"/>
        <v>12</v>
      </c>
      <c r="D454" t="str">
        <f t="shared" si="50"/>
        <v>09</v>
      </c>
      <c r="E454" t="str">
        <f t="shared" si="51"/>
        <v>30</v>
      </c>
      <c r="F454">
        <f t="shared" si="52"/>
        <v>2012</v>
      </c>
      <c r="G454">
        <f t="shared" si="53"/>
        <v>9</v>
      </c>
      <c r="H454">
        <f t="shared" si="54"/>
        <v>30</v>
      </c>
      <c r="I454" t="str">
        <f t="shared" si="55"/>
        <v>12</v>
      </c>
    </row>
    <row r="455" spans="1:9" x14ac:dyDescent="0.25">
      <c r="A455" s="19">
        <v>41224</v>
      </c>
      <c r="B455" s="20">
        <v>6.9444444444444448E-2</v>
      </c>
      <c r="C455" t="str">
        <f t="shared" si="49"/>
        <v>12</v>
      </c>
      <c r="D455" t="str">
        <f t="shared" si="50"/>
        <v>11</v>
      </c>
      <c r="E455" t="str">
        <f t="shared" si="51"/>
        <v>11</v>
      </c>
      <c r="F455">
        <f t="shared" si="52"/>
        <v>2012</v>
      </c>
      <c r="G455">
        <f t="shared" si="53"/>
        <v>11</v>
      </c>
      <c r="H455">
        <f t="shared" si="54"/>
        <v>11</v>
      </c>
      <c r="I455" t="str">
        <f t="shared" si="55"/>
        <v>12</v>
      </c>
    </row>
    <row r="456" spans="1:9" x14ac:dyDescent="0.25">
      <c r="A456" s="19">
        <v>41784</v>
      </c>
      <c r="B456" s="20">
        <v>2.8472222222222222E-2</v>
      </c>
      <c r="C456" t="str">
        <f t="shared" si="49"/>
        <v>14</v>
      </c>
      <c r="D456" t="str">
        <f t="shared" si="50"/>
        <v>05</v>
      </c>
      <c r="E456" t="str">
        <f t="shared" si="51"/>
        <v>25</v>
      </c>
      <c r="F456">
        <f t="shared" si="52"/>
        <v>2014</v>
      </c>
      <c r="G456">
        <f t="shared" si="53"/>
        <v>5</v>
      </c>
      <c r="H456">
        <f t="shared" si="54"/>
        <v>25</v>
      </c>
      <c r="I456" t="str">
        <f t="shared" si="55"/>
        <v>14</v>
      </c>
    </row>
    <row r="457" spans="1:9" x14ac:dyDescent="0.25">
      <c r="A457" s="19">
        <v>41641</v>
      </c>
      <c r="B457" s="20">
        <v>0.97291666666666665</v>
      </c>
      <c r="C457" t="str">
        <f t="shared" si="49"/>
        <v>14</v>
      </c>
      <c r="D457" t="str">
        <f t="shared" si="50"/>
        <v>01</v>
      </c>
      <c r="E457" t="str">
        <f t="shared" si="51"/>
        <v>02</v>
      </c>
      <c r="F457">
        <f t="shared" si="52"/>
        <v>2014</v>
      </c>
      <c r="G457">
        <f t="shared" si="53"/>
        <v>1</v>
      </c>
      <c r="H457">
        <f t="shared" si="54"/>
        <v>2</v>
      </c>
      <c r="I457" t="str">
        <f t="shared" si="55"/>
        <v>14</v>
      </c>
    </row>
    <row r="458" spans="1:9" x14ac:dyDescent="0.25">
      <c r="A458" s="19">
        <v>41058</v>
      </c>
      <c r="B458" s="20">
        <v>1.0416666666666666E-2</v>
      </c>
      <c r="C458" t="str">
        <f t="shared" si="49"/>
        <v>12</v>
      </c>
      <c r="D458" t="str">
        <f t="shared" si="50"/>
        <v>05</v>
      </c>
      <c r="E458" t="str">
        <f t="shared" si="51"/>
        <v>29</v>
      </c>
      <c r="F458">
        <f t="shared" si="52"/>
        <v>2012</v>
      </c>
      <c r="G458">
        <f t="shared" si="53"/>
        <v>5</v>
      </c>
      <c r="H458">
        <f t="shared" si="54"/>
        <v>29</v>
      </c>
      <c r="I458" t="str">
        <f t="shared" si="55"/>
        <v>12</v>
      </c>
    </row>
    <row r="459" spans="1:9" x14ac:dyDescent="0.25">
      <c r="A459" s="19">
        <v>42499</v>
      </c>
      <c r="B459" s="20">
        <v>3.2638888888888891E-2</v>
      </c>
      <c r="C459" t="str">
        <f t="shared" si="49"/>
        <v>16</v>
      </c>
      <c r="D459" t="str">
        <f t="shared" si="50"/>
        <v>05</v>
      </c>
      <c r="E459" t="str">
        <f t="shared" si="51"/>
        <v>09</v>
      </c>
      <c r="F459">
        <f t="shared" si="52"/>
        <v>2016</v>
      </c>
      <c r="G459">
        <f t="shared" si="53"/>
        <v>5</v>
      </c>
      <c r="H459">
        <f t="shared" si="54"/>
        <v>9</v>
      </c>
      <c r="I459" t="str">
        <f t="shared" si="55"/>
        <v>16</v>
      </c>
    </row>
    <row r="460" spans="1:9" x14ac:dyDescent="0.25">
      <c r="A460" s="19">
        <v>42728</v>
      </c>
      <c r="B460" s="20">
        <v>0.95347222222222228</v>
      </c>
      <c r="C460" t="str">
        <f t="shared" si="49"/>
        <v>16</v>
      </c>
      <c r="D460" t="str">
        <f t="shared" si="50"/>
        <v>12</v>
      </c>
      <c r="E460" t="str">
        <f t="shared" si="51"/>
        <v>24</v>
      </c>
      <c r="F460">
        <f t="shared" si="52"/>
        <v>2016</v>
      </c>
      <c r="G460">
        <f t="shared" si="53"/>
        <v>12</v>
      </c>
      <c r="H460">
        <f t="shared" si="54"/>
        <v>24</v>
      </c>
      <c r="I460" t="str">
        <f t="shared" si="55"/>
        <v>16</v>
      </c>
    </row>
    <row r="461" spans="1:9" x14ac:dyDescent="0.25">
      <c r="A461" s="19">
        <v>42498</v>
      </c>
      <c r="B461" s="20">
        <v>3.7499999999999999E-2</v>
      </c>
      <c r="C461" t="str">
        <f t="shared" si="49"/>
        <v>16</v>
      </c>
      <c r="D461" t="str">
        <f t="shared" si="50"/>
        <v>05</v>
      </c>
      <c r="E461" t="str">
        <f t="shared" si="51"/>
        <v>08</v>
      </c>
      <c r="F461">
        <f t="shared" si="52"/>
        <v>2016</v>
      </c>
      <c r="G461">
        <f t="shared" si="53"/>
        <v>5</v>
      </c>
      <c r="H461">
        <f t="shared" si="54"/>
        <v>8</v>
      </c>
      <c r="I461" t="str">
        <f t="shared" si="55"/>
        <v>16</v>
      </c>
    </row>
    <row r="462" spans="1:9" x14ac:dyDescent="0.25">
      <c r="A462" s="19">
        <v>41584</v>
      </c>
      <c r="B462" s="20">
        <v>5.1388888888888887E-2</v>
      </c>
      <c r="C462" t="str">
        <f t="shared" si="49"/>
        <v>13</v>
      </c>
      <c r="D462" t="str">
        <f t="shared" si="50"/>
        <v>11</v>
      </c>
      <c r="E462" t="str">
        <f t="shared" si="51"/>
        <v>06</v>
      </c>
      <c r="F462">
        <f t="shared" si="52"/>
        <v>2013</v>
      </c>
      <c r="G462">
        <f t="shared" si="53"/>
        <v>11</v>
      </c>
      <c r="H462">
        <f t="shared" si="54"/>
        <v>6</v>
      </c>
      <c r="I462" t="str">
        <f t="shared" si="55"/>
        <v>13</v>
      </c>
    </row>
    <row r="463" spans="1:9" x14ac:dyDescent="0.25">
      <c r="A463" s="19">
        <v>41188</v>
      </c>
      <c r="B463" s="20">
        <v>7.3611111111111113E-2</v>
      </c>
      <c r="C463" t="str">
        <f t="shared" si="49"/>
        <v>12</v>
      </c>
      <c r="D463" t="str">
        <f t="shared" si="50"/>
        <v>10</v>
      </c>
      <c r="E463" t="str">
        <f t="shared" si="51"/>
        <v>06</v>
      </c>
      <c r="F463">
        <f t="shared" si="52"/>
        <v>2012</v>
      </c>
      <c r="G463">
        <f t="shared" si="53"/>
        <v>10</v>
      </c>
      <c r="H463">
        <f t="shared" si="54"/>
        <v>6</v>
      </c>
      <c r="I463" t="str">
        <f t="shared" si="55"/>
        <v>12</v>
      </c>
    </row>
    <row r="464" spans="1:9" x14ac:dyDescent="0.25">
      <c r="A464" s="19">
        <v>41251</v>
      </c>
      <c r="B464" s="20">
        <v>2.2222222222222223E-2</v>
      </c>
      <c r="C464" t="str">
        <f t="shared" si="49"/>
        <v>12</v>
      </c>
      <c r="D464" t="str">
        <f t="shared" si="50"/>
        <v>12</v>
      </c>
      <c r="E464" t="str">
        <f t="shared" si="51"/>
        <v>08</v>
      </c>
      <c r="F464">
        <f t="shared" si="52"/>
        <v>2012</v>
      </c>
      <c r="G464">
        <f t="shared" si="53"/>
        <v>12</v>
      </c>
      <c r="H464">
        <f t="shared" si="54"/>
        <v>8</v>
      </c>
      <c r="I464" t="str">
        <f t="shared" si="55"/>
        <v>12</v>
      </c>
    </row>
    <row r="465" spans="1:9" x14ac:dyDescent="0.25">
      <c r="A465" s="19">
        <v>40985</v>
      </c>
      <c r="B465" s="20">
        <v>1.1111111111111112E-2</v>
      </c>
      <c r="C465" t="str">
        <f t="shared" si="49"/>
        <v>12</v>
      </c>
      <c r="D465" t="str">
        <f t="shared" si="50"/>
        <v>03</v>
      </c>
      <c r="E465" t="str">
        <f t="shared" si="51"/>
        <v>17</v>
      </c>
      <c r="F465">
        <f t="shared" si="52"/>
        <v>2012</v>
      </c>
      <c r="G465">
        <f t="shared" si="53"/>
        <v>3</v>
      </c>
      <c r="H465">
        <f t="shared" si="54"/>
        <v>17</v>
      </c>
      <c r="I465" t="str">
        <f t="shared" si="55"/>
        <v>12</v>
      </c>
    </row>
    <row r="466" spans="1:9" x14ac:dyDescent="0.25">
      <c r="A466" s="19">
        <v>41562</v>
      </c>
      <c r="B466" s="20">
        <v>7.3611111111111113E-2</v>
      </c>
      <c r="C466" t="str">
        <f t="shared" si="49"/>
        <v>13</v>
      </c>
      <c r="D466" t="str">
        <f t="shared" si="50"/>
        <v>10</v>
      </c>
      <c r="E466" t="str">
        <f t="shared" si="51"/>
        <v>15</v>
      </c>
      <c r="F466">
        <f t="shared" si="52"/>
        <v>2013</v>
      </c>
      <c r="G466">
        <f t="shared" si="53"/>
        <v>10</v>
      </c>
      <c r="H466">
        <f t="shared" si="54"/>
        <v>15</v>
      </c>
      <c r="I466" t="str">
        <f t="shared" si="55"/>
        <v>13</v>
      </c>
    </row>
    <row r="467" spans="1:9" x14ac:dyDescent="0.25">
      <c r="A467" s="19">
        <v>40985</v>
      </c>
      <c r="B467" s="20">
        <v>5.2777777777777778E-2</v>
      </c>
      <c r="C467" t="str">
        <f t="shared" si="49"/>
        <v>12</v>
      </c>
      <c r="D467" t="str">
        <f t="shared" si="50"/>
        <v>03</v>
      </c>
      <c r="E467" t="str">
        <f t="shared" si="51"/>
        <v>17</v>
      </c>
      <c r="F467">
        <f t="shared" si="52"/>
        <v>2012</v>
      </c>
      <c r="G467">
        <f t="shared" si="53"/>
        <v>3</v>
      </c>
      <c r="H467">
        <f t="shared" si="54"/>
        <v>17</v>
      </c>
      <c r="I467" t="str">
        <f t="shared" si="55"/>
        <v>12</v>
      </c>
    </row>
    <row r="468" spans="1:9" x14ac:dyDescent="0.25">
      <c r="A468" s="19">
        <v>41955</v>
      </c>
      <c r="B468" s="20">
        <v>4.7222222222222221E-2</v>
      </c>
      <c r="C468" t="str">
        <f t="shared" si="49"/>
        <v>14</v>
      </c>
      <c r="D468" t="str">
        <f t="shared" si="50"/>
        <v>11</v>
      </c>
      <c r="E468" t="str">
        <f t="shared" si="51"/>
        <v>12</v>
      </c>
      <c r="F468">
        <f t="shared" si="52"/>
        <v>2014</v>
      </c>
      <c r="G468">
        <f t="shared" si="53"/>
        <v>11</v>
      </c>
      <c r="H468">
        <f t="shared" si="54"/>
        <v>12</v>
      </c>
      <c r="I468" t="str">
        <f t="shared" si="55"/>
        <v>14</v>
      </c>
    </row>
    <row r="469" spans="1:9" x14ac:dyDescent="0.25">
      <c r="A469" s="19">
        <v>41827</v>
      </c>
      <c r="B469" s="20">
        <v>5.6250000000000001E-2</v>
      </c>
      <c r="C469" t="str">
        <f t="shared" si="49"/>
        <v>14</v>
      </c>
      <c r="D469" t="str">
        <f t="shared" si="50"/>
        <v>07</v>
      </c>
      <c r="E469" t="str">
        <f t="shared" si="51"/>
        <v>07</v>
      </c>
      <c r="F469">
        <f t="shared" si="52"/>
        <v>2014</v>
      </c>
      <c r="G469">
        <f t="shared" si="53"/>
        <v>7</v>
      </c>
      <c r="H469">
        <f t="shared" si="54"/>
        <v>7</v>
      </c>
      <c r="I469" t="str">
        <f t="shared" si="55"/>
        <v>14</v>
      </c>
    </row>
    <row r="470" spans="1:9" x14ac:dyDescent="0.25">
      <c r="A470" s="19">
        <v>42335</v>
      </c>
      <c r="B470" s="20">
        <v>0.98819444444444449</v>
      </c>
      <c r="C470" t="str">
        <f t="shared" si="49"/>
        <v>15</v>
      </c>
      <c r="D470" t="str">
        <f t="shared" si="50"/>
        <v>11</v>
      </c>
      <c r="E470" t="str">
        <f t="shared" si="51"/>
        <v>27</v>
      </c>
      <c r="F470">
        <f t="shared" si="52"/>
        <v>2015</v>
      </c>
      <c r="G470">
        <f t="shared" si="53"/>
        <v>11</v>
      </c>
      <c r="H470">
        <f t="shared" si="54"/>
        <v>27</v>
      </c>
      <c r="I470" t="str">
        <f t="shared" si="55"/>
        <v>15</v>
      </c>
    </row>
    <row r="471" spans="1:9" x14ac:dyDescent="0.25">
      <c r="A471" s="19">
        <v>41829</v>
      </c>
      <c r="B471" s="20">
        <v>5.5555555555555552E-2</v>
      </c>
      <c r="C471" t="str">
        <f t="shared" si="49"/>
        <v>14</v>
      </c>
      <c r="D471" t="str">
        <f t="shared" si="50"/>
        <v>07</v>
      </c>
      <c r="E471" t="str">
        <f t="shared" si="51"/>
        <v>09</v>
      </c>
      <c r="F471">
        <f t="shared" si="52"/>
        <v>2014</v>
      </c>
      <c r="G471">
        <f t="shared" si="53"/>
        <v>7</v>
      </c>
      <c r="H471">
        <f t="shared" si="54"/>
        <v>9</v>
      </c>
      <c r="I471" t="str">
        <f t="shared" si="55"/>
        <v>14</v>
      </c>
    </row>
    <row r="472" spans="1:9" x14ac:dyDescent="0.25">
      <c r="A472" s="19">
        <v>41815</v>
      </c>
      <c r="B472" s="20">
        <v>7.6388888888888886E-3</v>
      </c>
      <c r="C472" t="str">
        <f t="shared" si="49"/>
        <v>14</v>
      </c>
      <c r="D472" t="str">
        <f t="shared" si="50"/>
        <v>06</v>
      </c>
      <c r="E472" t="str">
        <f t="shared" si="51"/>
        <v>25</v>
      </c>
      <c r="F472">
        <f t="shared" si="52"/>
        <v>2014</v>
      </c>
      <c r="G472">
        <f t="shared" si="53"/>
        <v>6</v>
      </c>
      <c r="H472">
        <f t="shared" si="54"/>
        <v>25</v>
      </c>
      <c r="I472" t="str">
        <f t="shared" si="55"/>
        <v>14</v>
      </c>
    </row>
    <row r="473" spans="1:9" x14ac:dyDescent="0.25">
      <c r="A473" s="19">
        <v>42510</v>
      </c>
      <c r="B473" s="20">
        <v>0.97986111111111107</v>
      </c>
      <c r="C473" t="str">
        <f t="shared" si="49"/>
        <v>16</v>
      </c>
      <c r="D473" t="str">
        <f t="shared" si="50"/>
        <v>05</v>
      </c>
      <c r="E473" t="str">
        <f t="shared" si="51"/>
        <v>20</v>
      </c>
      <c r="F473">
        <f t="shared" si="52"/>
        <v>2016</v>
      </c>
      <c r="G473">
        <f t="shared" si="53"/>
        <v>5</v>
      </c>
      <c r="H473">
        <f t="shared" si="54"/>
        <v>20</v>
      </c>
      <c r="I473" t="str">
        <f t="shared" si="55"/>
        <v>16</v>
      </c>
    </row>
    <row r="474" spans="1:9" x14ac:dyDescent="0.25">
      <c r="A474" s="19">
        <v>41092</v>
      </c>
      <c r="B474" s="20">
        <v>4.4444444444444446E-2</v>
      </c>
      <c r="C474" t="str">
        <f t="shared" si="49"/>
        <v>12</v>
      </c>
      <c r="D474" t="str">
        <f t="shared" si="50"/>
        <v>07</v>
      </c>
      <c r="E474" t="str">
        <f t="shared" si="51"/>
        <v>02</v>
      </c>
      <c r="F474">
        <f t="shared" si="52"/>
        <v>2012</v>
      </c>
      <c r="G474">
        <f t="shared" si="53"/>
        <v>7</v>
      </c>
      <c r="H474">
        <f t="shared" si="54"/>
        <v>2</v>
      </c>
      <c r="I474" t="str">
        <f t="shared" si="55"/>
        <v>12</v>
      </c>
    </row>
    <row r="475" spans="1:9" x14ac:dyDescent="0.25">
      <c r="A475" s="19">
        <v>41486</v>
      </c>
      <c r="B475" s="20">
        <v>3.4027777777777775E-2</v>
      </c>
      <c r="C475" t="str">
        <f t="shared" si="49"/>
        <v>13</v>
      </c>
      <c r="D475" t="str">
        <f t="shared" si="50"/>
        <v>07</v>
      </c>
      <c r="E475" t="str">
        <f t="shared" si="51"/>
        <v>31</v>
      </c>
      <c r="F475">
        <f t="shared" si="52"/>
        <v>2013</v>
      </c>
      <c r="G475">
        <f t="shared" si="53"/>
        <v>7</v>
      </c>
      <c r="H475">
        <f t="shared" si="54"/>
        <v>31</v>
      </c>
      <c r="I475" t="str">
        <f t="shared" si="55"/>
        <v>13</v>
      </c>
    </row>
    <row r="476" spans="1:9" x14ac:dyDescent="0.25">
      <c r="A476" s="19">
        <v>41904</v>
      </c>
      <c r="B476" s="20">
        <v>0.98333333333333328</v>
      </c>
      <c r="C476" t="str">
        <f t="shared" si="49"/>
        <v>14</v>
      </c>
      <c r="D476" t="str">
        <f t="shared" si="50"/>
        <v>09</v>
      </c>
      <c r="E476" t="str">
        <f t="shared" si="51"/>
        <v>22</v>
      </c>
      <c r="F476">
        <f t="shared" si="52"/>
        <v>2014</v>
      </c>
      <c r="G476">
        <f t="shared" si="53"/>
        <v>9</v>
      </c>
      <c r="H476">
        <f t="shared" si="54"/>
        <v>22</v>
      </c>
      <c r="I476" t="str">
        <f t="shared" si="55"/>
        <v>14</v>
      </c>
    </row>
    <row r="477" spans="1:9" x14ac:dyDescent="0.25">
      <c r="A477" s="19">
        <v>41579</v>
      </c>
      <c r="B477" s="20">
        <v>7.7777777777777779E-2</v>
      </c>
      <c r="C477" t="str">
        <f t="shared" si="49"/>
        <v>13</v>
      </c>
      <c r="D477" t="str">
        <f t="shared" si="50"/>
        <v>11</v>
      </c>
      <c r="E477" t="str">
        <f t="shared" si="51"/>
        <v>01</v>
      </c>
      <c r="F477">
        <f t="shared" si="52"/>
        <v>2013</v>
      </c>
      <c r="G477">
        <f t="shared" si="53"/>
        <v>11</v>
      </c>
      <c r="H477">
        <f t="shared" si="54"/>
        <v>1</v>
      </c>
      <c r="I477" t="str">
        <f t="shared" si="55"/>
        <v>13</v>
      </c>
    </row>
    <row r="478" spans="1:9" x14ac:dyDescent="0.25">
      <c r="A478" s="19">
        <v>42228</v>
      </c>
      <c r="B478" s="20">
        <v>2.361111111111111E-2</v>
      </c>
      <c r="C478" t="str">
        <f t="shared" si="49"/>
        <v>15</v>
      </c>
      <c r="D478" t="str">
        <f t="shared" si="50"/>
        <v>08</v>
      </c>
      <c r="E478" t="str">
        <f t="shared" si="51"/>
        <v>12</v>
      </c>
      <c r="F478">
        <f t="shared" si="52"/>
        <v>2015</v>
      </c>
      <c r="G478">
        <f t="shared" si="53"/>
        <v>8</v>
      </c>
      <c r="H478">
        <f t="shared" si="54"/>
        <v>12</v>
      </c>
      <c r="I478" t="str">
        <f t="shared" si="55"/>
        <v>15</v>
      </c>
    </row>
    <row r="479" spans="1:9" x14ac:dyDescent="0.25">
      <c r="A479" s="19">
        <v>41231</v>
      </c>
      <c r="B479" s="20">
        <v>6.7361111111111108E-2</v>
      </c>
      <c r="C479" t="str">
        <f t="shared" si="49"/>
        <v>12</v>
      </c>
      <c r="D479" t="str">
        <f t="shared" si="50"/>
        <v>11</v>
      </c>
      <c r="E479" t="str">
        <f t="shared" si="51"/>
        <v>18</v>
      </c>
      <c r="F479">
        <f t="shared" si="52"/>
        <v>2012</v>
      </c>
      <c r="G479">
        <f t="shared" si="53"/>
        <v>11</v>
      </c>
      <c r="H479">
        <f t="shared" si="54"/>
        <v>18</v>
      </c>
      <c r="I479" t="str">
        <f t="shared" si="55"/>
        <v>12</v>
      </c>
    </row>
    <row r="480" spans="1:9" x14ac:dyDescent="0.25">
      <c r="A480" s="19">
        <v>41058</v>
      </c>
      <c r="B480" s="20">
        <v>5.5555555555555558E-3</v>
      </c>
      <c r="C480" t="str">
        <f t="shared" si="49"/>
        <v>12</v>
      </c>
      <c r="D480" t="str">
        <f t="shared" si="50"/>
        <v>05</v>
      </c>
      <c r="E480" t="str">
        <f t="shared" si="51"/>
        <v>29</v>
      </c>
      <c r="F480">
        <f t="shared" si="52"/>
        <v>2012</v>
      </c>
      <c r="G480">
        <f t="shared" si="53"/>
        <v>5</v>
      </c>
      <c r="H480">
        <f t="shared" si="54"/>
        <v>29</v>
      </c>
      <c r="I480" t="str">
        <f t="shared" si="55"/>
        <v>12</v>
      </c>
    </row>
    <row r="481" spans="1:9" x14ac:dyDescent="0.25">
      <c r="A481" s="19">
        <v>41064</v>
      </c>
      <c r="B481" s="20">
        <v>3.6805555555555557E-2</v>
      </c>
      <c r="C481" t="str">
        <f t="shared" si="49"/>
        <v>12</v>
      </c>
      <c r="D481" t="str">
        <f t="shared" si="50"/>
        <v>06</v>
      </c>
      <c r="E481" t="str">
        <f t="shared" si="51"/>
        <v>04</v>
      </c>
      <c r="F481">
        <f t="shared" si="52"/>
        <v>2012</v>
      </c>
      <c r="G481">
        <f t="shared" si="53"/>
        <v>6</v>
      </c>
      <c r="H481">
        <f t="shared" si="54"/>
        <v>4</v>
      </c>
      <c r="I481" t="str">
        <f t="shared" si="55"/>
        <v>12</v>
      </c>
    </row>
    <row r="482" spans="1:9" x14ac:dyDescent="0.25">
      <c r="A482" s="19">
        <v>41810</v>
      </c>
      <c r="B482" s="20">
        <v>0.93958333333333333</v>
      </c>
      <c r="C482" t="str">
        <f t="shared" si="49"/>
        <v>14</v>
      </c>
      <c r="D482" t="str">
        <f t="shared" si="50"/>
        <v>06</v>
      </c>
      <c r="E482" t="str">
        <f t="shared" si="51"/>
        <v>20</v>
      </c>
      <c r="F482">
        <f t="shared" si="52"/>
        <v>2014</v>
      </c>
      <c r="G482">
        <f t="shared" si="53"/>
        <v>6</v>
      </c>
      <c r="H482">
        <f t="shared" si="54"/>
        <v>20</v>
      </c>
      <c r="I482" t="str">
        <f t="shared" si="55"/>
        <v>14</v>
      </c>
    </row>
    <row r="483" spans="1:9" x14ac:dyDescent="0.25">
      <c r="A483" s="19">
        <v>41689</v>
      </c>
      <c r="B483" s="20">
        <v>5.2777777777777778E-2</v>
      </c>
      <c r="C483" t="str">
        <f t="shared" si="49"/>
        <v>14</v>
      </c>
      <c r="D483" t="str">
        <f t="shared" si="50"/>
        <v>02</v>
      </c>
      <c r="E483" t="str">
        <f t="shared" si="51"/>
        <v>19</v>
      </c>
      <c r="F483">
        <f t="shared" si="52"/>
        <v>2014</v>
      </c>
      <c r="G483">
        <f t="shared" si="53"/>
        <v>2</v>
      </c>
      <c r="H483">
        <f t="shared" si="54"/>
        <v>19</v>
      </c>
      <c r="I483" t="str">
        <f t="shared" si="55"/>
        <v>14</v>
      </c>
    </row>
    <row r="484" spans="1:9" x14ac:dyDescent="0.25">
      <c r="A484" s="19">
        <v>41840</v>
      </c>
      <c r="B484" s="20">
        <v>4.791666666666667E-2</v>
      </c>
      <c r="C484" t="str">
        <f t="shared" si="49"/>
        <v>14</v>
      </c>
      <c r="D484" t="str">
        <f t="shared" si="50"/>
        <v>07</v>
      </c>
      <c r="E484" t="str">
        <f t="shared" si="51"/>
        <v>20</v>
      </c>
      <c r="F484">
        <f t="shared" si="52"/>
        <v>2014</v>
      </c>
      <c r="G484">
        <f t="shared" si="53"/>
        <v>7</v>
      </c>
      <c r="H484">
        <f t="shared" si="54"/>
        <v>20</v>
      </c>
      <c r="I484" t="str">
        <f t="shared" si="55"/>
        <v>14</v>
      </c>
    </row>
    <row r="485" spans="1:9" x14ac:dyDescent="0.25">
      <c r="A485" s="19">
        <v>42414</v>
      </c>
      <c r="B485" s="20">
        <v>0.94930555555555551</v>
      </c>
      <c r="C485" t="str">
        <f t="shared" si="49"/>
        <v>16</v>
      </c>
      <c r="D485" t="str">
        <f t="shared" si="50"/>
        <v>02</v>
      </c>
      <c r="E485" t="str">
        <f t="shared" si="51"/>
        <v>14</v>
      </c>
      <c r="F485">
        <f t="shared" si="52"/>
        <v>2016</v>
      </c>
      <c r="G485">
        <f t="shared" si="53"/>
        <v>2</v>
      </c>
      <c r="H485">
        <f t="shared" si="54"/>
        <v>14</v>
      </c>
      <c r="I485" t="str">
        <f t="shared" si="55"/>
        <v>16</v>
      </c>
    </row>
    <row r="486" spans="1:9" x14ac:dyDescent="0.25">
      <c r="A486" s="19">
        <v>41062</v>
      </c>
      <c r="B486" s="20">
        <v>0.99097222222222225</v>
      </c>
      <c r="C486" t="str">
        <f t="shared" si="49"/>
        <v>12</v>
      </c>
      <c r="D486" t="str">
        <f t="shared" si="50"/>
        <v>06</v>
      </c>
      <c r="E486" t="str">
        <f t="shared" si="51"/>
        <v>02</v>
      </c>
      <c r="F486">
        <f t="shared" si="52"/>
        <v>2012</v>
      </c>
      <c r="G486">
        <f t="shared" si="53"/>
        <v>6</v>
      </c>
      <c r="H486">
        <f t="shared" si="54"/>
        <v>2</v>
      </c>
      <c r="I486" t="str">
        <f t="shared" si="55"/>
        <v>12</v>
      </c>
    </row>
    <row r="487" spans="1:9" x14ac:dyDescent="0.25">
      <c r="A487" s="19">
        <v>41433</v>
      </c>
      <c r="B487" s="20">
        <v>1.2500000000000001E-2</v>
      </c>
      <c r="C487" t="str">
        <f t="shared" si="49"/>
        <v>13</v>
      </c>
      <c r="D487" t="str">
        <f t="shared" si="50"/>
        <v>06</v>
      </c>
      <c r="E487" t="str">
        <f t="shared" si="51"/>
        <v>08</v>
      </c>
      <c r="F487">
        <f t="shared" si="52"/>
        <v>2013</v>
      </c>
      <c r="G487">
        <f t="shared" si="53"/>
        <v>6</v>
      </c>
      <c r="H487">
        <f t="shared" si="54"/>
        <v>8</v>
      </c>
      <c r="I487" t="str">
        <f t="shared" si="55"/>
        <v>13</v>
      </c>
    </row>
    <row r="488" spans="1:9" x14ac:dyDescent="0.25">
      <c r="A488" s="19">
        <v>42040</v>
      </c>
      <c r="B488" s="20">
        <v>8.3333333333333332E-3</v>
      </c>
      <c r="C488" t="str">
        <f t="shared" si="49"/>
        <v>15</v>
      </c>
      <c r="D488" t="str">
        <f t="shared" si="50"/>
        <v>02</v>
      </c>
      <c r="E488" t="str">
        <f t="shared" si="51"/>
        <v>05</v>
      </c>
      <c r="F488">
        <f t="shared" si="52"/>
        <v>2015</v>
      </c>
      <c r="G488">
        <f t="shared" si="53"/>
        <v>2</v>
      </c>
      <c r="H488">
        <f t="shared" si="54"/>
        <v>5</v>
      </c>
      <c r="I488" t="str">
        <f t="shared" si="55"/>
        <v>15</v>
      </c>
    </row>
    <row r="489" spans="1:9" x14ac:dyDescent="0.25">
      <c r="A489" s="19">
        <v>41530</v>
      </c>
      <c r="B489" s="20">
        <v>0.9868055555555556</v>
      </c>
      <c r="C489" t="str">
        <f t="shared" si="49"/>
        <v>13</v>
      </c>
      <c r="D489" t="str">
        <f t="shared" si="50"/>
        <v>09</v>
      </c>
      <c r="E489" t="str">
        <f t="shared" si="51"/>
        <v>13</v>
      </c>
      <c r="F489">
        <f t="shared" si="52"/>
        <v>2013</v>
      </c>
      <c r="G489">
        <f t="shared" si="53"/>
        <v>9</v>
      </c>
      <c r="H489">
        <f t="shared" si="54"/>
        <v>13</v>
      </c>
      <c r="I489" t="str">
        <f t="shared" si="55"/>
        <v>13</v>
      </c>
    </row>
    <row r="490" spans="1:9" x14ac:dyDescent="0.25">
      <c r="A490" s="19">
        <v>41054</v>
      </c>
      <c r="B490" s="20">
        <v>0.10347222222222222</v>
      </c>
      <c r="C490" t="str">
        <f t="shared" si="49"/>
        <v>12</v>
      </c>
      <c r="D490" t="str">
        <f t="shared" si="50"/>
        <v>05</v>
      </c>
      <c r="E490" t="str">
        <f t="shared" si="51"/>
        <v>25</v>
      </c>
      <c r="F490">
        <f t="shared" si="52"/>
        <v>2012</v>
      </c>
      <c r="G490">
        <f t="shared" si="53"/>
        <v>5</v>
      </c>
      <c r="H490">
        <f t="shared" si="54"/>
        <v>25</v>
      </c>
      <c r="I490" t="str">
        <f t="shared" si="55"/>
        <v>12</v>
      </c>
    </row>
    <row r="491" spans="1:9" x14ac:dyDescent="0.25">
      <c r="A491" s="19">
        <v>42559</v>
      </c>
      <c r="B491" s="20">
        <v>0.99791666666666667</v>
      </c>
      <c r="C491" t="str">
        <f t="shared" si="49"/>
        <v>16</v>
      </c>
      <c r="D491" t="str">
        <f t="shared" si="50"/>
        <v>07</v>
      </c>
      <c r="E491" t="str">
        <f t="shared" si="51"/>
        <v>08</v>
      </c>
      <c r="F491">
        <f t="shared" si="52"/>
        <v>2016</v>
      </c>
      <c r="G491">
        <f t="shared" si="53"/>
        <v>7</v>
      </c>
      <c r="H491">
        <f t="shared" si="54"/>
        <v>8</v>
      </c>
      <c r="I491" t="str">
        <f t="shared" si="55"/>
        <v>16</v>
      </c>
    </row>
    <row r="492" spans="1:9" x14ac:dyDescent="0.25">
      <c r="A492" s="19">
        <v>41869</v>
      </c>
      <c r="B492" s="20">
        <v>0.95486111111111116</v>
      </c>
      <c r="C492" t="str">
        <f t="shared" si="49"/>
        <v>14</v>
      </c>
      <c r="D492" t="str">
        <f t="shared" si="50"/>
        <v>08</v>
      </c>
      <c r="E492" t="str">
        <f t="shared" si="51"/>
        <v>18</v>
      </c>
      <c r="F492">
        <f t="shared" si="52"/>
        <v>2014</v>
      </c>
      <c r="G492">
        <f t="shared" si="53"/>
        <v>8</v>
      </c>
      <c r="H492">
        <f t="shared" si="54"/>
        <v>18</v>
      </c>
      <c r="I492" t="str">
        <f t="shared" si="55"/>
        <v>14</v>
      </c>
    </row>
    <row r="493" spans="1:9" x14ac:dyDescent="0.25">
      <c r="A493" s="19">
        <v>42455</v>
      </c>
      <c r="B493" s="20">
        <v>0.99722222222222223</v>
      </c>
      <c r="C493" t="str">
        <f t="shared" si="49"/>
        <v>16</v>
      </c>
      <c r="D493" t="str">
        <f t="shared" si="50"/>
        <v>03</v>
      </c>
      <c r="E493" t="str">
        <f t="shared" si="51"/>
        <v>26</v>
      </c>
      <c r="F493">
        <f t="shared" si="52"/>
        <v>2016</v>
      </c>
      <c r="G493">
        <f t="shared" si="53"/>
        <v>3</v>
      </c>
      <c r="H493">
        <f t="shared" si="54"/>
        <v>26</v>
      </c>
      <c r="I493" t="str">
        <f t="shared" si="55"/>
        <v>16</v>
      </c>
    </row>
    <row r="494" spans="1:9" x14ac:dyDescent="0.25">
      <c r="A494" s="19">
        <v>41837</v>
      </c>
      <c r="B494" s="20">
        <v>3.1944444444444442E-2</v>
      </c>
      <c r="C494" t="str">
        <f t="shared" si="49"/>
        <v>14</v>
      </c>
      <c r="D494" t="str">
        <f t="shared" si="50"/>
        <v>07</v>
      </c>
      <c r="E494" t="str">
        <f t="shared" si="51"/>
        <v>17</v>
      </c>
      <c r="F494">
        <f t="shared" si="52"/>
        <v>2014</v>
      </c>
      <c r="G494">
        <f t="shared" si="53"/>
        <v>7</v>
      </c>
      <c r="H494">
        <f t="shared" si="54"/>
        <v>17</v>
      </c>
      <c r="I494" t="str">
        <f t="shared" si="55"/>
        <v>14</v>
      </c>
    </row>
    <row r="495" spans="1:9" x14ac:dyDescent="0.25">
      <c r="A495" s="19">
        <v>42424</v>
      </c>
      <c r="B495" s="20">
        <v>0.98333333333333328</v>
      </c>
      <c r="C495" t="str">
        <f t="shared" si="49"/>
        <v>16</v>
      </c>
      <c r="D495" t="str">
        <f t="shared" si="50"/>
        <v>02</v>
      </c>
      <c r="E495" t="str">
        <f t="shared" si="51"/>
        <v>24</v>
      </c>
      <c r="F495">
        <f t="shared" si="52"/>
        <v>2016</v>
      </c>
      <c r="G495">
        <f t="shared" si="53"/>
        <v>2</v>
      </c>
      <c r="H495">
        <f t="shared" si="54"/>
        <v>24</v>
      </c>
      <c r="I495" t="str">
        <f t="shared" si="55"/>
        <v>16</v>
      </c>
    </row>
    <row r="496" spans="1:9" x14ac:dyDescent="0.25">
      <c r="A496" s="19">
        <v>42713</v>
      </c>
      <c r="B496" s="20">
        <v>0.99930555555555556</v>
      </c>
      <c r="C496" t="str">
        <f t="shared" si="49"/>
        <v>16</v>
      </c>
      <c r="D496" t="str">
        <f t="shared" si="50"/>
        <v>12</v>
      </c>
      <c r="E496" t="str">
        <f t="shared" si="51"/>
        <v>09</v>
      </c>
      <c r="F496">
        <f t="shared" si="52"/>
        <v>2016</v>
      </c>
      <c r="G496">
        <f t="shared" si="53"/>
        <v>12</v>
      </c>
      <c r="H496">
        <f t="shared" si="54"/>
        <v>9</v>
      </c>
      <c r="I496" t="str">
        <f t="shared" si="55"/>
        <v>16</v>
      </c>
    </row>
    <row r="497" spans="1:9" x14ac:dyDescent="0.25">
      <c r="A497" s="19">
        <v>42373</v>
      </c>
      <c r="B497" s="20">
        <v>2.013888888888889E-2</v>
      </c>
      <c r="C497" t="str">
        <f t="shared" si="49"/>
        <v>16</v>
      </c>
      <c r="D497" t="str">
        <f t="shared" si="50"/>
        <v>01</v>
      </c>
      <c r="E497" t="str">
        <f t="shared" si="51"/>
        <v>04</v>
      </c>
      <c r="F497">
        <f t="shared" si="52"/>
        <v>2016</v>
      </c>
      <c r="G497">
        <f t="shared" si="53"/>
        <v>1</v>
      </c>
      <c r="H497">
        <f t="shared" si="54"/>
        <v>4</v>
      </c>
      <c r="I497" t="str">
        <f t="shared" si="55"/>
        <v>16</v>
      </c>
    </row>
    <row r="498" spans="1:9" x14ac:dyDescent="0.25">
      <c r="A498" s="19">
        <v>41599</v>
      </c>
      <c r="B498" s="20">
        <v>4.1666666666666664E-2</v>
      </c>
      <c r="C498" t="str">
        <f t="shared" si="49"/>
        <v>13</v>
      </c>
      <c r="D498" t="str">
        <f t="shared" si="50"/>
        <v>11</v>
      </c>
      <c r="E498" t="str">
        <f t="shared" si="51"/>
        <v>21</v>
      </c>
      <c r="F498">
        <f t="shared" si="52"/>
        <v>2013</v>
      </c>
      <c r="G498">
        <f t="shared" si="53"/>
        <v>11</v>
      </c>
      <c r="H498">
        <f t="shared" si="54"/>
        <v>21</v>
      </c>
      <c r="I498" t="str">
        <f t="shared" si="55"/>
        <v>13</v>
      </c>
    </row>
    <row r="499" spans="1:9" x14ac:dyDescent="0.25">
      <c r="A499" s="19">
        <v>41608</v>
      </c>
      <c r="B499" s="20">
        <v>1.6666666666666666E-2</v>
      </c>
      <c r="C499" t="str">
        <f t="shared" si="49"/>
        <v>13</v>
      </c>
      <c r="D499" t="str">
        <f t="shared" si="50"/>
        <v>11</v>
      </c>
      <c r="E499" t="str">
        <f t="shared" si="51"/>
        <v>30</v>
      </c>
      <c r="F499">
        <f t="shared" si="52"/>
        <v>2013</v>
      </c>
      <c r="G499">
        <f t="shared" si="53"/>
        <v>11</v>
      </c>
      <c r="H499">
        <f t="shared" si="54"/>
        <v>30</v>
      </c>
      <c r="I499" t="str">
        <f t="shared" si="55"/>
        <v>13</v>
      </c>
    </row>
    <row r="500" spans="1:9" x14ac:dyDescent="0.25">
      <c r="A500" s="19">
        <v>41418</v>
      </c>
      <c r="B500" s="20">
        <v>3.4722222222222224E-2</v>
      </c>
      <c r="C500" t="str">
        <f t="shared" si="49"/>
        <v>13</v>
      </c>
      <c r="D500" t="str">
        <f t="shared" si="50"/>
        <v>05</v>
      </c>
      <c r="E500" t="str">
        <f t="shared" si="51"/>
        <v>24</v>
      </c>
      <c r="F500">
        <f t="shared" si="52"/>
        <v>2013</v>
      </c>
      <c r="G500">
        <f t="shared" si="53"/>
        <v>5</v>
      </c>
      <c r="H500">
        <f t="shared" si="54"/>
        <v>24</v>
      </c>
      <c r="I500" t="str">
        <f t="shared" si="55"/>
        <v>13</v>
      </c>
    </row>
    <row r="501" spans="1:9" x14ac:dyDescent="0.25">
      <c r="A501" s="19">
        <v>41206</v>
      </c>
      <c r="B501" s="20">
        <v>0.97152777777777777</v>
      </c>
      <c r="C501" t="str">
        <f t="shared" si="49"/>
        <v>12</v>
      </c>
      <c r="D501" t="str">
        <f t="shared" si="50"/>
        <v>10</v>
      </c>
      <c r="E501" t="str">
        <f t="shared" si="51"/>
        <v>24</v>
      </c>
      <c r="F501">
        <f t="shared" si="52"/>
        <v>2012</v>
      </c>
      <c r="G501">
        <f t="shared" si="53"/>
        <v>10</v>
      </c>
      <c r="H501">
        <f t="shared" si="54"/>
        <v>24</v>
      </c>
      <c r="I501" t="str">
        <f t="shared" si="55"/>
        <v>12</v>
      </c>
    </row>
    <row r="502" spans="1:9" x14ac:dyDescent="0.25">
      <c r="A502" s="19">
        <v>42055</v>
      </c>
      <c r="B502" s="20">
        <v>2.5000000000000001E-2</v>
      </c>
      <c r="C502" t="str">
        <f t="shared" si="49"/>
        <v>15</v>
      </c>
      <c r="D502" t="str">
        <f t="shared" si="50"/>
        <v>02</v>
      </c>
      <c r="E502" t="str">
        <f t="shared" si="51"/>
        <v>20</v>
      </c>
      <c r="F502">
        <f t="shared" si="52"/>
        <v>2015</v>
      </c>
      <c r="G502">
        <f t="shared" si="53"/>
        <v>2</v>
      </c>
      <c r="H502">
        <f t="shared" si="54"/>
        <v>20</v>
      </c>
      <c r="I502" t="str">
        <f t="shared" si="55"/>
        <v>15</v>
      </c>
    </row>
    <row r="503" spans="1:9" x14ac:dyDescent="0.25">
      <c r="A503" s="19">
        <v>40965</v>
      </c>
      <c r="B503" s="20">
        <v>6.1805555555555558E-2</v>
      </c>
      <c r="C503" t="str">
        <f t="shared" si="49"/>
        <v>12</v>
      </c>
      <c r="D503" t="str">
        <f t="shared" si="50"/>
        <v>02</v>
      </c>
      <c r="E503" t="str">
        <f t="shared" si="51"/>
        <v>26</v>
      </c>
      <c r="F503">
        <f t="shared" si="52"/>
        <v>2012</v>
      </c>
      <c r="G503">
        <f t="shared" si="53"/>
        <v>2</v>
      </c>
      <c r="H503">
        <f t="shared" si="54"/>
        <v>26</v>
      </c>
      <c r="I503" t="str">
        <f t="shared" si="55"/>
        <v>12</v>
      </c>
    </row>
    <row r="504" spans="1:9" x14ac:dyDescent="0.25">
      <c r="A504" s="19">
        <v>40927</v>
      </c>
      <c r="B504" s="20">
        <v>3.888888888888889E-2</v>
      </c>
      <c r="C504" t="str">
        <f t="shared" si="49"/>
        <v>12</v>
      </c>
      <c r="D504" t="str">
        <f t="shared" si="50"/>
        <v>01</v>
      </c>
      <c r="E504" t="str">
        <f t="shared" si="51"/>
        <v>19</v>
      </c>
      <c r="F504">
        <f t="shared" si="52"/>
        <v>2012</v>
      </c>
      <c r="G504">
        <f t="shared" si="53"/>
        <v>1</v>
      </c>
      <c r="H504">
        <f t="shared" si="54"/>
        <v>19</v>
      </c>
      <c r="I504" t="str">
        <f t="shared" si="55"/>
        <v>12</v>
      </c>
    </row>
    <row r="505" spans="1:9" x14ac:dyDescent="0.25">
      <c r="A505" s="19">
        <v>41468</v>
      </c>
      <c r="B505" s="20">
        <v>0.9916666666666667</v>
      </c>
      <c r="C505" t="str">
        <f t="shared" si="49"/>
        <v>13</v>
      </c>
      <c r="D505" t="str">
        <f t="shared" si="50"/>
        <v>07</v>
      </c>
      <c r="E505" t="str">
        <f t="shared" si="51"/>
        <v>13</v>
      </c>
      <c r="F505">
        <f t="shared" si="52"/>
        <v>2013</v>
      </c>
      <c r="G505">
        <f t="shared" si="53"/>
        <v>7</v>
      </c>
      <c r="H505">
        <f t="shared" si="54"/>
        <v>13</v>
      </c>
      <c r="I505" t="str">
        <f t="shared" si="55"/>
        <v>13</v>
      </c>
    </row>
    <row r="506" spans="1:9" x14ac:dyDescent="0.25">
      <c r="A506" s="19">
        <v>41445</v>
      </c>
      <c r="B506" s="20">
        <v>1.5972222222222221E-2</v>
      </c>
      <c r="C506" t="str">
        <f t="shared" si="49"/>
        <v>13</v>
      </c>
      <c r="D506" t="str">
        <f t="shared" si="50"/>
        <v>06</v>
      </c>
      <c r="E506" t="str">
        <f t="shared" si="51"/>
        <v>20</v>
      </c>
      <c r="F506">
        <f t="shared" si="52"/>
        <v>2013</v>
      </c>
      <c r="G506">
        <f t="shared" si="53"/>
        <v>6</v>
      </c>
      <c r="H506">
        <f t="shared" si="54"/>
        <v>20</v>
      </c>
      <c r="I506" t="str">
        <f t="shared" si="55"/>
        <v>13</v>
      </c>
    </row>
    <row r="507" spans="1:9" x14ac:dyDescent="0.25">
      <c r="A507" s="19">
        <v>41694</v>
      </c>
      <c r="B507" s="20">
        <v>4.1666666666666664E-2</v>
      </c>
      <c r="C507" t="str">
        <f t="shared" si="49"/>
        <v>14</v>
      </c>
      <c r="D507" t="str">
        <f t="shared" si="50"/>
        <v>02</v>
      </c>
      <c r="E507" t="str">
        <f t="shared" si="51"/>
        <v>24</v>
      </c>
      <c r="F507">
        <f t="shared" si="52"/>
        <v>2014</v>
      </c>
      <c r="G507">
        <f t="shared" si="53"/>
        <v>2</v>
      </c>
      <c r="H507">
        <f t="shared" si="54"/>
        <v>24</v>
      </c>
      <c r="I507" t="str">
        <f t="shared" si="55"/>
        <v>14</v>
      </c>
    </row>
    <row r="508" spans="1:9" x14ac:dyDescent="0.25">
      <c r="A508" s="19">
        <v>42049</v>
      </c>
      <c r="B508" s="20">
        <v>0.96111111111111114</v>
      </c>
      <c r="C508" t="str">
        <f t="shared" si="49"/>
        <v>15</v>
      </c>
      <c r="D508" t="str">
        <f t="shared" si="50"/>
        <v>02</v>
      </c>
      <c r="E508" t="str">
        <f t="shared" si="51"/>
        <v>14</v>
      </c>
      <c r="F508">
        <f t="shared" si="52"/>
        <v>2015</v>
      </c>
      <c r="G508">
        <f t="shared" si="53"/>
        <v>2</v>
      </c>
      <c r="H508">
        <f t="shared" si="54"/>
        <v>14</v>
      </c>
      <c r="I508" t="str">
        <f t="shared" si="55"/>
        <v>15</v>
      </c>
    </row>
    <row r="509" spans="1:9" x14ac:dyDescent="0.25">
      <c r="A509" s="19">
        <v>42507</v>
      </c>
      <c r="B509" s="20">
        <v>0.98055555555555551</v>
      </c>
      <c r="C509" t="str">
        <f t="shared" si="49"/>
        <v>16</v>
      </c>
      <c r="D509" t="str">
        <f t="shared" si="50"/>
        <v>05</v>
      </c>
      <c r="E509" t="str">
        <f t="shared" si="51"/>
        <v>17</v>
      </c>
      <c r="F509">
        <f t="shared" si="52"/>
        <v>2016</v>
      </c>
      <c r="G509">
        <f t="shared" si="53"/>
        <v>5</v>
      </c>
      <c r="H509">
        <f t="shared" si="54"/>
        <v>17</v>
      </c>
      <c r="I509" t="str">
        <f t="shared" si="55"/>
        <v>16</v>
      </c>
    </row>
    <row r="510" spans="1:9" x14ac:dyDescent="0.25">
      <c r="A510" s="19">
        <v>42275</v>
      </c>
      <c r="B510" s="20">
        <v>0.94930555555555551</v>
      </c>
      <c r="C510" t="str">
        <f t="shared" si="49"/>
        <v>15</v>
      </c>
      <c r="D510" t="str">
        <f t="shared" si="50"/>
        <v>09</v>
      </c>
      <c r="E510" t="str">
        <f t="shared" si="51"/>
        <v>28</v>
      </c>
      <c r="F510">
        <f t="shared" si="52"/>
        <v>2015</v>
      </c>
      <c r="G510">
        <f t="shared" si="53"/>
        <v>9</v>
      </c>
      <c r="H510">
        <f t="shared" si="54"/>
        <v>28</v>
      </c>
      <c r="I510" t="str">
        <f t="shared" si="55"/>
        <v>15</v>
      </c>
    </row>
    <row r="511" spans="1:9" x14ac:dyDescent="0.25">
      <c r="A511" s="19">
        <v>41685</v>
      </c>
      <c r="B511" s="20">
        <v>0.05</v>
      </c>
      <c r="C511" t="str">
        <f t="shared" si="49"/>
        <v>14</v>
      </c>
      <c r="D511" t="str">
        <f t="shared" si="50"/>
        <v>02</v>
      </c>
      <c r="E511" t="str">
        <f t="shared" si="51"/>
        <v>15</v>
      </c>
      <c r="F511">
        <f t="shared" si="52"/>
        <v>2014</v>
      </c>
      <c r="G511">
        <f t="shared" si="53"/>
        <v>2</v>
      </c>
      <c r="H511">
        <f t="shared" si="54"/>
        <v>15</v>
      </c>
      <c r="I511" t="str">
        <f t="shared" si="55"/>
        <v>14</v>
      </c>
    </row>
    <row r="512" spans="1:9" x14ac:dyDescent="0.25">
      <c r="A512" s="19">
        <v>41518</v>
      </c>
      <c r="B512" s="20">
        <v>3.125E-2</v>
      </c>
      <c r="C512" t="str">
        <f t="shared" si="49"/>
        <v>13</v>
      </c>
      <c r="D512" t="str">
        <f t="shared" si="50"/>
        <v>09</v>
      </c>
      <c r="E512" t="str">
        <f t="shared" si="51"/>
        <v>01</v>
      </c>
      <c r="F512">
        <f t="shared" si="52"/>
        <v>2013</v>
      </c>
      <c r="G512">
        <f t="shared" si="53"/>
        <v>9</v>
      </c>
      <c r="H512">
        <f t="shared" si="54"/>
        <v>1</v>
      </c>
      <c r="I512" t="str">
        <f t="shared" si="55"/>
        <v>13</v>
      </c>
    </row>
    <row r="513" spans="1:9" x14ac:dyDescent="0.25">
      <c r="A513" s="19">
        <v>41337</v>
      </c>
      <c r="B513" s="20">
        <v>0.9604166666666667</v>
      </c>
      <c r="C513" t="str">
        <f t="shared" si="49"/>
        <v>13</v>
      </c>
      <c r="D513" t="str">
        <f t="shared" si="50"/>
        <v>03</v>
      </c>
      <c r="E513" t="str">
        <f t="shared" si="51"/>
        <v>04</v>
      </c>
      <c r="F513">
        <f t="shared" si="52"/>
        <v>2013</v>
      </c>
      <c r="G513">
        <f t="shared" si="53"/>
        <v>3</v>
      </c>
      <c r="H513">
        <f t="shared" si="54"/>
        <v>4</v>
      </c>
      <c r="I513" t="str">
        <f t="shared" si="55"/>
        <v>13</v>
      </c>
    </row>
    <row r="514" spans="1:9" x14ac:dyDescent="0.25">
      <c r="A514" s="19">
        <v>42384</v>
      </c>
      <c r="B514" s="20">
        <v>9.8611111111111108E-2</v>
      </c>
      <c r="C514" t="str">
        <f t="shared" si="49"/>
        <v>16</v>
      </c>
      <c r="D514" t="str">
        <f t="shared" si="50"/>
        <v>01</v>
      </c>
      <c r="E514" t="str">
        <f t="shared" si="51"/>
        <v>15</v>
      </c>
      <c r="F514">
        <f t="shared" si="52"/>
        <v>2016</v>
      </c>
      <c r="G514">
        <f t="shared" si="53"/>
        <v>1</v>
      </c>
      <c r="H514">
        <f t="shared" si="54"/>
        <v>15</v>
      </c>
      <c r="I514" t="str">
        <f t="shared" si="55"/>
        <v>16</v>
      </c>
    </row>
    <row r="515" spans="1:9" x14ac:dyDescent="0.25">
      <c r="A515" s="19">
        <v>41232</v>
      </c>
      <c r="B515" s="20">
        <v>0.98402777777777772</v>
      </c>
      <c r="C515" t="str">
        <f t="shared" ref="C515:C578" si="56">TEXT(A515,"YY")</f>
        <v>12</v>
      </c>
      <c r="D515" t="str">
        <f t="shared" ref="D515:D578" si="57">TEXT(A515,"mm")</f>
        <v>11</v>
      </c>
      <c r="E515" t="str">
        <f t="shared" ref="E515:E578" si="58">TEXT(A515,"dd")</f>
        <v>19</v>
      </c>
      <c r="F515">
        <f t="shared" ref="F515:F578" si="59">YEAR($A515)</f>
        <v>2012</v>
      </c>
      <c r="G515">
        <f t="shared" ref="G515:G578" si="60">MONTH($A515)</f>
        <v>11</v>
      </c>
      <c r="H515">
        <f t="shared" ref="H515:H578" si="61">DAY($A515)</f>
        <v>19</v>
      </c>
      <c r="I515" t="str">
        <f t="shared" ref="I515:I578" si="62">TEXT($A515,"YY")</f>
        <v>12</v>
      </c>
    </row>
    <row r="516" spans="1:9" x14ac:dyDescent="0.25">
      <c r="A516" s="19">
        <v>41929</v>
      </c>
      <c r="B516" s="20">
        <v>0.98888888888888893</v>
      </c>
      <c r="C516" t="str">
        <f t="shared" si="56"/>
        <v>14</v>
      </c>
      <c r="D516" t="str">
        <f t="shared" si="57"/>
        <v>10</v>
      </c>
      <c r="E516" t="str">
        <f t="shared" si="58"/>
        <v>17</v>
      </c>
      <c r="F516">
        <f t="shared" si="59"/>
        <v>2014</v>
      </c>
      <c r="G516">
        <f t="shared" si="60"/>
        <v>10</v>
      </c>
      <c r="H516">
        <f t="shared" si="61"/>
        <v>17</v>
      </c>
      <c r="I516" t="str">
        <f t="shared" si="62"/>
        <v>14</v>
      </c>
    </row>
    <row r="517" spans="1:9" x14ac:dyDescent="0.25">
      <c r="A517" s="19">
        <v>41902</v>
      </c>
      <c r="B517" s="20">
        <v>4.3749999999999997E-2</v>
      </c>
      <c r="C517" t="str">
        <f t="shared" si="56"/>
        <v>14</v>
      </c>
      <c r="D517" t="str">
        <f t="shared" si="57"/>
        <v>09</v>
      </c>
      <c r="E517" t="str">
        <f t="shared" si="58"/>
        <v>20</v>
      </c>
      <c r="F517">
        <f t="shared" si="59"/>
        <v>2014</v>
      </c>
      <c r="G517">
        <f t="shared" si="60"/>
        <v>9</v>
      </c>
      <c r="H517">
        <f t="shared" si="61"/>
        <v>20</v>
      </c>
      <c r="I517" t="str">
        <f t="shared" si="62"/>
        <v>14</v>
      </c>
    </row>
    <row r="518" spans="1:9" x14ac:dyDescent="0.25">
      <c r="A518" s="19">
        <v>41972</v>
      </c>
      <c r="B518" s="20">
        <v>5.6250000000000001E-2</v>
      </c>
      <c r="C518" t="str">
        <f t="shared" si="56"/>
        <v>14</v>
      </c>
      <c r="D518" t="str">
        <f t="shared" si="57"/>
        <v>11</v>
      </c>
      <c r="E518" t="str">
        <f t="shared" si="58"/>
        <v>29</v>
      </c>
      <c r="F518">
        <f t="shared" si="59"/>
        <v>2014</v>
      </c>
      <c r="G518">
        <f t="shared" si="60"/>
        <v>11</v>
      </c>
      <c r="H518">
        <f t="shared" si="61"/>
        <v>29</v>
      </c>
      <c r="I518" t="str">
        <f t="shared" si="62"/>
        <v>14</v>
      </c>
    </row>
    <row r="519" spans="1:9" x14ac:dyDescent="0.25">
      <c r="A519" s="19">
        <v>40964</v>
      </c>
      <c r="B519" s="20">
        <v>8.3333333333333329E-2</v>
      </c>
      <c r="C519" t="str">
        <f t="shared" si="56"/>
        <v>12</v>
      </c>
      <c r="D519" t="str">
        <f t="shared" si="57"/>
        <v>02</v>
      </c>
      <c r="E519" t="str">
        <f t="shared" si="58"/>
        <v>25</v>
      </c>
      <c r="F519">
        <f t="shared" si="59"/>
        <v>2012</v>
      </c>
      <c r="G519">
        <f t="shared" si="60"/>
        <v>2</v>
      </c>
      <c r="H519">
        <f t="shared" si="61"/>
        <v>25</v>
      </c>
      <c r="I519" t="str">
        <f t="shared" si="62"/>
        <v>12</v>
      </c>
    </row>
    <row r="520" spans="1:9" x14ac:dyDescent="0.25">
      <c r="A520" s="19">
        <v>41536</v>
      </c>
      <c r="B520" s="20">
        <v>0.97152777777777777</v>
      </c>
      <c r="C520" t="str">
        <f t="shared" si="56"/>
        <v>13</v>
      </c>
      <c r="D520" t="str">
        <f t="shared" si="57"/>
        <v>09</v>
      </c>
      <c r="E520" t="str">
        <f t="shared" si="58"/>
        <v>19</v>
      </c>
      <c r="F520">
        <f t="shared" si="59"/>
        <v>2013</v>
      </c>
      <c r="G520">
        <f t="shared" si="60"/>
        <v>9</v>
      </c>
      <c r="H520">
        <f t="shared" si="61"/>
        <v>19</v>
      </c>
      <c r="I520" t="str">
        <f t="shared" si="62"/>
        <v>13</v>
      </c>
    </row>
    <row r="521" spans="1:9" x14ac:dyDescent="0.25">
      <c r="A521" s="19">
        <v>42028</v>
      </c>
      <c r="B521" s="20">
        <v>0.95208333333333328</v>
      </c>
      <c r="C521" t="str">
        <f t="shared" si="56"/>
        <v>15</v>
      </c>
      <c r="D521" t="str">
        <f t="shared" si="57"/>
        <v>01</v>
      </c>
      <c r="E521" t="str">
        <f t="shared" si="58"/>
        <v>24</v>
      </c>
      <c r="F521">
        <f t="shared" si="59"/>
        <v>2015</v>
      </c>
      <c r="G521">
        <f t="shared" si="60"/>
        <v>1</v>
      </c>
      <c r="H521">
        <f t="shared" si="61"/>
        <v>24</v>
      </c>
      <c r="I521" t="str">
        <f t="shared" si="62"/>
        <v>15</v>
      </c>
    </row>
    <row r="522" spans="1:9" x14ac:dyDescent="0.25">
      <c r="A522" s="19">
        <v>41848</v>
      </c>
      <c r="B522" s="20">
        <v>0.92500000000000004</v>
      </c>
      <c r="C522" t="str">
        <f t="shared" si="56"/>
        <v>14</v>
      </c>
      <c r="D522" t="str">
        <f t="shared" si="57"/>
        <v>07</v>
      </c>
      <c r="E522" t="str">
        <f t="shared" si="58"/>
        <v>28</v>
      </c>
      <c r="F522">
        <f t="shared" si="59"/>
        <v>2014</v>
      </c>
      <c r="G522">
        <f t="shared" si="60"/>
        <v>7</v>
      </c>
      <c r="H522">
        <f t="shared" si="61"/>
        <v>28</v>
      </c>
      <c r="I522" t="str">
        <f t="shared" si="62"/>
        <v>14</v>
      </c>
    </row>
    <row r="523" spans="1:9" x14ac:dyDescent="0.25">
      <c r="A523" s="19">
        <v>41779</v>
      </c>
      <c r="B523" s="20">
        <v>0.9819444444444444</v>
      </c>
      <c r="C523" t="str">
        <f t="shared" si="56"/>
        <v>14</v>
      </c>
      <c r="D523" t="str">
        <f t="shared" si="57"/>
        <v>05</v>
      </c>
      <c r="E523" t="str">
        <f t="shared" si="58"/>
        <v>20</v>
      </c>
      <c r="F523">
        <f t="shared" si="59"/>
        <v>2014</v>
      </c>
      <c r="G523">
        <f t="shared" si="60"/>
        <v>5</v>
      </c>
      <c r="H523">
        <f t="shared" si="61"/>
        <v>20</v>
      </c>
      <c r="I523" t="str">
        <f t="shared" si="62"/>
        <v>14</v>
      </c>
    </row>
    <row r="524" spans="1:9" x14ac:dyDescent="0.25">
      <c r="A524" s="19">
        <v>42264</v>
      </c>
      <c r="B524" s="20">
        <v>2.6388888888888889E-2</v>
      </c>
      <c r="C524" t="str">
        <f t="shared" si="56"/>
        <v>15</v>
      </c>
      <c r="D524" t="str">
        <f t="shared" si="57"/>
        <v>09</v>
      </c>
      <c r="E524" t="str">
        <f t="shared" si="58"/>
        <v>17</v>
      </c>
      <c r="F524">
        <f t="shared" si="59"/>
        <v>2015</v>
      </c>
      <c r="G524">
        <f t="shared" si="60"/>
        <v>9</v>
      </c>
      <c r="H524">
        <f t="shared" si="61"/>
        <v>17</v>
      </c>
      <c r="I524" t="str">
        <f t="shared" si="62"/>
        <v>15</v>
      </c>
    </row>
    <row r="525" spans="1:9" x14ac:dyDescent="0.25">
      <c r="A525" s="19">
        <v>41020</v>
      </c>
      <c r="B525" s="20">
        <v>5.2777777777777778E-2</v>
      </c>
      <c r="C525" t="str">
        <f t="shared" si="56"/>
        <v>12</v>
      </c>
      <c r="D525" t="str">
        <f t="shared" si="57"/>
        <v>04</v>
      </c>
      <c r="E525" t="str">
        <f t="shared" si="58"/>
        <v>21</v>
      </c>
      <c r="F525">
        <f t="shared" si="59"/>
        <v>2012</v>
      </c>
      <c r="G525">
        <f t="shared" si="60"/>
        <v>4</v>
      </c>
      <c r="H525">
        <f t="shared" si="61"/>
        <v>21</v>
      </c>
      <c r="I525" t="str">
        <f t="shared" si="62"/>
        <v>12</v>
      </c>
    </row>
    <row r="526" spans="1:9" x14ac:dyDescent="0.25">
      <c r="A526" s="19">
        <v>42733</v>
      </c>
      <c r="B526" s="20">
        <v>1.6666666666666666E-2</v>
      </c>
      <c r="C526" t="str">
        <f t="shared" si="56"/>
        <v>16</v>
      </c>
      <c r="D526" t="str">
        <f t="shared" si="57"/>
        <v>12</v>
      </c>
      <c r="E526" t="str">
        <f t="shared" si="58"/>
        <v>29</v>
      </c>
      <c r="F526">
        <f t="shared" si="59"/>
        <v>2016</v>
      </c>
      <c r="G526">
        <f t="shared" si="60"/>
        <v>12</v>
      </c>
      <c r="H526">
        <f t="shared" si="61"/>
        <v>29</v>
      </c>
      <c r="I526" t="str">
        <f t="shared" si="62"/>
        <v>16</v>
      </c>
    </row>
    <row r="527" spans="1:9" x14ac:dyDescent="0.25">
      <c r="A527" s="19">
        <v>42176</v>
      </c>
      <c r="B527" s="20">
        <v>3.0555555555555555E-2</v>
      </c>
      <c r="C527" t="str">
        <f t="shared" si="56"/>
        <v>15</v>
      </c>
      <c r="D527" t="str">
        <f t="shared" si="57"/>
        <v>06</v>
      </c>
      <c r="E527" t="str">
        <f t="shared" si="58"/>
        <v>21</v>
      </c>
      <c r="F527">
        <f t="shared" si="59"/>
        <v>2015</v>
      </c>
      <c r="G527">
        <f t="shared" si="60"/>
        <v>6</v>
      </c>
      <c r="H527">
        <f t="shared" si="61"/>
        <v>21</v>
      </c>
      <c r="I527" t="str">
        <f t="shared" si="62"/>
        <v>15</v>
      </c>
    </row>
    <row r="528" spans="1:9" x14ac:dyDescent="0.25">
      <c r="A528" s="19">
        <v>42217</v>
      </c>
      <c r="B528" s="20">
        <v>0.98541666666666672</v>
      </c>
      <c r="C528" t="str">
        <f t="shared" si="56"/>
        <v>15</v>
      </c>
      <c r="D528" t="str">
        <f t="shared" si="57"/>
        <v>08</v>
      </c>
      <c r="E528" t="str">
        <f t="shared" si="58"/>
        <v>01</v>
      </c>
      <c r="F528">
        <f t="shared" si="59"/>
        <v>2015</v>
      </c>
      <c r="G528">
        <f t="shared" si="60"/>
        <v>8</v>
      </c>
      <c r="H528">
        <f t="shared" si="61"/>
        <v>1</v>
      </c>
      <c r="I528" t="str">
        <f t="shared" si="62"/>
        <v>15</v>
      </c>
    </row>
    <row r="529" spans="1:9" x14ac:dyDescent="0.25">
      <c r="A529" s="19">
        <v>41786</v>
      </c>
      <c r="B529" s="20">
        <v>1.7361111111111112E-2</v>
      </c>
      <c r="C529" t="str">
        <f t="shared" si="56"/>
        <v>14</v>
      </c>
      <c r="D529" t="str">
        <f t="shared" si="57"/>
        <v>05</v>
      </c>
      <c r="E529" t="str">
        <f t="shared" si="58"/>
        <v>27</v>
      </c>
      <c r="F529">
        <f t="shared" si="59"/>
        <v>2014</v>
      </c>
      <c r="G529">
        <f t="shared" si="60"/>
        <v>5</v>
      </c>
      <c r="H529">
        <f t="shared" si="61"/>
        <v>27</v>
      </c>
      <c r="I529" t="str">
        <f t="shared" si="62"/>
        <v>14</v>
      </c>
    </row>
    <row r="530" spans="1:9" x14ac:dyDescent="0.25">
      <c r="A530" s="19">
        <v>41274</v>
      </c>
      <c r="B530" s="20">
        <v>4.3055555555555555E-2</v>
      </c>
      <c r="C530" t="str">
        <f t="shared" si="56"/>
        <v>12</v>
      </c>
      <c r="D530" t="str">
        <f t="shared" si="57"/>
        <v>12</v>
      </c>
      <c r="E530" t="str">
        <f t="shared" si="58"/>
        <v>31</v>
      </c>
      <c r="F530">
        <f t="shared" si="59"/>
        <v>2012</v>
      </c>
      <c r="G530">
        <f t="shared" si="60"/>
        <v>12</v>
      </c>
      <c r="H530">
        <f t="shared" si="61"/>
        <v>31</v>
      </c>
      <c r="I530" t="str">
        <f t="shared" si="62"/>
        <v>12</v>
      </c>
    </row>
    <row r="531" spans="1:9" x14ac:dyDescent="0.25">
      <c r="A531" s="19">
        <v>41103</v>
      </c>
      <c r="B531" s="20">
        <v>0.99513888888888891</v>
      </c>
      <c r="C531" t="str">
        <f t="shared" si="56"/>
        <v>12</v>
      </c>
      <c r="D531" t="str">
        <f t="shared" si="57"/>
        <v>07</v>
      </c>
      <c r="E531" t="str">
        <f t="shared" si="58"/>
        <v>13</v>
      </c>
      <c r="F531">
        <f t="shared" si="59"/>
        <v>2012</v>
      </c>
      <c r="G531">
        <f t="shared" si="60"/>
        <v>7</v>
      </c>
      <c r="H531">
        <f t="shared" si="61"/>
        <v>13</v>
      </c>
      <c r="I531" t="str">
        <f t="shared" si="62"/>
        <v>12</v>
      </c>
    </row>
    <row r="532" spans="1:9" x14ac:dyDescent="0.25">
      <c r="A532" s="19">
        <v>41928</v>
      </c>
      <c r="B532" s="20">
        <v>5.6944444444444443E-2</v>
      </c>
      <c r="C532" t="str">
        <f t="shared" si="56"/>
        <v>14</v>
      </c>
      <c r="D532" t="str">
        <f t="shared" si="57"/>
        <v>10</v>
      </c>
      <c r="E532" t="str">
        <f t="shared" si="58"/>
        <v>16</v>
      </c>
      <c r="F532">
        <f t="shared" si="59"/>
        <v>2014</v>
      </c>
      <c r="G532">
        <f t="shared" si="60"/>
        <v>10</v>
      </c>
      <c r="H532">
        <f t="shared" si="61"/>
        <v>16</v>
      </c>
      <c r="I532" t="str">
        <f t="shared" si="62"/>
        <v>14</v>
      </c>
    </row>
    <row r="533" spans="1:9" x14ac:dyDescent="0.25">
      <c r="A533" s="19">
        <v>41851</v>
      </c>
      <c r="B533" s="20">
        <v>0.96805555555555556</v>
      </c>
      <c r="C533" t="str">
        <f t="shared" si="56"/>
        <v>14</v>
      </c>
      <c r="D533" t="str">
        <f t="shared" si="57"/>
        <v>07</v>
      </c>
      <c r="E533" t="str">
        <f t="shared" si="58"/>
        <v>31</v>
      </c>
      <c r="F533">
        <f t="shared" si="59"/>
        <v>2014</v>
      </c>
      <c r="G533">
        <f t="shared" si="60"/>
        <v>7</v>
      </c>
      <c r="H533">
        <f t="shared" si="61"/>
        <v>31</v>
      </c>
      <c r="I533" t="str">
        <f t="shared" si="62"/>
        <v>14</v>
      </c>
    </row>
    <row r="534" spans="1:9" x14ac:dyDescent="0.25">
      <c r="A534" s="19">
        <v>41788</v>
      </c>
      <c r="B534" s="20">
        <v>0.94652777777777775</v>
      </c>
      <c r="C534" t="str">
        <f t="shared" si="56"/>
        <v>14</v>
      </c>
      <c r="D534" t="str">
        <f t="shared" si="57"/>
        <v>05</v>
      </c>
      <c r="E534" t="str">
        <f t="shared" si="58"/>
        <v>29</v>
      </c>
      <c r="F534">
        <f t="shared" si="59"/>
        <v>2014</v>
      </c>
      <c r="G534">
        <f t="shared" si="60"/>
        <v>5</v>
      </c>
      <c r="H534">
        <f t="shared" si="61"/>
        <v>29</v>
      </c>
      <c r="I534" t="str">
        <f t="shared" si="62"/>
        <v>14</v>
      </c>
    </row>
    <row r="535" spans="1:9" x14ac:dyDescent="0.25">
      <c r="A535" s="19">
        <v>41867</v>
      </c>
      <c r="B535" s="20">
        <v>0.99513888888888891</v>
      </c>
      <c r="C535" t="str">
        <f t="shared" si="56"/>
        <v>14</v>
      </c>
      <c r="D535" t="str">
        <f t="shared" si="57"/>
        <v>08</v>
      </c>
      <c r="E535" t="str">
        <f t="shared" si="58"/>
        <v>16</v>
      </c>
      <c r="F535">
        <f t="shared" si="59"/>
        <v>2014</v>
      </c>
      <c r="G535">
        <f t="shared" si="60"/>
        <v>8</v>
      </c>
      <c r="H535">
        <f t="shared" si="61"/>
        <v>16</v>
      </c>
      <c r="I535" t="str">
        <f t="shared" si="62"/>
        <v>14</v>
      </c>
    </row>
    <row r="536" spans="1:9" x14ac:dyDescent="0.25">
      <c r="A536" s="19">
        <v>41987</v>
      </c>
      <c r="B536" s="20">
        <v>5.7638888888888892E-2</v>
      </c>
      <c r="C536" t="str">
        <f t="shared" si="56"/>
        <v>14</v>
      </c>
      <c r="D536" t="str">
        <f t="shared" si="57"/>
        <v>12</v>
      </c>
      <c r="E536" t="str">
        <f t="shared" si="58"/>
        <v>14</v>
      </c>
      <c r="F536">
        <f t="shared" si="59"/>
        <v>2014</v>
      </c>
      <c r="G536">
        <f t="shared" si="60"/>
        <v>12</v>
      </c>
      <c r="H536">
        <f t="shared" si="61"/>
        <v>14</v>
      </c>
      <c r="I536" t="str">
        <f t="shared" si="62"/>
        <v>14</v>
      </c>
    </row>
    <row r="537" spans="1:9" x14ac:dyDescent="0.25">
      <c r="A537" s="19">
        <v>42648</v>
      </c>
      <c r="B537" s="20">
        <v>0.97222222222222221</v>
      </c>
      <c r="C537" t="str">
        <f t="shared" si="56"/>
        <v>16</v>
      </c>
      <c r="D537" t="str">
        <f t="shared" si="57"/>
        <v>10</v>
      </c>
      <c r="E537" t="str">
        <f t="shared" si="58"/>
        <v>05</v>
      </c>
      <c r="F537">
        <f t="shared" si="59"/>
        <v>2016</v>
      </c>
      <c r="G537">
        <f t="shared" si="60"/>
        <v>10</v>
      </c>
      <c r="H537">
        <f t="shared" si="61"/>
        <v>5</v>
      </c>
      <c r="I537" t="str">
        <f t="shared" si="62"/>
        <v>16</v>
      </c>
    </row>
    <row r="538" spans="1:9" x14ac:dyDescent="0.25">
      <c r="A538" s="19">
        <v>41418</v>
      </c>
      <c r="B538" s="20">
        <v>2.2916666666666665E-2</v>
      </c>
      <c r="C538" t="str">
        <f t="shared" si="56"/>
        <v>13</v>
      </c>
      <c r="D538" t="str">
        <f t="shared" si="57"/>
        <v>05</v>
      </c>
      <c r="E538" t="str">
        <f t="shared" si="58"/>
        <v>24</v>
      </c>
      <c r="F538">
        <f t="shared" si="59"/>
        <v>2013</v>
      </c>
      <c r="G538">
        <f t="shared" si="60"/>
        <v>5</v>
      </c>
      <c r="H538">
        <f t="shared" si="61"/>
        <v>24</v>
      </c>
      <c r="I538" t="str">
        <f t="shared" si="62"/>
        <v>13</v>
      </c>
    </row>
    <row r="539" spans="1:9" x14ac:dyDescent="0.25">
      <c r="A539" s="19">
        <v>42327</v>
      </c>
      <c r="B539" s="20">
        <v>0.97499999999999998</v>
      </c>
      <c r="C539" t="str">
        <f t="shared" si="56"/>
        <v>15</v>
      </c>
      <c r="D539" t="str">
        <f t="shared" si="57"/>
        <v>11</v>
      </c>
      <c r="E539" t="str">
        <f t="shared" si="58"/>
        <v>19</v>
      </c>
      <c r="F539">
        <f t="shared" si="59"/>
        <v>2015</v>
      </c>
      <c r="G539">
        <f t="shared" si="60"/>
        <v>11</v>
      </c>
      <c r="H539">
        <f t="shared" si="61"/>
        <v>19</v>
      </c>
      <c r="I539" t="str">
        <f t="shared" si="62"/>
        <v>15</v>
      </c>
    </row>
    <row r="540" spans="1:9" x14ac:dyDescent="0.25">
      <c r="A540" s="19">
        <v>41676</v>
      </c>
      <c r="B540" s="20">
        <v>0.98958333333333337</v>
      </c>
      <c r="C540" t="str">
        <f t="shared" si="56"/>
        <v>14</v>
      </c>
      <c r="D540" t="str">
        <f t="shared" si="57"/>
        <v>02</v>
      </c>
      <c r="E540" t="str">
        <f t="shared" si="58"/>
        <v>06</v>
      </c>
      <c r="F540">
        <f t="shared" si="59"/>
        <v>2014</v>
      </c>
      <c r="G540">
        <f t="shared" si="60"/>
        <v>2</v>
      </c>
      <c r="H540">
        <f t="shared" si="61"/>
        <v>6</v>
      </c>
      <c r="I540" t="str">
        <f t="shared" si="62"/>
        <v>14</v>
      </c>
    </row>
    <row r="541" spans="1:9" x14ac:dyDescent="0.25">
      <c r="A541" s="19">
        <v>41790</v>
      </c>
      <c r="B541" s="20">
        <v>8.1944444444444445E-2</v>
      </c>
      <c r="C541" t="str">
        <f t="shared" si="56"/>
        <v>14</v>
      </c>
      <c r="D541" t="str">
        <f t="shared" si="57"/>
        <v>05</v>
      </c>
      <c r="E541" t="str">
        <f t="shared" si="58"/>
        <v>31</v>
      </c>
      <c r="F541">
        <f t="shared" si="59"/>
        <v>2014</v>
      </c>
      <c r="G541">
        <f t="shared" si="60"/>
        <v>5</v>
      </c>
      <c r="H541">
        <f t="shared" si="61"/>
        <v>31</v>
      </c>
      <c r="I541" t="str">
        <f t="shared" si="62"/>
        <v>14</v>
      </c>
    </row>
    <row r="542" spans="1:9" x14ac:dyDescent="0.25">
      <c r="A542" s="19">
        <v>42069</v>
      </c>
      <c r="B542" s="20">
        <v>2.013888888888889E-2</v>
      </c>
      <c r="C542" t="str">
        <f t="shared" si="56"/>
        <v>15</v>
      </c>
      <c r="D542" t="str">
        <f t="shared" si="57"/>
        <v>03</v>
      </c>
      <c r="E542" t="str">
        <f t="shared" si="58"/>
        <v>06</v>
      </c>
      <c r="F542">
        <f t="shared" si="59"/>
        <v>2015</v>
      </c>
      <c r="G542">
        <f t="shared" si="60"/>
        <v>3</v>
      </c>
      <c r="H542">
        <f t="shared" si="61"/>
        <v>6</v>
      </c>
      <c r="I542" t="str">
        <f t="shared" si="62"/>
        <v>15</v>
      </c>
    </row>
    <row r="543" spans="1:9" x14ac:dyDescent="0.25">
      <c r="A543" s="19">
        <v>42155</v>
      </c>
      <c r="B543" s="20">
        <v>1.7361111111111112E-2</v>
      </c>
      <c r="C543" t="str">
        <f t="shared" si="56"/>
        <v>15</v>
      </c>
      <c r="D543" t="str">
        <f t="shared" si="57"/>
        <v>05</v>
      </c>
      <c r="E543" t="str">
        <f t="shared" si="58"/>
        <v>31</v>
      </c>
      <c r="F543">
        <f t="shared" si="59"/>
        <v>2015</v>
      </c>
      <c r="G543">
        <f t="shared" si="60"/>
        <v>5</v>
      </c>
      <c r="H543">
        <f t="shared" si="61"/>
        <v>31</v>
      </c>
      <c r="I543" t="str">
        <f t="shared" si="62"/>
        <v>15</v>
      </c>
    </row>
    <row r="544" spans="1:9" x14ac:dyDescent="0.25">
      <c r="A544" s="19">
        <v>41568</v>
      </c>
      <c r="B544" s="20">
        <v>3.3333333333333333E-2</v>
      </c>
      <c r="C544" t="str">
        <f t="shared" si="56"/>
        <v>13</v>
      </c>
      <c r="D544" t="str">
        <f t="shared" si="57"/>
        <v>10</v>
      </c>
      <c r="E544" t="str">
        <f t="shared" si="58"/>
        <v>21</v>
      </c>
      <c r="F544">
        <f t="shared" si="59"/>
        <v>2013</v>
      </c>
      <c r="G544">
        <f t="shared" si="60"/>
        <v>10</v>
      </c>
      <c r="H544">
        <f t="shared" si="61"/>
        <v>21</v>
      </c>
      <c r="I544" t="str">
        <f t="shared" si="62"/>
        <v>13</v>
      </c>
    </row>
    <row r="545" spans="1:9" x14ac:dyDescent="0.25">
      <c r="A545" s="19">
        <v>41232</v>
      </c>
      <c r="B545" s="20">
        <v>7.7777777777777779E-2</v>
      </c>
      <c r="C545" t="str">
        <f t="shared" si="56"/>
        <v>12</v>
      </c>
      <c r="D545" t="str">
        <f t="shared" si="57"/>
        <v>11</v>
      </c>
      <c r="E545" t="str">
        <f t="shared" si="58"/>
        <v>19</v>
      </c>
      <c r="F545">
        <f t="shared" si="59"/>
        <v>2012</v>
      </c>
      <c r="G545">
        <f t="shared" si="60"/>
        <v>11</v>
      </c>
      <c r="H545">
        <f t="shared" si="61"/>
        <v>19</v>
      </c>
      <c r="I545" t="str">
        <f t="shared" si="62"/>
        <v>12</v>
      </c>
    </row>
    <row r="546" spans="1:9" x14ac:dyDescent="0.25">
      <c r="A546" s="19">
        <v>42018</v>
      </c>
      <c r="B546" s="20">
        <v>1.1805555555555555E-2</v>
      </c>
      <c r="C546" t="str">
        <f t="shared" si="56"/>
        <v>15</v>
      </c>
      <c r="D546" t="str">
        <f t="shared" si="57"/>
        <v>01</v>
      </c>
      <c r="E546" t="str">
        <f t="shared" si="58"/>
        <v>14</v>
      </c>
      <c r="F546">
        <f t="shared" si="59"/>
        <v>2015</v>
      </c>
      <c r="G546">
        <f t="shared" si="60"/>
        <v>1</v>
      </c>
      <c r="H546">
        <f t="shared" si="61"/>
        <v>14</v>
      </c>
      <c r="I546" t="str">
        <f t="shared" si="62"/>
        <v>15</v>
      </c>
    </row>
    <row r="547" spans="1:9" x14ac:dyDescent="0.25">
      <c r="A547" s="19">
        <v>41220</v>
      </c>
      <c r="B547" s="20">
        <v>7.4305555555555555E-2</v>
      </c>
      <c r="C547" t="str">
        <f t="shared" si="56"/>
        <v>12</v>
      </c>
      <c r="D547" t="str">
        <f t="shared" si="57"/>
        <v>11</v>
      </c>
      <c r="E547" t="str">
        <f t="shared" si="58"/>
        <v>07</v>
      </c>
      <c r="F547">
        <f t="shared" si="59"/>
        <v>2012</v>
      </c>
      <c r="G547">
        <f t="shared" si="60"/>
        <v>11</v>
      </c>
      <c r="H547">
        <f t="shared" si="61"/>
        <v>7</v>
      </c>
      <c r="I547" t="str">
        <f t="shared" si="62"/>
        <v>12</v>
      </c>
    </row>
    <row r="548" spans="1:9" x14ac:dyDescent="0.25">
      <c r="A548" s="19">
        <v>41833</v>
      </c>
      <c r="B548" s="20">
        <v>1.8055555555555554E-2</v>
      </c>
      <c r="C548" t="str">
        <f t="shared" si="56"/>
        <v>14</v>
      </c>
      <c r="D548" t="str">
        <f t="shared" si="57"/>
        <v>07</v>
      </c>
      <c r="E548" t="str">
        <f t="shared" si="58"/>
        <v>13</v>
      </c>
      <c r="F548">
        <f t="shared" si="59"/>
        <v>2014</v>
      </c>
      <c r="G548">
        <f t="shared" si="60"/>
        <v>7</v>
      </c>
      <c r="H548">
        <f t="shared" si="61"/>
        <v>13</v>
      </c>
      <c r="I548" t="str">
        <f t="shared" si="62"/>
        <v>14</v>
      </c>
    </row>
    <row r="549" spans="1:9" x14ac:dyDescent="0.25">
      <c r="A549" s="19">
        <v>41130</v>
      </c>
      <c r="B549" s="20">
        <v>4.027777777777778E-2</v>
      </c>
      <c r="C549" t="str">
        <f t="shared" si="56"/>
        <v>12</v>
      </c>
      <c r="D549" t="str">
        <f t="shared" si="57"/>
        <v>08</v>
      </c>
      <c r="E549" t="str">
        <f t="shared" si="58"/>
        <v>09</v>
      </c>
      <c r="F549">
        <f t="shared" si="59"/>
        <v>2012</v>
      </c>
      <c r="G549">
        <f t="shared" si="60"/>
        <v>8</v>
      </c>
      <c r="H549">
        <f t="shared" si="61"/>
        <v>9</v>
      </c>
      <c r="I549" t="str">
        <f t="shared" si="62"/>
        <v>12</v>
      </c>
    </row>
    <row r="550" spans="1:9" x14ac:dyDescent="0.25">
      <c r="A550" s="19">
        <v>41769</v>
      </c>
      <c r="B550" s="20">
        <v>4.4444444444444446E-2</v>
      </c>
      <c r="C550" t="str">
        <f t="shared" si="56"/>
        <v>14</v>
      </c>
      <c r="D550" t="str">
        <f t="shared" si="57"/>
        <v>05</v>
      </c>
      <c r="E550" t="str">
        <f t="shared" si="58"/>
        <v>10</v>
      </c>
      <c r="F550">
        <f t="shared" si="59"/>
        <v>2014</v>
      </c>
      <c r="G550">
        <f t="shared" si="60"/>
        <v>5</v>
      </c>
      <c r="H550">
        <f t="shared" si="61"/>
        <v>10</v>
      </c>
      <c r="I550" t="str">
        <f t="shared" si="62"/>
        <v>14</v>
      </c>
    </row>
    <row r="551" spans="1:9" x14ac:dyDescent="0.25">
      <c r="A551" s="19">
        <v>42127</v>
      </c>
      <c r="B551" s="20">
        <v>0.98055555555555551</v>
      </c>
      <c r="C551" t="str">
        <f t="shared" si="56"/>
        <v>15</v>
      </c>
      <c r="D551" t="str">
        <f t="shared" si="57"/>
        <v>05</v>
      </c>
      <c r="E551" t="str">
        <f t="shared" si="58"/>
        <v>03</v>
      </c>
      <c r="F551">
        <f t="shared" si="59"/>
        <v>2015</v>
      </c>
      <c r="G551">
        <f t="shared" si="60"/>
        <v>5</v>
      </c>
      <c r="H551">
        <f t="shared" si="61"/>
        <v>3</v>
      </c>
      <c r="I551" t="str">
        <f t="shared" si="62"/>
        <v>15</v>
      </c>
    </row>
    <row r="552" spans="1:9" x14ac:dyDescent="0.25">
      <c r="A552" s="19">
        <v>42414</v>
      </c>
      <c r="B552" s="20">
        <v>0.9604166666666667</v>
      </c>
      <c r="C552" t="str">
        <f t="shared" si="56"/>
        <v>16</v>
      </c>
      <c r="D552" t="str">
        <f t="shared" si="57"/>
        <v>02</v>
      </c>
      <c r="E552" t="str">
        <f t="shared" si="58"/>
        <v>14</v>
      </c>
      <c r="F552">
        <f t="shared" si="59"/>
        <v>2016</v>
      </c>
      <c r="G552">
        <f t="shared" si="60"/>
        <v>2</v>
      </c>
      <c r="H552">
        <f t="shared" si="61"/>
        <v>14</v>
      </c>
      <c r="I552" t="str">
        <f t="shared" si="62"/>
        <v>16</v>
      </c>
    </row>
    <row r="553" spans="1:9" x14ac:dyDescent="0.25">
      <c r="A553" s="19">
        <v>41953</v>
      </c>
      <c r="B553" s="20">
        <v>0.97013888888888888</v>
      </c>
      <c r="C553" t="str">
        <f t="shared" si="56"/>
        <v>14</v>
      </c>
      <c r="D553" t="str">
        <f t="shared" si="57"/>
        <v>11</v>
      </c>
      <c r="E553" t="str">
        <f t="shared" si="58"/>
        <v>10</v>
      </c>
      <c r="F553">
        <f t="shared" si="59"/>
        <v>2014</v>
      </c>
      <c r="G553">
        <f t="shared" si="60"/>
        <v>11</v>
      </c>
      <c r="H553">
        <f t="shared" si="61"/>
        <v>10</v>
      </c>
      <c r="I553" t="str">
        <f t="shared" si="62"/>
        <v>14</v>
      </c>
    </row>
    <row r="554" spans="1:9" x14ac:dyDescent="0.25">
      <c r="A554" s="19">
        <v>40997</v>
      </c>
      <c r="B554" s="20">
        <v>0.99722222222222223</v>
      </c>
      <c r="C554" t="str">
        <f t="shared" si="56"/>
        <v>12</v>
      </c>
      <c r="D554" t="str">
        <f t="shared" si="57"/>
        <v>03</v>
      </c>
      <c r="E554" t="str">
        <f t="shared" si="58"/>
        <v>29</v>
      </c>
      <c r="F554">
        <f t="shared" si="59"/>
        <v>2012</v>
      </c>
      <c r="G554">
        <f t="shared" si="60"/>
        <v>3</v>
      </c>
      <c r="H554">
        <f t="shared" si="61"/>
        <v>29</v>
      </c>
      <c r="I554" t="str">
        <f t="shared" si="62"/>
        <v>12</v>
      </c>
    </row>
    <row r="555" spans="1:9" x14ac:dyDescent="0.25">
      <c r="A555" s="19">
        <v>41818</v>
      </c>
      <c r="B555" s="20">
        <v>3.4722222222222224E-2</v>
      </c>
      <c r="C555" t="str">
        <f t="shared" si="56"/>
        <v>14</v>
      </c>
      <c r="D555" t="str">
        <f t="shared" si="57"/>
        <v>06</v>
      </c>
      <c r="E555" t="str">
        <f t="shared" si="58"/>
        <v>28</v>
      </c>
      <c r="F555">
        <f t="shared" si="59"/>
        <v>2014</v>
      </c>
      <c r="G555">
        <f t="shared" si="60"/>
        <v>6</v>
      </c>
      <c r="H555">
        <f t="shared" si="61"/>
        <v>28</v>
      </c>
      <c r="I555" t="str">
        <f t="shared" si="62"/>
        <v>14</v>
      </c>
    </row>
    <row r="556" spans="1:9" x14ac:dyDescent="0.25">
      <c r="A556" s="19">
        <v>41272</v>
      </c>
      <c r="B556" s="20">
        <v>0.97638888888888886</v>
      </c>
      <c r="C556" t="str">
        <f t="shared" si="56"/>
        <v>12</v>
      </c>
      <c r="D556" t="str">
        <f t="shared" si="57"/>
        <v>12</v>
      </c>
      <c r="E556" t="str">
        <f t="shared" si="58"/>
        <v>29</v>
      </c>
      <c r="F556">
        <f t="shared" si="59"/>
        <v>2012</v>
      </c>
      <c r="G556">
        <f t="shared" si="60"/>
        <v>12</v>
      </c>
      <c r="H556">
        <f t="shared" si="61"/>
        <v>29</v>
      </c>
      <c r="I556" t="str">
        <f t="shared" si="62"/>
        <v>12</v>
      </c>
    </row>
    <row r="557" spans="1:9" x14ac:dyDescent="0.25">
      <c r="A557" s="19">
        <v>41944</v>
      </c>
      <c r="B557" s="20">
        <v>3.0555555555555555E-2</v>
      </c>
      <c r="C557" t="str">
        <f t="shared" si="56"/>
        <v>14</v>
      </c>
      <c r="D557" t="str">
        <f t="shared" si="57"/>
        <v>11</v>
      </c>
      <c r="E557" t="str">
        <f t="shared" si="58"/>
        <v>01</v>
      </c>
      <c r="F557">
        <f t="shared" si="59"/>
        <v>2014</v>
      </c>
      <c r="G557">
        <f t="shared" si="60"/>
        <v>11</v>
      </c>
      <c r="H557">
        <f t="shared" si="61"/>
        <v>1</v>
      </c>
      <c r="I557" t="str">
        <f t="shared" si="62"/>
        <v>14</v>
      </c>
    </row>
    <row r="558" spans="1:9" x14ac:dyDescent="0.25">
      <c r="A558" s="19">
        <v>41189</v>
      </c>
      <c r="B558" s="20">
        <v>7.0833333333333331E-2</v>
      </c>
      <c r="C558" t="str">
        <f t="shared" si="56"/>
        <v>12</v>
      </c>
      <c r="D558" t="str">
        <f t="shared" si="57"/>
        <v>10</v>
      </c>
      <c r="E558" t="str">
        <f t="shared" si="58"/>
        <v>07</v>
      </c>
      <c r="F558">
        <f t="shared" si="59"/>
        <v>2012</v>
      </c>
      <c r="G558">
        <f t="shared" si="60"/>
        <v>10</v>
      </c>
      <c r="H558">
        <f t="shared" si="61"/>
        <v>7</v>
      </c>
      <c r="I558" t="str">
        <f t="shared" si="62"/>
        <v>12</v>
      </c>
    </row>
    <row r="559" spans="1:9" x14ac:dyDescent="0.25">
      <c r="A559" s="19">
        <v>41578</v>
      </c>
      <c r="B559" s="20">
        <v>4.0972222222222222E-2</v>
      </c>
      <c r="C559" t="str">
        <f t="shared" si="56"/>
        <v>13</v>
      </c>
      <c r="D559" t="str">
        <f t="shared" si="57"/>
        <v>10</v>
      </c>
      <c r="E559" t="str">
        <f t="shared" si="58"/>
        <v>31</v>
      </c>
      <c r="F559">
        <f t="shared" si="59"/>
        <v>2013</v>
      </c>
      <c r="G559">
        <f t="shared" si="60"/>
        <v>10</v>
      </c>
      <c r="H559">
        <f t="shared" si="61"/>
        <v>31</v>
      </c>
      <c r="I559" t="str">
        <f t="shared" si="62"/>
        <v>13</v>
      </c>
    </row>
    <row r="560" spans="1:9" x14ac:dyDescent="0.25">
      <c r="A560" s="19">
        <v>41918</v>
      </c>
      <c r="B560" s="20">
        <v>0</v>
      </c>
      <c r="C560" t="str">
        <f t="shared" si="56"/>
        <v>14</v>
      </c>
      <c r="D560" t="str">
        <f t="shared" si="57"/>
        <v>10</v>
      </c>
      <c r="E560" t="str">
        <f t="shared" si="58"/>
        <v>06</v>
      </c>
      <c r="F560">
        <f t="shared" si="59"/>
        <v>2014</v>
      </c>
      <c r="G560">
        <f t="shared" si="60"/>
        <v>10</v>
      </c>
      <c r="H560">
        <f t="shared" si="61"/>
        <v>6</v>
      </c>
      <c r="I560" t="str">
        <f t="shared" si="62"/>
        <v>14</v>
      </c>
    </row>
    <row r="561" spans="1:9" x14ac:dyDescent="0.25">
      <c r="A561" s="19">
        <v>41407</v>
      </c>
      <c r="B561" s="20">
        <v>3.0555555555555555E-2</v>
      </c>
      <c r="C561" t="str">
        <f t="shared" si="56"/>
        <v>13</v>
      </c>
      <c r="D561" t="str">
        <f t="shared" si="57"/>
        <v>05</v>
      </c>
      <c r="E561" t="str">
        <f t="shared" si="58"/>
        <v>13</v>
      </c>
      <c r="F561">
        <f t="shared" si="59"/>
        <v>2013</v>
      </c>
      <c r="G561">
        <f t="shared" si="60"/>
        <v>5</v>
      </c>
      <c r="H561">
        <f t="shared" si="61"/>
        <v>13</v>
      </c>
      <c r="I561" t="str">
        <f t="shared" si="62"/>
        <v>13</v>
      </c>
    </row>
    <row r="562" spans="1:9" x14ac:dyDescent="0.25">
      <c r="A562" s="19">
        <v>41988</v>
      </c>
      <c r="B562" s="20">
        <v>5.7638888888888892E-2</v>
      </c>
      <c r="C562" t="str">
        <f t="shared" si="56"/>
        <v>14</v>
      </c>
      <c r="D562" t="str">
        <f t="shared" si="57"/>
        <v>12</v>
      </c>
      <c r="E562" t="str">
        <f t="shared" si="58"/>
        <v>15</v>
      </c>
      <c r="F562">
        <f t="shared" si="59"/>
        <v>2014</v>
      </c>
      <c r="G562">
        <f t="shared" si="60"/>
        <v>12</v>
      </c>
      <c r="H562">
        <f t="shared" si="61"/>
        <v>15</v>
      </c>
      <c r="I562" t="str">
        <f t="shared" si="62"/>
        <v>14</v>
      </c>
    </row>
    <row r="563" spans="1:9" x14ac:dyDescent="0.25">
      <c r="A563" s="19">
        <v>41438</v>
      </c>
      <c r="B563" s="20">
        <v>7.3611111111111113E-2</v>
      </c>
      <c r="C563" t="str">
        <f t="shared" si="56"/>
        <v>13</v>
      </c>
      <c r="D563" t="str">
        <f t="shared" si="57"/>
        <v>06</v>
      </c>
      <c r="E563" t="str">
        <f t="shared" si="58"/>
        <v>13</v>
      </c>
      <c r="F563">
        <f t="shared" si="59"/>
        <v>2013</v>
      </c>
      <c r="G563">
        <f t="shared" si="60"/>
        <v>6</v>
      </c>
      <c r="H563">
        <f t="shared" si="61"/>
        <v>13</v>
      </c>
      <c r="I563" t="str">
        <f t="shared" si="62"/>
        <v>13</v>
      </c>
    </row>
    <row r="564" spans="1:9" x14ac:dyDescent="0.25">
      <c r="A564" s="19">
        <v>41905</v>
      </c>
      <c r="B564" s="20">
        <v>0.94791666666666663</v>
      </c>
      <c r="C564" t="str">
        <f t="shared" si="56"/>
        <v>14</v>
      </c>
      <c r="D564" t="str">
        <f t="shared" si="57"/>
        <v>09</v>
      </c>
      <c r="E564" t="str">
        <f t="shared" si="58"/>
        <v>23</v>
      </c>
      <c r="F564">
        <f t="shared" si="59"/>
        <v>2014</v>
      </c>
      <c r="G564">
        <f t="shared" si="60"/>
        <v>9</v>
      </c>
      <c r="H564">
        <f t="shared" si="61"/>
        <v>23</v>
      </c>
      <c r="I564" t="str">
        <f t="shared" si="62"/>
        <v>14</v>
      </c>
    </row>
    <row r="565" spans="1:9" x14ac:dyDescent="0.25">
      <c r="A565" s="19">
        <v>41404</v>
      </c>
      <c r="B565" s="20">
        <v>0.96111111111111114</v>
      </c>
      <c r="C565" t="str">
        <f t="shared" si="56"/>
        <v>13</v>
      </c>
      <c r="D565" t="str">
        <f t="shared" si="57"/>
        <v>05</v>
      </c>
      <c r="E565" t="str">
        <f t="shared" si="58"/>
        <v>10</v>
      </c>
      <c r="F565">
        <f t="shared" si="59"/>
        <v>2013</v>
      </c>
      <c r="G565">
        <f t="shared" si="60"/>
        <v>5</v>
      </c>
      <c r="H565">
        <f t="shared" si="61"/>
        <v>10</v>
      </c>
      <c r="I565" t="str">
        <f t="shared" si="62"/>
        <v>13</v>
      </c>
    </row>
    <row r="566" spans="1:9" x14ac:dyDescent="0.25">
      <c r="A566" s="19">
        <v>41114</v>
      </c>
      <c r="B566" s="20">
        <v>1.5972222222222221E-2</v>
      </c>
      <c r="C566" t="str">
        <f t="shared" si="56"/>
        <v>12</v>
      </c>
      <c r="D566" t="str">
        <f t="shared" si="57"/>
        <v>07</v>
      </c>
      <c r="E566" t="str">
        <f t="shared" si="58"/>
        <v>24</v>
      </c>
      <c r="F566">
        <f t="shared" si="59"/>
        <v>2012</v>
      </c>
      <c r="G566">
        <f t="shared" si="60"/>
        <v>7</v>
      </c>
      <c r="H566">
        <f t="shared" si="61"/>
        <v>24</v>
      </c>
      <c r="I566" t="str">
        <f t="shared" si="62"/>
        <v>12</v>
      </c>
    </row>
    <row r="567" spans="1:9" x14ac:dyDescent="0.25">
      <c r="A567" s="19">
        <v>41520</v>
      </c>
      <c r="B567" s="20">
        <v>0.97013888888888888</v>
      </c>
      <c r="C567" t="str">
        <f t="shared" si="56"/>
        <v>13</v>
      </c>
      <c r="D567" t="str">
        <f t="shared" si="57"/>
        <v>09</v>
      </c>
      <c r="E567" t="str">
        <f t="shared" si="58"/>
        <v>03</v>
      </c>
      <c r="F567">
        <f t="shared" si="59"/>
        <v>2013</v>
      </c>
      <c r="G567">
        <f t="shared" si="60"/>
        <v>9</v>
      </c>
      <c r="H567">
        <f t="shared" si="61"/>
        <v>3</v>
      </c>
      <c r="I567" t="str">
        <f t="shared" si="62"/>
        <v>13</v>
      </c>
    </row>
    <row r="568" spans="1:9" x14ac:dyDescent="0.25">
      <c r="A568" s="19">
        <v>41382</v>
      </c>
      <c r="B568" s="20">
        <v>2.9861111111111113E-2</v>
      </c>
      <c r="C568" t="str">
        <f t="shared" si="56"/>
        <v>13</v>
      </c>
      <c r="D568" t="str">
        <f t="shared" si="57"/>
        <v>04</v>
      </c>
      <c r="E568" t="str">
        <f t="shared" si="58"/>
        <v>18</v>
      </c>
      <c r="F568">
        <f t="shared" si="59"/>
        <v>2013</v>
      </c>
      <c r="G568">
        <f t="shared" si="60"/>
        <v>4</v>
      </c>
      <c r="H568">
        <f t="shared" si="61"/>
        <v>18</v>
      </c>
      <c r="I568" t="str">
        <f t="shared" si="62"/>
        <v>13</v>
      </c>
    </row>
    <row r="569" spans="1:9" x14ac:dyDescent="0.25">
      <c r="A569" s="19">
        <v>41883</v>
      </c>
      <c r="B569" s="20">
        <v>0.98055555555555551</v>
      </c>
      <c r="C569" t="str">
        <f t="shared" si="56"/>
        <v>14</v>
      </c>
      <c r="D569" t="str">
        <f t="shared" si="57"/>
        <v>09</v>
      </c>
      <c r="E569" t="str">
        <f t="shared" si="58"/>
        <v>01</v>
      </c>
      <c r="F569">
        <f t="shared" si="59"/>
        <v>2014</v>
      </c>
      <c r="G569">
        <f t="shared" si="60"/>
        <v>9</v>
      </c>
      <c r="H569">
        <f t="shared" si="61"/>
        <v>1</v>
      </c>
      <c r="I569" t="str">
        <f t="shared" si="62"/>
        <v>14</v>
      </c>
    </row>
    <row r="570" spans="1:9" x14ac:dyDescent="0.25">
      <c r="A570" s="19">
        <v>41815</v>
      </c>
      <c r="B570" s="20">
        <v>0.95486111111111116</v>
      </c>
      <c r="C570" t="str">
        <f t="shared" si="56"/>
        <v>14</v>
      </c>
      <c r="D570" t="str">
        <f t="shared" si="57"/>
        <v>06</v>
      </c>
      <c r="E570" t="str">
        <f t="shared" si="58"/>
        <v>25</v>
      </c>
      <c r="F570">
        <f t="shared" si="59"/>
        <v>2014</v>
      </c>
      <c r="G570">
        <f t="shared" si="60"/>
        <v>6</v>
      </c>
      <c r="H570">
        <f t="shared" si="61"/>
        <v>25</v>
      </c>
      <c r="I570" t="str">
        <f t="shared" si="62"/>
        <v>14</v>
      </c>
    </row>
    <row r="571" spans="1:9" x14ac:dyDescent="0.25">
      <c r="A571" s="19">
        <v>41765</v>
      </c>
      <c r="B571" s="20">
        <v>0.9819444444444444</v>
      </c>
      <c r="C571" t="str">
        <f t="shared" si="56"/>
        <v>14</v>
      </c>
      <c r="D571" t="str">
        <f t="shared" si="57"/>
        <v>05</v>
      </c>
      <c r="E571" t="str">
        <f t="shared" si="58"/>
        <v>06</v>
      </c>
      <c r="F571">
        <f t="shared" si="59"/>
        <v>2014</v>
      </c>
      <c r="G571">
        <f t="shared" si="60"/>
        <v>5</v>
      </c>
      <c r="H571">
        <f t="shared" si="61"/>
        <v>6</v>
      </c>
      <c r="I571" t="str">
        <f t="shared" si="62"/>
        <v>14</v>
      </c>
    </row>
    <row r="572" spans="1:9" x14ac:dyDescent="0.25">
      <c r="A572" s="19">
        <v>40942</v>
      </c>
      <c r="B572" s="20">
        <v>0.05</v>
      </c>
      <c r="C572" t="str">
        <f t="shared" si="56"/>
        <v>12</v>
      </c>
      <c r="D572" t="str">
        <f t="shared" si="57"/>
        <v>02</v>
      </c>
      <c r="E572" t="str">
        <f t="shared" si="58"/>
        <v>03</v>
      </c>
      <c r="F572">
        <f t="shared" si="59"/>
        <v>2012</v>
      </c>
      <c r="G572">
        <f t="shared" si="60"/>
        <v>2</v>
      </c>
      <c r="H572">
        <f t="shared" si="61"/>
        <v>3</v>
      </c>
      <c r="I572" t="str">
        <f t="shared" si="62"/>
        <v>12</v>
      </c>
    </row>
    <row r="573" spans="1:9" x14ac:dyDescent="0.25">
      <c r="A573" s="19">
        <v>41856</v>
      </c>
      <c r="B573" s="20">
        <v>2.0833333333333333E-3</v>
      </c>
      <c r="C573" t="str">
        <f t="shared" si="56"/>
        <v>14</v>
      </c>
      <c r="D573" t="str">
        <f t="shared" si="57"/>
        <v>08</v>
      </c>
      <c r="E573" t="str">
        <f t="shared" si="58"/>
        <v>05</v>
      </c>
      <c r="F573">
        <f t="shared" si="59"/>
        <v>2014</v>
      </c>
      <c r="G573">
        <f t="shared" si="60"/>
        <v>8</v>
      </c>
      <c r="H573">
        <f t="shared" si="61"/>
        <v>5</v>
      </c>
      <c r="I573" t="str">
        <f t="shared" si="62"/>
        <v>14</v>
      </c>
    </row>
    <row r="574" spans="1:9" x14ac:dyDescent="0.25">
      <c r="A574" s="19">
        <v>41932</v>
      </c>
      <c r="B574" s="20">
        <v>6.9444444444444448E-2</v>
      </c>
      <c r="C574" t="str">
        <f t="shared" si="56"/>
        <v>14</v>
      </c>
      <c r="D574" t="str">
        <f t="shared" si="57"/>
        <v>10</v>
      </c>
      <c r="E574" t="str">
        <f t="shared" si="58"/>
        <v>20</v>
      </c>
      <c r="F574">
        <f t="shared" si="59"/>
        <v>2014</v>
      </c>
      <c r="G574">
        <f t="shared" si="60"/>
        <v>10</v>
      </c>
      <c r="H574">
        <f t="shared" si="61"/>
        <v>20</v>
      </c>
      <c r="I574" t="str">
        <f t="shared" si="62"/>
        <v>14</v>
      </c>
    </row>
    <row r="575" spans="1:9" x14ac:dyDescent="0.25">
      <c r="A575" s="19">
        <v>41107</v>
      </c>
      <c r="B575" s="20">
        <v>2.6388888888888889E-2</v>
      </c>
      <c r="C575" t="str">
        <f t="shared" si="56"/>
        <v>12</v>
      </c>
      <c r="D575" t="str">
        <f t="shared" si="57"/>
        <v>07</v>
      </c>
      <c r="E575" t="str">
        <f t="shared" si="58"/>
        <v>17</v>
      </c>
      <c r="F575">
        <f t="shared" si="59"/>
        <v>2012</v>
      </c>
      <c r="G575">
        <f t="shared" si="60"/>
        <v>7</v>
      </c>
      <c r="H575">
        <f t="shared" si="61"/>
        <v>17</v>
      </c>
      <c r="I575" t="str">
        <f t="shared" si="62"/>
        <v>12</v>
      </c>
    </row>
    <row r="576" spans="1:9" x14ac:dyDescent="0.25">
      <c r="A576" s="19">
        <v>40998</v>
      </c>
      <c r="B576" s="20">
        <v>2.013888888888889E-2</v>
      </c>
      <c r="C576" t="str">
        <f t="shared" si="56"/>
        <v>12</v>
      </c>
      <c r="D576" t="str">
        <f t="shared" si="57"/>
        <v>03</v>
      </c>
      <c r="E576" t="str">
        <f t="shared" si="58"/>
        <v>30</v>
      </c>
      <c r="F576">
        <f t="shared" si="59"/>
        <v>2012</v>
      </c>
      <c r="G576">
        <f t="shared" si="60"/>
        <v>3</v>
      </c>
      <c r="H576">
        <f t="shared" si="61"/>
        <v>30</v>
      </c>
      <c r="I576" t="str">
        <f t="shared" si="62"/>
        <v>12</v>
      </c>
    </row>
    <row r="577" spans="1:9" x14ac:dyDescent="0.25">
      <c r="A577" s="19">
        <v>42334</v>
      </c>
      <c r="B577" s="20">
        <v>0.95763888888888893</v>
      </c>
      <c r="C577" t="str">
        <f t="shared" si="56"/>
        <v>15</v>
      </c>
      <c r="D577" t="str">
        <f t="shared" si="57"/>
        <v>11</v>
      </c>
      <c r="E577" t="str">
        <f t="shared" si="58"/>
        <v>26</v>
      </c>
      <c r="F577">
        <f t="shared" si="59"/>
        <v>2015</v>
      </c>
      <c r="G577">
        <f t="shared" si="60"/>
        <v>11</v>
      </c>
      <c r="H577">
        <f t="shared" si="61"/>
        <v>26</v>
      </c>
      <c r="I577" t="str">
        <f t="shared" si="62"/>
        <v>15</v>
      </c>
    </row>
    <row r="578" spans="1:9" x14ac:dyDescent="0.25">
      <c r="A578" s="19">
        <v>42071</v>
      </c>
      <c r="B578" s="20">
        <v>0.96180555555555558</v>
      </c>
      <c r="C578" t="str">
        <f t="shared" si="56"/>
        <v>15</v>
      </c>
      <c r="D578" t="str">
        <f t="shared" si="57"/>
        <v>03</v>
      </c>
      <c r="E578" t="str">
        <f t="shared" si="58"/>
        <v>08</v>
      </c>
      <c r="F578">
        <f t="shared" si="59"/>
        <v>2015</v>
      </c>
      <c r="G578">
        <f t="shared" si="60"/>
        <v>3</v>
      </c>
      <c r="H578">
        <f t="shared" si="61"/>
        <v>8</v>
      </c>
      <c r="I578" t="str">
        <f t="shared" si="62"/>
        <v>15</v>
      </c>
    </row>
    <row r="579" spans="1:9" x14ac:dyDescent="0.25">
      <c r="A579" s="19">
        <v>41753</v>
      </c>
      <c r="B579" s="20">
        <v>0.95833333333333337</v>
      </c>
      <c r="C579" t="str">
        <f t="shared" ref="C579:C642" si="63">TEXT(A579,"YY")</f>
        <v>14</v>
      </c>
      <c r="D579" t="str">
        <f t="shared" ref="D579:D642" si="64">TEXT(A579,"mm")</f>
        <v>04</v>
      </c>
      <c r="E579" t="str">
        <f t="shared" ref="E579:E642" si="65">TEXT(A579,"dd")</f>
        <v>24</v>
      </c>
      <c r="F579">
        <f t="shared" ref="F579:F642" si="66">YEAR($A579)</f>
        <v>2014</v>
      </c>
      <c r="G579">
        <f t="shared" ref="G579:G642" si="67">MONTH($A579)</f>
        <v>4</v>
      </c>
      <c r="H579">
        <f t="shared" ref="H579:H642" si="68">DAY($A579)</f>
        <v>24</v>
      </c>
      <c r="I579" t="str">
        <f t="shared" ref="I579:I642" si="69">TEXT($A579,"YY")</f>
        <v>14</v>
      </c>
    </row>
    <row r="580" spans="1:9" x14ac:dyDescent="0.25">
      <c r="A580" s="19">
        <v>42035</v>
      </c>
      <c r="B580" s="20">
        <v>6.3888888888888884E-2</v>
      </c>
      <c r="C580" t="str">
        <f t="shared" si="63"/>
        <v>15</v>
      </c>
      <c r="D580" t="str">
        <f t="shared" si="64"/>
        <v>01</v>
      </c>
      <c r="E580" t="str">
        <f t="shared" si="65"/>
        <v>31</v>
      </c>
      <c r="F580">
        <f t="shared" si="66"/>
        <v>2015</v>
      </c>
      <c r="G580">
        <f t="shared" si="67"/>
        <v>1</v>
      </c>
      <c r="H580">
        <f t="shared" si="68"/>
        <v>31</v>
      </c>
      <c r="I580" t="str">
        <f t="shared" si="69"/>
        <v>15</v>
      </c>
    </row>
    <row r="581" spans="1:9" x14ac:dyDescent="0.25">
      <c r="A581" s="19">
        <v>42420</v>
      </c>
      <c r="B581" s="20">
        <v>6.9444444444444447E-4</v>
      </c>
      <c r="C581" t="str">
        <f t="shared" si="63"/>
        <v>16</v>
      </c>
      <c r="D581" t="str">
        <f t="shared" si="64"/>
        <v>02</v>
      </c>
      <c r="E581" t="str">
        <f t="shared" si="65"/>
        <v>20</v>
      </c>
      <c r="F581">
        <f t="shared" si="66"/>
        <v>2016</v>
      </c>
      <c r="G581">
        <f t="shared" si="67"/>
        <v>2</v>
      </c>
      <c r="H581">
        <f t="shared" si="68"/>
        <v>20</v>
      </c>
      <c r="I581" t="str">
        <f t="shared" si="69"/>
        <v>16</v>
      </c>
    </row>
    <row r="582" spans="1:9" x14ac:dyDescent="0.25">
      <c r="A582" s="19">
        <v>41035</v>
      </c>
      <c r="B582" s="20">
        <v>5.0694444444444445E-2</v>
      </c>
      <c r="C582" t="str">
        <f t="shared" si="63"/>
        <v>12</v>
      </c>
      <c r="D582" t="str">
        <f t="shared" si="64"/>
        <v>05</v>
      </c>
      <c r="E582" t="str">
        <f t="shared" si="65"/>
        <v>06</v>
      </c>
      <c r="F582">
        <f t="shared" si="66"/>
        <v>2012</v>
      </c>
      <c r="G582">
        <f t="shared" si="67"/>
        <v>5</v>
      </c>
      <c r="H582">
        <f t="shared" si="68"/>
        <v>6</v>
      </c>
      <c r="I582" t="str">
        <f t="shared" si="69"/>
        <v>12</v>
      </c>
    </row>
    <row r="583" spans="1:9" x14ac:dyDescent="0.25">
      <c r="A583" s="19">
        <v>42461</v>
      </c>
      <c r="B583" s="20">
        <v>0.99791666666666667</v>
      </c>
      <c r="C583" t="str">
        <f t="shared" si="63"/>
        <v>16</v>
      </c>
      <c r="D583" t="str">
        <f t="shared" si="64"/>
        <v>04</v>
      </c>
      <c r="E583" t="str">
        <f t="shared" si="65"/>
        <v>01</v>
      </c>
      <c r="F583">
        <f t="shared" si="66"/>
        <v>2016</v>
      </c>
      <c r="G583">
        <f t="shared" si="67"/>
        <v>4</v>
      </c>
      <c r="H583">
        <f t="shared" si="68"/>
        <v>1</v>
      </c>
      <c r="I583" t="str">
        <f t="shared" si="69"/>
        <v>16</v>
      </c>
    </row>
    <row r="584" spans="1:9" x14ac:dyDescent="0.25">
      <c r="A584" s="19">
        <v>42588</v>
      </c>
      <c r="B584" s="20">
        <v>1.8055555555555554E-2</v>
      </c>
      <c r="C584" t="str">
        <f t="shared" si="63"/>
        <v>16</v>
      </c>
      <c r="D584" t="str">
        <f t="shared" si="64"/>
        <v>08</v>
      </c>
      <c r="E584" t="str">
        <f t="shared" si="65"/>
        <v>06</v>
      </c>
      <c r="F584">
        <f t="shared" si="66"/>
        <v>2016</v>
      </c>
      <c r="G584">
        <f t="shared" si="67"/>
        <v>8</v>
      </c>
      <c r="H584">
        <f t="shared" si="68"/>
        <v>6</v>
      </c>
      <c r="I584" t="str">
        <f t="shared" si="69"/>
        <v>16</v>
      </c>
    </row>
    <row r="585" spans="1:9" x14ac:dyDescent="0.25">
      <c r="A585" s="19">
        <v>41395</v>
      </c>
      <c r="B585" s="20">
        <v>6.9444444444444441E-3</v>
      </c>
      <c r="C585" t="str">
        <f t="shared" si="63"/>
        <v>13</v>
      </c>
      <c r="D585" t="str">
        <f t="shared" si="64"/>
        <v>05</v>
      </c>
      <c r="E585" t="str">
        <f t="shared" si="65"/>
        <v>01</v>
      </c>
      <c r="F585">
        <f t="shared" si="66"/>
        <v>2013</v>
      </c>
      <c r="G585">
        <f t="shared" si="67"/>
        <v>5</v>
      </c>
      <c r="H585">
        <f t="shared" si="68"/>
        <v>1</v>
      </c>
      <c r="I585" t="str">
        <f t="shared" si="69"/>
        <v>13</v>
      </c>
    </row>
    <row r="586" spans="1:9" x14ac:dyDescent="0.25">
      <c r="A586" s="19">
        <v>42580</v>
      </c>
      <c r="B586" s="20">
        <v>6.9444444444444441E-3</v>
      </c>
      <c r="C586" t="str">
        <f t="shared" si="63"/>
        <v>16</v>
      </c>
      <c r="D586" t="str">
        <f t="shared" si="64"/>
        <v>07</v>
      </c>
      <c r="E586" t="str">
        <f t="shared" si="65"/>
        <v>29</v>
      </c>
      <c r="F586">
        <f t="shared" si="66"/>
        <v>2016</v>
      </c>
      <c r="G586">
        <f t="shared" si="67"/>
        <v>7</v>
      </c>
      <c r="H586">
        <f t="shared" si="68"/>
        <v>29</v>
      </c>
      <c r="I586" t="str">
        <f t="shared" si="69"/>
        <v>16</v>
      </c>
    </row>
    <row r="587" spans="1:9" x14ac:dyDescent="0.25">
      <c r="A587" s="19">
        <v>41483</v>
      </c>
      <c r="B587" s="20">
        <v>8.2638888888888887E-2</v>
      </c>
      <c r="C587" t="str">
        <f t="shared" si="63"/>
        <v>13</v>
      </c>
      <c r="D587" t="str">
        <f t="shared" si="64"/>
        <v>07</v>
      </c>
      <c r="E587" t="str">
        <f t="shared" si="65"/>
        <v>28</v>
      </c>
      <c r="F587">
        <f t="shared" si="66"/>
        <v>2013</v>
      </c>
      <c r="G587">
        <f t="shared" si="67"/>
        <v>7</v>
      </c>
      <c r="H587">
        <f t="shared" si="68"/>
        <v>28</v>
      </c>
      <c r="I587" t="str">
        <f t="shared" si="69"/>
        <v>13</v>
      </c>
    </row>
    <row r="588" spans="1:9" x14ac:dyDescent="0.25">
      <c r="A588" s="19">
        <v>41938</v>
      </c>
      <c r="B588" s="20">
        <v>0.97847222222222219</v>
      </c>
      <c r="C588" t="str">
        <f t="shared" si="63"/>
        <v>14</v>
      </c>
      <c r="D588" t="str">
        <f t="shared" si="64"/>
        <v>10</v>
      </c>
      <c r="E588" t="str">
        <f t="shared" si="65"/>
        <v>26</v>
      </c>
      <c r="F588">
        <f t="shared" si="66"/>
        <v>2014</v>
      </c>
      <c r="G588">
        <f t="shared" si="67"/>
        <v>10</v>
      </c>
      <c r="H588">
        <f t="shared" si="68"/>
        <v>26</v>
      </c>
      <c r="I588" t="str">
        <f t="shared" si="69"/>
        <v>14</v>
      </c>
    </row>
    <row r="589" spans="1:9" x14ac:dyDescent="0.25">
      <c r="A589" s="19">
        <v>41656</v>
      </c>
      <c r="B589" s="20">
        <v>0</v>
      </c>
      <c r="C589" t="str">
        <f t="shared" si="63"/>
        <v>14</v>
      </c>
      <c r="D589" t="str">
        <f t="shared" si="64"/>
        <v>01</v>
      </c>
      <c r="E589" t="str">
        <f t="shared" si="65"/>
        <v>17</v>
      </c>
      <c r="F589">
        <f t="shared" si="66"/>
        <v>2014</v>
      </c>
      <c r="G589">
        <f t="shared" si="67"/>
        <v>1</v>
      </c>
      <c r="H589">
        <f t="shared" si="68"/>
        <v>17</v>
      </c>
      <c r="I589" t="str">
        <f t="shared" si="69"/>
        <v>14</v>
      </c>
    </row>
    <row r="590" spans="1:9" x14ac:dyDescent="0.25">
      <c r="A590" s="19">
        <v>41032</v>
      </c>
      <c r="B590" s="20">
        <v>5.2777777777777778E-2</v>
      </c>
      <c r="C590" t="str">
        <f t="shared" si="63"/>
        <v>12</v>
      </c>
      <c r="D590" t="str">
        <f t="shared" si="64"/>
        <v>05</v>
      </c>
      <c r="E590" t="str">
        <f t="shared" si="65"/>
        <v>03</v>
      </c>
      <c r="F590">
        <f t="shared" si="66"/>
        <v>2012</v>
      </c>
      <c r="G590">
        <f t="shared" si="67"/>
        <v>5</v>
      </c>
      <c r="H590">
        <f t="shared" si="68"/>
        <v>3</v>
      </c>
      <c r="I590" t="str">
        <f t="shared" si="69"/>
        <v>12</v>
      </c>
    </row>
    <row r="591" spans="1:9" x14ac:dyDescent="0.25">
      <c r="A591" s="19">
        <v>41270</v>
      </c>
      <c r="B591" s="20">
        <v>0.99236111111111114</v>
      </c>
      <c r="C591" t="str">
        <f t="shared" si="63"/>
        <v>12</v>
      </c>
      <c r="D591" t="str">
        <f t="shared" si="64"/>
        <v>12</v>
      </c>
      <c r="E591" t="str">
        <f t="shared" si="65"/>
        <v>27</v>
      </c>
      <c r="F591">
        <f t="shared" si="66"/>
        <v>2012</v>
      </c>
      <c r="G591">
        <f t="shared" si="67"/>
        <v>12</v>
      </c>
      <c r="H591">
        <f t="shared" si="68"/>
        <v>27</v>
      </c>
      <c r="I591" t="str">
        <f t="shared" si="69"/>
        <v>12</v>
      </c>
    </row>
    <row r="592" spans="1:9" x14ac:dyDescent="0.25">
      <c r="A592" s="19">
        <v>41649</v>
      </c>
      <c r="B592" s="20">
        <v>0.95833333333333337</v>
      </c>
      <c r="C592" t="str">
        <f t="shared" si="63"/>
        <v>14</v>
      </c>
      <c r="D592" t="str">
        <f t="shared" si="64"/>
        <v>01</v>
      </c>
      <c r="E592" t="str">
        <f t="shared" si="65"/>
        <v>10</v>
      </c>
      <c r="F592">
        <f t="shared" si="66"/>
        <v>2014</v>
      </c>
      <c r="G592">
        <f t="shared" si="67"/>
        <v>1</v>
      </c>
      <c r="H592">
        <f t="shared" si="68"/>
        <v>10</v>
      </c>
      <c r="I592" t="str">
        <f t="shared" si="69"/>
        <v>14</v>
      </c>
    </row>
    <row r="593" spans="1:9" x14ac:dyDescent="0.25">
      <c r="A593" s="19">
        <v>41686</v>
      </c>
      <c r="B593" s="20">
        <v>5.0694444444444445E-2</v>
      </c>
      <c r="C593" t="str">
        <f t="shared" si="63"/>
        <v>14</v>
      </c>
      <c r="D593" t="str">
        <f t="shared" si="64"/>
        <v>02</v>
      </c>
      <c r="E593" t="str">
        <f t="shared" si="65"/>
        <v>16</v>
      </c>
      <c r="F593">
        <f t="shared" si="66"/>
        <v>2014</v>
      </c>
      <c r="G593">
        <f t="shared" si="67"/>
        <v>2</v>
      </c>
      <c r="H593">
        <f t="shared" si="68"/>
        <v>16</v>
      </c>
      <c r="I593" t="str">
        <f t="shared" si="69"/>
        <v>14</v>
      </c>
    </row>
    <row r="594" spans="1:9" x14ac:dyDescent="0.25">
      <c r="A594" s="19">
        <v>41724</v>
      </c>
      <c r="B594" s="20">
        <v>5.7638888888888892E-2</v>
      </c>
      <c r="C594" t="str">
        <f t="shared" si="63"/>
        <v>14</v>
      </c>
      <c r="D594" t="str">
        <f t="shared" si="64"/>
        <v>03</v>
      </c>
      <c r="E594" t="str">
        <f t="shared" si="65"/>
        <v>26</v>
      </c>
      <c r="F594">
        <f t="shared" si="66"/>
        <v>2014</v>
      </c>
      <c r="G594">
        <f t="shared" si="67"/>
        <v>3</v>
      </c>
      <c r="H594">
        <f t="shared" si="68"/>
        <v>26</v>
      </c>
      <c r="I594" t="str">
        <f t="shared" si="69"/>
        <v>14</v>
      </c>
    </row>
    <row r="595" spans="1:9" x14ac:dyDescent="0.25">
      <c r="A595" s="19">
        <v>42035</v>
      </c>
      <c r="B595" s="20">
        <v>2.7777777777777776E-2</v>
      </c>
      <c r="C595" t="str">
        <f t="shared" si="63"/>
        <v>15</v>
      </c>
      <c r="D595" t="str">
        <f t="shared" si="64"/>
        <v>01</v>
      </c>
      <c r="E595" t="str">
        <f t="shared" si="65"/>
        <v>31</v>
      </c>
      <c r="F595">
        <f t="shared" si="66"/>
        <v>2015</v>
      </c>
      <c r="G595">
        <f t="shared" si="67"/>
        <v>1</v>
      </c>
      <c r="H595">
        <f t="shared" si="68"/>
        <v>31</v>
      </c>
      <c r="I595" t="str">
        <f t="shared" si="69"/>
        <v>15</v>
      </c>
    </row>
    <row r="596" spans="1:9" x14ac:dyDescent="0.25">
      <c r="A596" s="19">
        <v>42087</v>
      </c>
      <c r="B596" s="20">
        <v>0.99305555555555558</v>
      </c>
      <c r="C596" t="str">
        <f t="shared" si="63"/>
        <v>15</v>
      </c>
      <c r="D596" t="str">
        <f t="shared" si="64"/>
        <v>03</v>
      </c>
      <c r="E596" t="str">
        <f t="shared" si="65"/>
        <v>24</v>
      </c>
      <c r="F596">
        <f t="shared" si="66"/>
        <v>2015</v>
      </c>
      <c r="G596">
        <f t="shared" si="67"/>
        <v>3</v>
      </c>
      <c r="H596">
        <f t="shared" si="68"/>
        <v>24</v>
      </c>
      <c r="I596" t="str">
        <f t="shared" si="69"/>
        <v>15</v>
      </c>
    </row>
    <row r="597" spans="1:9" x14ac:dyDescent="0.25">
      <c r="A597" s="19">
        <v>41043</v>
      </c>
      <c r="B597" s="20">
        <v>6.9444444444444448E-2</v>
      </c>
      <c r="C597" t="str">
        <f t="shared" si="63"/>
        <v>12</v>
      </c>
      <c r="D597" t="str">
        <f t="shared" si="64"/>
        <v>05</v>
      </c>
      <c r="E597" t="str">
        <f t="shared" si="65"/>
        <v>14</v>
      </c>
      <c r="F597">
        <f t="shared" si="66"/>
        <v>2012</v>
      </c>
      <c r="G597">
        <f t="shared" si="67"/>
        <v>5</v>
      </c>
      <c r="H597">
        <f t="shared" si="68"/>
        <v>14</v>
      </c>
      <c r="I597" t="str">
        <f t="shared" si="69"/>
        <v>12</v>
      </c>
    </row>
    <row r="598" spans="1:9" x14ac:dyDescent="0.25">
      <c r="A598" s="19">
        <v>41394</v>
      </c>
      <c r="B598" s="20">
        <v>0.96527777777777779</v>
      </c>
      <c r="C598" t="str">
        <f t="shared" si="63"/>
        <v>13</v>
      </c>
      <c r="D598" t="str">
        <f t="shared" si="64"/>
        <v>04</v>
      </c>
      <c r="E598" t="str">
        <f t="shared" si="65"/>
        <v>30</v>
      </c>
      <c r="F598">
        <f t="shared" si="66"/>
        <v>2013</v>
      </c>
      <c r="G598">
        <f t="shared" si="67"/>
        <v>4</v>
      </c>
      <c r="H598">
        <f t="shared" si="68"/>
        <v>30</v>
      </c>
      <c r="I598" t="str">
        <f t="shared" si="69"/>
        <v>13</v>
      </c>
    </row>
    <row r="599" spans="1:9" x14ac:dyDescent="0.25">
      <c r="A599" s="19">
        <v>41361</v>
      </c>
      <c r="B599" s="20">
        <v>5.9722222222222225E-2</v>
      </c>
      <c r="C599" t="str">
        <f t="shared" si="63"/>
        <v>13</v>
      </c>
      <c r="D599" t="str">
        <f t="shared" si="64"/>
        <v>03</v>
      </c>
      <c r="E599" t="str">
        <f t="shared" si="65"/>
        <v>28</v>
      </c>
      <c r="F599">
        <f t="shared" si="66"/>
        <v>2013</v>
      </c>
      <c r="G599">
        <f t="shared" si="67"/>
        <v>3</v>
      </c>
      <c r="H599">
        <f t="shared" si="68"/>
        <v>28</v>
      </c>
      <c r="I599" t="str">
        <f t="shared" si="69"/>
        <v>13</v>
      </c>
    </row>
    <row r="600" spans="1:9" x14ac:dyDescent="0.25">
      <c r="A600" s="19">
        <v>41178</v>
      </c>
      <c r="B600" s="20">
        <v>4.2361111111111113E-2</v>
      </c>
      <c r="C600" t="str">
        <f t="shared" si="63"/>
        <v>12</v>
      </c>
      <c r="D600" t="str">
        <f t="shared" si="64"/>
        <v>09</v>
      </c>
      <c r="E600" t="str">
        <f t="shared" si="65"/>
        <v>26</v>
      </c>
      <c r="F600">
        <f t="shared" si="66"/>
        <v>2012</v>
      </c>
      <c r="G600">
        <f t="shared" si="67"/>
        <v>9</v>
      </c>
      <c r="H600">
        <f t="shared" si="68"/>
        <v>26</v>
      </c>
      <c r="I600" t="str">
        <f t="shared" si="69"/>
        <v>12</v>
      </c>
    </row>
    <row r="601" spans="1:9" x14ac:dyDescent="0.25">
      <c r="A601" s="19">
        <v>41331</v>
      </c>
      <c r="B601" s="20">
        <v>0.99305555555555558</v>
      </c>
      <c r="C601" t="str">
        <f t="shared" si="63"/>
        <v>13</v>
      </c>
      <c r="D601" t="str">
        <f t="shared" si="64"/>
        <v>02</v>
      </c>
      <c r="E601" t="str">
        <f t="shared" si="65"/>
        <v>26</v>
      </c>
      <c r="F601">
        <f t="shared" si="66"/>
        <v>2013</v>
      </c>
      <c r="G601">
        <f t="shared" si="67"/>
        <v>2</v>
      </c>
      <c r="H601">
        <f t="shared" si="68"/>
        <v>26</v>
      </c>
      <c r="I601" t="str">
        <f t="shared" si="69"/>
        <v>13</v>
      </c>
    </row>
    <row r="602" spans="1:9" x14ac:dyDescent="0.25">
      <c r="A602" s="19">
        <v>41355</v>
      </c>
      <c r="B602" s="20">
        <v>6.3194444444444442E-2</v>
      </c>
      <c r="C602" t="str">
        <f t="shared" si="63"/>
        <v>13</v>
      </c>
      <c r="D602" t="str">
        <f t="shared" si="64"/>
        <v>03</v>
      </c>
      <c r="E602" t="str">
        <f t="shared" si="65"/>
        <v>22</v>
      </c>
      <c r="F602">
        <f t="shared" si="66"/>
        <v>2013</v>
      </c>
      <c r="G602">
        <f t="shared" si="67"/>
        <v>3</v>
      </c>
      <c r="H602">
        <f t="shared" si="68"/>
        <v>22</v>
      </c>
      <c r="I602" t="str">
        <f t="shared" si="69"/>
        <v>13</v>
      </c>
    </row>
    <row r="603" spans="1:9" x14ac:dyDescent="0.25">
      <c r="A603" s="19">
        <v>41976</v>
      </c>
      <c r="B603" s="20">
        <v>6.2500000000000003E-3</v>
      </c>
      <c r="C603" t="str">
        <f t="shared" si="63"/>
        <v>14</v>
      </c>
      <c r="D603" t="str">
        <f t="shared" si="64"/>
        <v>12</v>
      </c>
      <c r="E603" t="str">
        <f t="shared" si="65"/>
        <v>03</v>
      </c>
      <c r="F603">
        <f t="shared" si="66"/>
        <v>2014</v>
      </c>
      <c r="G603">
        <f t="shared" si="67"/>
        <v>12</v>
      </c>
      <c r="H603">
        <f t="shared" si="68"/>
        <v>3</v>
      </c>
      <c r="I603" t="str">
        <f t="shared" si="69"/>
        <v>14</v>
      </c>
    </row>
    <row r="604" spans="1:9" x14ac:dyDescent="0.25">
      <c r="A604" s="19">
        <v>42012</v>
      </c>
      <c r="B604" s="20">
        <v>2.6388888888888889E-2</v>
      </c>
      <c r="C604" t="str">
        <f t="shared" si="63"/>
        <v>15</v>
      </c>
      <c r="D604" t="str">
        <f t="shared" si="64"/>
        <v>01</v>
      </c>
      <c r="E604" t="str">
        <f t="shared" si="65"/>
        <v>08</v>
      </c>
      <c r="F604">
        <f t="shared" si="66"/>
        <v>2015</v>
      </c>
      <c r="G604">
        <f t="shared" si="67"/>
        <v>1</v>
      </c>
      <c r="H604">
        <f t="shared" si="68"/>
        <v>8</v>
      </c>
      <c r="I604" t="str">
        <f t="shared" si="69"/>
        <v>15</v>
      </c>
    </row>
    <row r="605" spans="1:9" x14ac:dyDescent="0.25">
      <c r="A605" s="19">
        <v>42427</v>
      </c>
      <c r="B605" s="20">
        <v>5.8333333333333334E-2</v>
      </c>
      <c r="C605" t="str">
        <f t="shared" si="63"/>
        <v>16</v>
      </c>
      <c r="D605" t="str">
        <f t="shared" si="64"/>
        <v>02</v>
      </c>
      <c r="E605" t="str">
        <f t="shared" si="65"/>
        <v>27</v>
      </c>
      <c r="F605">
        <f t="shared" si="66"/>
        <v>2016</v>
      </c>
      <c r="G605">
        <f t="shared" si="67"/>
        <v>2</v>
      </c>
      <c r="H605">
        <f t="shared" si="68"/>
        <v>27</v>
      </c>
      <c r="I605" t="str">
        <f t="shared" si="69"/>
        <v>16</v>
      </c>
    </row>
    <row r="606" spans="1:9" x14ac:dyDescent="0.25">
      <c r="A606" s="19">
        <v>41134</v>
      </c>
      <c r="B606" s="20">
        <v>5.9027777777777776E-2</v>
      </c>
      <c r="C606" t="str">
        <f t="shared" si="63"/>
        <v>12</v>
      </c>
      <c r="D606" t="str">
        <f t="shared" si="64"/>
        <v>08</v>
      </c>
      <c r="E606" t="str">
        <f t="shared" si="65"/>
        <v>13</v>
      </c>
      <c r="F606">
        <f t="shared" si="66"/>
        <v>2012</v>
      </c>
      <c r="G606">
        <f t="shared" si="67"/>
        <v>8</v>
      </c>
      <c r="H606">
        <f t="shared" si="68"/>
        <v>13</v>
      </c>
      <c r="I606" t="str">
        <f t="shared" si="69"/>
        <v>12</v>
      </c>
    </row>
    <row r="607" spans="1:9" x14ac:dyDescent="0.25">
      <c r="A607" s="19">
        <v>42615</v>
      </c>
      <c r="B607" s="20">
        <v>0.9770833333333333</v>
      </c>
      <c r="C607" t="str">
        <f t="shared" si="63"/>
        <v>16</v>
      </c>
      <c r="D607" t="str">
        <f t="shared" si="64"/>
        <v>09</v>
      </c>
      <c r="E607" t="str">
        <f t="shared" si="65"/>
        <v>02</v>
      </c>
      <c r="F607">
        <f t="shared" si="66"/>
        <v>2016</v>
      </c>
      <c r="G607">
        <f t="shared" si="67"/>
        <v>9</v>
      </c>
      <c r="H607">
        <f t="shared" si="68"/>
        <v>2</v>
      </c>
      <c r="I607" t="str">
        <f t="shared" si="69"/>
        <v>16</v>
      </c>
    </row>
    <row r="608" spans="1:9" x14ac:dyDescent="0.25">
      <c r="A608" s="19">
        <v>41909</v>
      </c>
      <c r="B608" s="20">
        <v>3.0555555555555555E-2</v>
      </c>
      <c r="C608" t="str">
        <f t="shared" si="63"/>
        <v>14</v>
      </c>
      <c r="D608" t="str">
        <f t="shared" si="64"/>
        <v>09</v>
      </c>
      <c r="E608" t="str">
        <f t="shared" si="65"/>
        <v>27</v>
      </c>
      <c r="F608">
        <f t="shared" si="66"/>
        <v>2014</v>
      </c>
      <c r="G608">
        <f t="shared" si="67"/>
        <v>9</v>
      </c>
      <c r="H608">
        <f t="shared" si="68"/>
        <v>27</v>
      </c>
      <c r="I608" t="str">
        <f t="shared" si="69"/>
        <v>14</v>
      </c>
    </row>
    <row r="609" spans="1:9" x14ac:dyDescent="0.25">
      <c r="A609" s="19">
        <v>42478</v>
      </c>
      <c r="B609" s="20">
        <v>0.98888888888888893</v>
      </c>
      <c r="C609" t="str">
        <f t="shared" si="63"/>
        <v>16</v>
      </c>
      <c r="D609" t="str">
        <f t="shared" si="64"/>
        <v>04</v>
      </c>
      <c r="E609" t="str">
        <f t="shared" si="65"/>
        <v>18</v>
      </c>
      <c r="F609">
        <f t="shared" si="66"/>
        <v>2016</v>
      </c>
      <c r="G609">
        <f t="shared" si="67"/>
        <v>4</v>
      </c>
      <c r="H609">
        <f t="shared" si="68"/>
        <v>18</v>
      </c>
      <c r="I609" t="str">
        <f t="shared" si="69"/>
        <v>16</v>
      </c>
    </row>
    <row r="610" spans="1:9" x14ac:dyDescent="0.25">
      <c r="A610" s="19">
        <v>41307</v>
      </c>
      <c r="B610" s="20">
        <v>7.6388888888888895E-2</v>
      </c>
      <c r="C610" t="str">
        <f t="shared" si="63"/>
        <v>13</v>
      </c>
      <c r="D610" t="str">
        <f t="shared" si="64"/>
        <v>02</v>
      </c>
      <c r="E610" t="str">
        <f t="shared" si="65"/>
        <v>02</v>
      </c>
      <c r="F610">
        <f t="shared" si="66"/>
        <v>2013</v>
      </c>
      <c r="G610">
        <f t="shared" si="67"/>
        <v>2</v>
      </c>
      <c r="H610">
        <f t="shared" si="68"/>
        <v>2</v>
      </c>
      <c r="I610" t="str">
        <f t="shared" si="69"/>
        <v>13</v>
      </c>
    </row>
    <row r="611" spans="1:9" x14ac:dyDescent="0.25">
      <c r="A611" s="19">
        <v>41567</v>
      </c>
      <c r="B611" s="20">
        <v>3.6805555555555557E-2</v>
      </c>
      <c r="C611" t="str">
        <f t="shared" si="63"/>
        <v>13</v>
      </c>
      <c r="D611" t="str">
        <f t="shared" si="64"/>
        <v>10</v>
      </c>
      <c r="E611" t="str">
        <f t="shared" si="65"/>
        <v>20</v>
      </c>
      <c r="F611">
        <f t="shared" si="66"/>
        <v>2013</v>
      </c>
      <c r="G611">
        <f t="shared" si="67"/>
        <v>10</v>
      </c>
      <c r="H611">
        <f t="shared" si="68"/>
        <v>20</v>
      </c>
      <c r="I611" t="str">
        <f t="shared" si="69"/>
        <v>13</v>
      </c>
    </row>
    <row r="612" spans="1:9" x14ac:dyDescent="0.25">
      <c r="A612" s="19">
        <v>42001</v>
      </c>
      <c r="B612" s="20">
        <v>4.027777777777778E-2</v>
      </c>
      <c r="C612" t="str">
        <f t="shared" si="63"/>
        <v>14</v>
      </c>
      <c r="D612" t="str">
        <f t="shared" si="64"/>
        <v>12</v>
      </c>
      <c r="E612" t="str">
        <f t="shared" si="65"/>
        <v>28</v>
      </c>
      <c r="F612">
        <f t="shared" si="66"/>
        <v>2014</v>
      </c>
      <c r="G612">
        <f t="shared" si="67"/>
        <v>12</v>
      </c>
      <c r="H612">
        <f t="shared" si="68"/>
        <v>28</v>
      </c>
      <c r="I612" t="str">
        <f t="shared" si="69"/>
        <v>14</v>
      </c>
    </row>
    <row r="613" spans="1:9" x14ac:dyDescent="0.25">
      <c r="A613" s="19">
        <v>42249</v>
      </c>
      <c r="B613" s="20">
        <v>3.0555555555555555E-2</v>
      </c>
      <c r="C613" t="str">
        <f t="shared" si="63"/>
        <v>15</v>
      </c>
      <c r="D613" t="str">
        <f t="shared" si="64"/>
        <v>09</v>
      </c>
      <c r="E613" t="str">
        <f t="shared" si="65"/>
        <v>02</v>
      </c>
      <c r="F613">
        <f t="shared" si="66"/>
        <v>2015</v>
      </c>
      <c r="G613">
        <f t="shared" si="67"/>
        <v>9</v>
      </c>
      <c r="H613">
        <f t="shared" si="68"/>
        <v>2</v>
      </c>
      <c r="I613" t="str">
        <f t="shared" si="69"/>
        <v>15</v>
      </c>
    </row>
    <row r="614" spans="1:9" x14ac:dyDescent="0.25">
      <c r="A614" s="19">
        <v>41212</v>
      </c>
      <c r="B614" s="20">
        <v>5.6944444444444443E-2</v>
      </c>
      <c r="C614" t="str">
        <f t="shared" si="63"/>
        <v>12</v>
      </c>
      <c r="D614" t="str">
        <f t="shared" si="64"/>
        <v>10</v>
      </c>
      <c r="E614" t="str">
        <f t="shared" si="65"/>
        <v>30</v>
      </c>
      <c r="F614">
        <f t="shared" si="66"/>
        <v>2012</v>
      </c>
      <c r="G614">
        <f t="shared" si="67"/>
        <v>10</v>
      </c>
      <c r="H614">
        <f t="shared" si="68"/>
        <v>30</v>
      </c>
      <c r="I614" t="str">
        <f t="shared" si="69"/>
        <v>12</v>
      </c>
    </row>
    <row r="615" spans="1:9" x14ac:dyDescent="0.25">
      <c r="A615" s="19">
        <v>42075</v>
      </c>
      <c r="B615" s="20">
        <v>4.2361111111111113E-2</v>
      </c>
      <c r="C615" t="str">
        <f t="shared" si="63"/>
        <v>15</v>
      </c>
      <c r="D615" t="str">
        <f t="shared" si="64"/>
        <v>03</v>
      </c>
      <c r="E615" t="str">
        <f t="shared" si="65"/>
        <v>12</v>
      </c>
      <c r="F615">
        <f t="shared" si="66"/>
        <v>2015</v>
      </c>
      <c r="G615">
        <f t="shared" si="67"/>
        <v>3</v>
      </c>
      <c r="H615">
        <f t="shared" si="68"/>
        <v>12</v>
      </c>
      <c r="I615" t="str">
        <f t="shared" si="69"/>
        <v>15</v>
      </c>
    </row>
    <row r="616" spans="1:9" x14ac:dyDescent="0.25">
      <c r="A616" s="19">
        <v>42412</v>
      </c>
      <c r="B616" s="20">
        <v>2.8472222222222222E-2</v>
      </c>
      <c r="C616" t="str">
        <f t="shared" si="63"/>
        <v>16</v>
      </c>
      <c r="D616" t="str">
        <f t="shared" si="64"/>
        <v>02</v>
      </c>
      <c r="E616" t="str">
        <f t="shared" si="65"/>
        <v>12</v>
      </c>
      <c r="F616">
        <f t="shared" si="66"/>
        <v>2016</v>
      </c>
      <c r="G616">
        <f t="shared" si="67"/>
        <v>2</v>
      </c>
      <c r="H616">
        <f t="shared" si="68"/>
        <v>12</v>
      </c>
      <c r="I616" t="str">
        <f t="shared" si="69"/>
        <v>16</v>
      </c>
    </row>
    <row r="617" spans="1:9" x14ac:dyDescent="0.25">
      <c r="A617" s="19">
        <v>41316</v>
      </c>
      <c r="B617" s="20">
        <v>4.9305555555555554E-2</v>
      </c>
      <c r="C617" t="str">
        <f t="shared" si="63"/>
        <v>13</v>
      </c>
      <c r="D617" t="str">
        <f t="shared" si="64"/>
        <v>02</v>
      </c>
      <c r="E617" t="str">
        <f t="shared" si="65"/>
        <v>11</v>
      </c>
      <c r="F617">
        <f t="shared" si="66"/>
        <v>2013</v>
      </c>
      <c r="G617">
        <f t="shared" si="67"/>
        <v>2</v>
      </c>
      <c r="H617">
        <f t="shared" si="68"/>
        <v>11</v>
      </c>
      <c r="I617" t="str">
        <f t="shared" si="69"/>
        <v>13</v>
      </c>
    </row>
    <row r="618" spans="1:9" x14ac:dyDescent="0.25">
      <c r="A618" s="19">
        <v>41697</v>
      </c>
      <c r="B618" s="20">
        <v>4.1666666666666664E-2</v>
      </c>
      <c r="C618" t="str">
        <f t="shared" si="63"/>
        <v>14</v>
      </c>
      <c r="D618" t="str">
        <f t="shared" si="64"/>
        <v>02</v>
      </c>
      <c r="E618" t="str">
        <f t="shared" si="65"/>
        <v>27</v>
      </c>
      <c r="F618">
        <f t="shared" si="66"/>
        <v>2014</v>
      </c>
      <c r="G618">
        <f t="shared" si="67"/>
        <v>2</v>
      </c>
      <c r="H618">
        <f t="shared" si="68"/>
        <v>27</v>
      </c>
      <c r="I618" t="str">
        <f t="shared" si="69"/>
        <v>14</v>
      </c>
    </row>
    <row r="619" spans="1:9" x14ac:dyDescent="0.25">
      <c r="A619" s="19">
        <v>41318</v>
      </c>
      <c r="B619" s="20">
        <v>2.2222222222222223E-2</v>
      </c>
      <c r="C619" t="str">
        <f t="shared" si="63"/>
        <v>13</v>
      </c>
      <c r="D619" t="str">
        <f t="shared" si="64"/>
        <v>02</v>
      </c>
      <c r="E619" t="str">
        <f t="shared" si="65"/>
        <v>13</v>
      </c>
      <c r="F619">
        <f t="shared" si="66"/>
        <v>2013</v>
      </c>
      <c r="G619">
        <f t="shared" si="67"/>
        <v>2</v>
      </c>
      <c r="H619">
        <f t="shared" si="68"/>
        <v>13</v>
      </c>
      <c r="I619" t="str">
        <f t="shared" si="69"/>
        <v>13</v>
      </c>
    </row>
    <row r="620" spans="1:9" x14ac:dyDescent="0.25">
      <c r="A620" s="19">
        <v>42728</v>
      </c>
      <c r="B620" s="20">
        <v>0.94027777777777777</v>
      </c>
      <c r="C620" t="str">
        <f t="shared" si="63"/>
        <v>16</v>
      </c>
      <c r="D620" t="str">
        <f t="shared" si="64"/>
        <v>12</v>
      </c>
      <c r="E620" t="str">
        <f t="shared" si="65"/>
        <v>24</v>
      </c>
      <c r="F620">
        <f t="shared" si="66"/>
        <v>2016</v>
      </c>
      <c r="G620">
        <f t="shared" si="67"/>
        <v>12</v>
      </c>
      <c r="H620">
        <f t="shared" si="68"/>
        <v>24</v>
      </c>
      <c r="I620" t="str">
        <f t="shared" si="69"/>
        <v>16</v>
      </c>
    </row>
    <row r="621" spans="1:9" x14ac:dyDescent="0.25">
      <c r="A621" s="19">
        <v>41064</v>
      </c>
      <c r="B621" s="20">
        <v>9.930555555555555E-2</v>
      </c>
      <c r="C621" t="str">
        <f t="shared" si="63"/>
        <v>12</v>
      </c>
      <c r="D621" t="str">
        <f t="shared" si="64"/>
        <v>06</v>
      </c>
      <c r="E621" t="str">
        <f t="shared" si="65"/>
        <v>04</v>
      </c>
      <c r="F621">
        <f t="shared" si="66"/>
        <v>2012</v>
      </c>
      <c r="G621">
        <f t="shared" si="67"/>
        <v>6</v>
      </c>
      <c r="H621">
        <f t="shared" si="68"/>
        <v>4</v>
      </c>
      <c r="I621" t="str">
        <f t="shared" si="69"/>
        <v>12</v>
      </c>
    </row>
    <row r="622" spans="1:9" x14ac:dyDescent="0.25">
      <c r="A622" s="19">
        <v>41477</v>
      </c>
      <c r="B622" s="20">
        <v>3.6805555555555557E-2</v>
      </c>
      <c r="C622" t="str">
        <f t="shared" si="63"/>
        <v>13</v>
      </c>
      <c r="D622" t="str">
        <f t="shared" si="64"/>
        <v>07</v>
      </c>
      <c r="E622" t="str">
        <f t="shared" si="65"/>
        <v>22</v>
      </c>
      <c r="F622">
        <f t="shared" si="66"/>
        <v>2013</v>
      </c>
      <c r="G622">
        <f t="shared" si="67"/>
        <v>7</v>
      </c>
      <c r="H622">
        <f t="shared" si="68"/>
        <v>22</v>
      </c>
      <c r="I622" t="str">
        <f t="shared" si="69"/>
        <v>13</v>
      </c>
    </row>
    <row r="623" spans="1:9" x14ac:dyDescent="0.25">
      <c r="A623" s="19">
        <v>42386</v>
      </c>
      <c r="B623" s="20">
        <v>1.3194444444444444E-2</v>
      </c>
      <c r="C623" t="str">
        <f t="shared" si="63"/>
        <v>16</v>
      </c>
      <c r="D623" t="str">
        <f t="shared" si="64"/>
        <v>01</v>
      </c>
      <c r="E623" t="str">
        <f t="shared" si="65"/>
        <v>17</v>
      </c>
      <c r="F623">
        <f t="shared" si="66"/>
        <v>2016</v>
      </c>
      <c r="G623">
        <f t="shared" si="67"/>
        <v>1</v>
      </c>
      <c r="H623">
        <f t="shared" si="68"/>
        <v>17</v>
      </c>
      <c r="I623" t="str">
        <f t="shared" si="69"/>
        <v>16</v>
      </c>
    </row>
    <row r="624" spans="1:9" x14ac:dyDescent="0.25">
      <c r="A624" s="19">
        <v>42387</v>
      </c>
      <c r="B624" s="20">
        <v>0.98333333333333328</v>
      </c>
      <c r="C624" t="str">
        <f t="shared" si="63"/>
        <v>16</v>
      </c>
      <c r="D624" t="str">
        <f t="shared" si="64"/>
        <v>01</v>
      </c>
      <c r="E624" t="str">
        <f t="shared" si="65"/>
        <v>18</v>
      </c>
      <c r="F624">
        <f t="shared" si="66"/>
        <v>2016</v>
      </c>
      <c r="G624">
        <f t="shared" si="67"/>
        <v>1</v>
      </c>
      <c r="H624">
        <f t="shared" si="68"/>
        <v>18</v>
      </c>
      <c r="I624" t="str">
        <f t="shared" si="69"/>
        <v>16</v>
      </c>
    </row>
    <row r="625" spans="1:9" x14ac:dyDescent="0.25">
      <c r="A625" s="19">
        <v>41971</v>
      </c>
      <c r="B625" s="20">
        <v>0.97847222222222219</v>
      </c>
      <c r="C625" t="str">
        <f t="shared" si="63"/>
        <v>14</v>
      </c>
      <c r="D625" t="str">
        <f t="shared" si="64"/>
        <v>11</v>
      </c>
      <c r="E625" t="str">
        <f t="shared" si="65"/>
        <v>28</v>
      </c>
      <c r="F625">
        <f t="shared" si="66"/>
        <v>2014</v>
      </c>
      <c r="G625">
        <f t="shared" si="67"/>
        <v>11</v>
      </c>
      <c r="H625">
        <f t="shared" si="68"/>
        <v>28</v>
      </c>
      <c r="I625" t="str">
        <f t="shared" si="69"/>
        <v>14</v>
      </c>
    </row>
    <row r="626" spans="1:9" x14ac:dyDescent="0.25">
      <c r="A626" s="19">
        <v>41968</v>
      </c>
      <c r="B626" s="20">
        <v>0.94166666666666665</v>
      </c>
      <c r="C626" t="str">
        <f t="shared" si="63"/>
        <v>14</v>
      </c>
      <c r="D626" t="str">
        <f t="shared" si="64"/>
        <v>11</v>
      </c>
      <c r="E626" t="str">
        <f t="shared" si="65"/>
        <v>25</v>
      </c>
      <c r="F626">
        <f t="shared" si="66"/>
        <v>2014</v>
      </c>
      <c r="G626">
        <f t="shared" si="67"/>
        <v>11</v>
      </c>
      <c r="H626">
        <f t="shared" si="68"/>
        <v>25</v>
      </c>
      <c r="I626" t="str">
        <f t="shared" si="69"/>
        <v>14</v>
      </c>
    </row>
    <row r="627" spans="1:9" x14ac:dyDescent="0.25">
      <c r="A627" s="19">
        <v>41713</v>
      </c>
      <c r="B627" s="20">
        <v>0.95138888888888884</v>
      </c>
      <c r="C627" t="str">
        <f t="shared" si="63"/>
        <v>14</v>
      </c>
      <c r="D627" t="str">
        <f t="shared" si="64"/>
        <v>03</v>
      </c>
      <c r="E627" t="str">
        <f t="shared" si="65"/>
        <v>15</v>
      </c>
      <c r="F627">
        <f t="shared" si="66"/>
        <v>2014</v>
      </c>
      <c r="G627">
        <f t="shared" si="67"/>
        <v>3</v>
      </c>
      <c r="H627">
        <f t="shared" si="68"/>
        <v>15</v>
      </c>
      <c r="I627" t="str">
        <f t="shared" si="69"/>
        <v>14</v>
      </c>
    </row>
    <row r="628" spans="1:9" x14ac:dyDescent="0.25">
      <c r="A628" s="19">
        <v>41774</v>
      </c>
      <c r="B628" s="20">
        <v>9.3055555555555558E-2</v>
      </c>
      <c r="C628" t="str">
        <f t="shared" si="63"/>
        <v>14</v>
      </c>
      <c r="D628" t="str">
        <f t="shared" si="64"/>
        <v>05</v>
      </c>
      <c r="E628" t="str">
        <f t="shared" si="65"/>
        <v>15</v>
      </c>
      <c r="F628">
        <f t="shared" si="66"/>
        <v>2014</v>
      </c>
      <c r="G628">
        <f t="shared" si="67"/>
        <v>5</v>
      </c>
      <c r="H628">
        <f t="shared" si="68"/>
        <v>15</v>
      </c>
      <c r="I628" t="str">
        <f t="shared" si="69"/>
        <v>14</v>
      </c>
    </row>
    <row r="629" spans="1:9" x14ac:dyDescent="0.25">
      <c r="A629" s="19">
        <v>41534</v>
      </c>
      <c r="B629" s="20">
        <v>6.5277777777777782E-2</v>
      </c>
      <c r="C629" t="str">
        <f t="shared" si="63"/>
        <v>13</v>
      </c>
      <c r="D629" t="str">
        <f t="shared" si="64"/>
        <v>09</v>
      </c>
      <c r="E629" t="str">
        <f t="shared" si="65"/>
        <v>17</v>
      </c>
      <c r="F629">
        <f t="shared" si="66"/>
        <v>2013</v>
      </c>
      <c r="G629">
        <f t="shared" si="67"/>
        <v>9</v>
      </c>
      <c r="H629">
        <f t="shared" si="68"/>
        <v>17</v>
      </c>
      <c r="I629" t="str">
        <f t="shared" si="69"/>
        <v>13</v>
      </c>
    </row>
    <row r="630" spans="1:9" x14ac:dyDescent="0.25">
      <c r="A630" s="19">
        <v>41559</v>
      </c>
      <c r="B630" s="20">
        <v>2.7083333333333334E-2</v>
      </c>
      <c r="C630" t="str">
        <f t="shared" si="63"/>
        <v>13</v>
      </c>
      <c r="D630" t="str">
        <f t="shared" si="64"/>
        <v>10</v>
      </c>
      <c r="E630" t="str">
        <f t="shared" si="65"/>
        <v>12</v>
      </c>
      <c r="F630">
        <f t="shared" si="66"/>
        <v>2013</v>
      </c>
      <c r="G630">
        <f t="shared" si="67"/>
        <v>10</v>
      </c>
      <c r="H630">
        <f t="shared" si="68"/>
        <v>12</v>
      </c>
      <c r="I630" t="str">
        <f t="shared" si="69"/>
        <v>13</v>
      </c>
    </row>
    <row r="631" spans="1:9" x14ac:dyDescent="0.25">
      <c r="A631" s="19">
        <v>41887</v>
      </c>
      <c r="B631" s="20">
        <v>1.6666666666666666E-2</v>
      </c>
      <c r="C631" t="str">
        <f t="shared" si="63"/>
        <v>14</v>
      </c>
      <c r="D631" t="str">
        <f t="shared" si="64"/>
        <v>09</v>
      </c>
      <c r="E631" t="str">
        <f t="shared" si="65"/>
        <v>05</v>
      </c>
      <c r="F631">
        <f t="shared" si="66"/>
        <v>2014</v>
      </c>
      <c r="G631">
        <f t="shared" si="67"/>
        <v>9</v>
      </c>
      <c r="H631">
        <f t="shared" si="68"/>
        <v>5</v>
      </c>
      <c r="I631" t="str">
        <f t="shared" si="69"/>
        <v>14</v>
      </c>
    </row>
    <row r="632" spans="1:9" x14ac:dyDescent="0.25">
      <c r="A632" s="19">
        <v>41076</v>
      </c>
      <c r="B632" s="20">
        <v>9.0277777777777776E-2</v>
      </c>
      <c r="C632" t="str">
        <f t="shared" si="63"/>
        <v>12</v>
      </c>
      <c r="D632" t="str">
        <f t="shared" si="64"/>
        <v>06</v>
      </c>
      <c r="E632" t="str">
        <f t="shared" si="65"/>
        <v>16</v>
      </c>
      <c r="F632">
        <f t="shared" si="66"/>
        <v>2012</v>
      </c>
      <c r="G632">
        <f t="shared" si="67"/>
        <v>6</v>
      </c>
      <c r="H632">
        <f t="shared" si="68"/>
        <v>16</v>
      </c>
      <c r="I632" t="str">
        <f t="shared" si="69"/>
        <v>12</v>
      </c>
    </row>
    <row r="633" spans="1:9" x14ac:dyDescent="0.25">
      <c r="A633" s="19">
        <v>42205</v>
      </c>
      <c r="B633" s="20">
        <v>4.3055555555555555E-2</v>
      </c>
      <c r="C633" t="str">
        <f t="shared" si="63"/>
        <v>15</v>
      </c>
      <c r="D633" t="str">
        <f t="shared" si="64"/>
        <v>07</v>
      </c>
      <c r="E633" t="str">
        <f t="shared" si="65"/>
        <v>20</v>
      </c>
      <c r="F633">
        <f t="shared" si="66"/>
        <v>2015</v>
      </c>
      <c r="G633">
        <f t="shared" si="67"/>
        <v>7</v>
      </c>
      <c r="H633">
        <f t="shared" si="68"/>
        <v>20</v>
      </c>
      <c r="I633" t="str">
        <f t="shared" si="69"/>
        <v>15</v>
      </c>
    </row>
    <row r="634" spans="1:9" x14ac:dyDescent="0.25">
      <c r="A634" s="19">
        <v>42026</v>
      </c>
      <c r="B634" s="20">
        <v>1.0416666666666666E-2</v>
      </c>
      <c r="C634" t="str">
        <f t="shared" si="63"/>
        <v>15</v>
      </c>
      <c r="D634" t="str">
        <f t="shared" si="64"/>
        <v>01</v>
      </c>
      <c r="E634" t="str">
        <f t="shared" si="65"/>
        <v>22</v>
      </c>
      <c r="F634">
        <f t="shared" si="66"/>
        <v>2015</v>
      </c>
      <c r="G634">
        <f t="shared" si="67"/>
        <v>1</v>
      </c>
      <c r="H634">
        <f t="shared" si="68"/>
        <v>22</v>
      </c>
      <c r="I634" t="str">
        <f t="shared" si="69"/>
        <v>15</v>
      </c>
    </row>
    <row r="635" spans="1:9" x14ac:dyDescent="0.25">
      <c r="A635" s="19">
        <v>42324</v>
      </c>
      <c r="B635" s="20">
        <v>0.96388888888888891</v>
      </c>
      <c r="C635" t="str">
        <f t="shared" si="63"/>
        <v>15</v>
      </c>
      <c r="D635" t="str">
        <f t="shared" si="64"/>
        <v>11</v>
      </c>
      <c r="E635" t="str">
        <f t="shared" si="65"/>
        <v>16</v>
      </c>
      <c r="F635">
        <f t="shared" si="66"/>
        <v>2015</v>
      </c>
      <c r="G635">
        <f t="shared" si="67"/>
        <v>11</v>
      </c>
      <c r="H635">
        <f t="shared" si="68"/>
        <v>16</v>
      </c>
      <c r="I635" t="str">
        <f t="shared" si="69"/>
        <v>15</v>
      </c>
    </row>
    <row r="636" spans="1:9" x14ac:dyDescent="0.25">
      <c r="A636" s="19">
        <v>42081</v>
      </c>
      <c r="B636" s="20">
        <v>0.99027777777777781</v>
      </c>
      <c r="C636" t="str">
        <f t="shared" si="63"/>
        <v>15</v>
      </c>
      <c r="D636" t="str">
        <f t="shared" si="64"/>
        <v>03</v>
      </c>
      <c r="E636" t="str">
        <f t="shared" si="65"/>
        <v>18</v>
      </c>
      <c r="F636">
        <f t="shared" si="66"/>
        <v>2015</v>
      </c>
      <c r="G636">
        <f t="shared" si="67"/>
        <v>3</v>
      </c>
      <c r="H636">
        <f t="shared" si="68"/>
        <v>18</v>
      </c>
      <c r="I636" t="str">
        <f t="shared" si="69"/>
        <v>15</v>
      </c>
    </row>
    <row r="637" spans="1:9" x14ac:dyDescent="0.25">
      <c r="A637" s="19">
        <v>41164</v>
      </c>
      <c r="B637" s="20">
        <v>0.05</v>
      </c>
      <c r="C637" t="str">
        <f t="shared" si="63"/>
        <v>12</v>
      </c>
      <c r="D637" t="str">
        <f t="shared" si="64"/>
        <v>09</v>
      </c>
      <c r="E637" t="str">
        <f t="shared" si="65"/>
        <v>12</v>
      </c>
      <c r="F637">
        <f t="shared" si="66"/>
        <v>2012</v>
      </c>
      <c r="G637">
        <f t="shared" si="67"/>
        <v>9</v>
      </c>
      <c r="H637">
        <f t="shared" si="68"/>
        <v>12</v>
      </c>
      <c r="I637" t="str">
        <f t="shared" si="69"/>
        <v>12</v>
      </c>
    </row>
    <row r="638" spans="1:9" x14ac:dyDescent="0.25">
      <c r="A638" s="19">
        <v>42194</v>
      </c>
      <c r="B638" s="20">
        <v>4.027777777777778E-2</v>
      </c>
      <c r="C638" t="str">
        <f t="shared" si="63"/>
        <v>15</v>
      </c>
      <c r="D638" t="str">
        <f t="shared" si="64"/>
        <v>07</v>
      </c>
      <c r="E638" t="str">
        <f t="shared" si="65"/>
        <v>09</v>
      </c>
      <c r="F638">
        <f t="shared" si="66"/>
        <v>2015</v>
      </c>
      <c r="G638">
        <f t="shared" si="67"/>
        <v>7</v>
      </c>
      <c r="H638">
        <f t="shared" si="68"/>
        <v>9</v>
      </c>
      <c r="I638" t="str">
        <f t="shared" si="69"/>
        <v>15</v>
      </c>
    </row>
    <row r="639" spans="1:9" x14ac:dyDescent="0.25">
      <c r="A639" s="19">
        <v>41309</v>
      </c>
      <c r="B639" s="20">
        <v>6.5972222222222224E-2</v>
      </c>
      <c r="C639" t="str">
        <f t="shared" si="63"/>
        <v>13</v>
      </c>
      <c r="D639" t="str">
        <f t="shared" si="64"/>
        <v>02</v>
      </c>
      <c r="E639" t="str">
        <f t="shared" si="65"/>
        <v>04</v>
      </c>
      <c r="F639">
        <f t="shared" si="66"/>
        <v>2013</v>
      </c>
      <c r="G639">
        <f t="shared" si="67"/>
        <v>2</v>
      </c>
      <c r="H639">
        <f t="shared" si="68"/>
        <v>4</v>
      </c>
      <c r="I639" t="str">
        <f t="shared" si="69"/>
        <v>13</v>
      </c>
    </row>
    <row r="640" spans="1:9" x14ac:dyDescent="0.25">
      <c r="A640" s="19">
        <v>42351</v>
      </c>
      <c r="B640" s="20">
        <v>4.8611111111111112E-3</v>
      </c>
      <c r="C640" t="str">
        <f t="shared" si="63"/>
        <v>15</v>
      </c>
      <c r="D640" t="str">
        <f t="shared" si="64"/>
        <v>12</v>
      </c>
      <c r="E640" t="str">
        <f t="shared" si="65"/>
        <v>13</v>
      </c>
      <c r="F640">
        <f t="shared" si="66"/>
        <v>2015</v>
      </c>
      <c r="G640">
        <f t="shared" si="67"/>
        <v>12</v>
      </c>
      <c r="H640">
        <f t="shared" si="68"/>
        <v>13</v>
      </c>
      <c r="I640" t="str">
        <f t="shared" si="69"/>
        <v>15</v>
      </c>
    </row>
    <row r="641" spans="1:9" x14ac:dyDescent="0.25">
      <c r="A641" s="19">
        <v>41580</v>
      </c>
      <c r="B641" s="20">
        <v>4.8611111111111112E-2</v>
      </c>
      <c r="C641" t="str">
        <f t="shared" si="63"/>
        <v>13</v>
      </c>
      <c r="D641" t="str">
        <f t="shared" si="64"/>
        <v>11</v>
      </c>
      <c r="E641" t="str">
        <f t="shared" si="65"/>
        <v>02</v>
      </c>
      <c r="F641">
        <f t="shared" si="66"/>
        <v>2013</v>
      </c>
      <c r="G641">
        <f t="shared" si="67"/>
        <v>11</v>
      </c>
      <c r="H641">
        <f t="shared" si="68"/>
        <v>2</v>
      </c>
      <c r="I641" t="str">
        <f t="shared" si="69"/>
        <v>13</v>
      </c>
    </row>
    <row r="642" spans="1:9" x14ac:dyDescent="0.25">
      <c r="A642" s="19">
        <v>41454</v>
      </c>
      <c r="B642" s="20">
        <v>6.3194444444444442E-2</v>
      </c>
      <c r="C642" t="str">
        <f t="shared" si="63"/>
        <v>13</v>
      </c>
      <c r="D642" t="str">
        <f t="shared" si="64"/>
        <v>06</v>
      </c>
      <c r="E642" t="str">
        <f t="shared" si="65"/>
        <v>29</v>
      </c>
      <c r="F642">
        <f t="shared" si="66"/>
        <v>2013</v>
      </c>
      <c r="G642">
        <f t="shared" si="67"/>
        <v>6</v>
      </c>
      <c r="H642">
        <f t="shared" si="68"/>
        <v>29</v>
      </c>
      <c r="I642" t="str">
        <f t="shared" si="69"/>
        <v>13</v>
      </c>
    </row>
    <row r="643" spans="1:9" x14ac:dyDescent="0.25">
      <c r="A643" s="19">
        <v>41786</v>
      </c>
      <c r="B643" s="20">
        <v>0.9819444444444444</v>
      </c>
      <c r="C643" t="str">
        <f t="shared" ref="C643:C706" si="70">TEXT(A643,"YY")</f>
        <v>14</v>
      </c>
      <c r="D643" t="str">
        <f t="shared" ref="D643:D706" si="71">TEXT(A643,"mm")</f>
        <v>05</v>
      </c>
      <c r="E643" t="str">
        <f t="shared" ref="E643:E706" si="72">TEXT(A643,"dd")</f>
        <v>27</v>
      </c>
      <c r="F643">
        <f t="shared" ref="F643:F706" si="73">YEAR($A643)</f>
        <v>2014</v>
      </c>
      <c r="G643">
        <f t="shared" ref="G643:G706" si="74">MONTH($A643)</f>
        <v>5</v>
      </c>
      <c r="H643">
        <f t="shared" ref="H643:H706" si="75">DAY($A643)</f>
        <v>27</v>
      </c>
      <c r="I643" t="str">
        <f t="shared" ref="I643:I706" si="76">TEXT($A643,"YY")</f>
        <v>14</v>
      </c>
    </row>
    <row r="644" spans="1:9" x14ac:dyDescent="0.25">
      <c r="A644" s="19">
        <v>41765</v>
      </c>
      <c r="B644" s="20">
        <v>1.5277777777777777E-2</v>
      </c>
      <c r="C644" t="str">
        <f t="shared" si="70"/>
        <v>14</v>
      </c>
      <c r="D644" t="str">
        <f t="shared" si="71"/>
        <v>05</v>
      </c>
      <c r="E644" t="str">
        <f t="shared" si="72"/>
        <v>06</v>
      </c>
      <c r="F644">
        <f t="shared" si="73"/>
        <v>2014</v>
      </c>
      <c r="G644">
        <f t="shared" si="74"/>
        <v>5</v>
      </c>
      <c r="H644">
        <f t="shared" si="75"/>
        <v>6</v>
      </c>
      <c r="I644" t="str">
        <f t="shared" si="76"/>
        <v>14</v>
      </c>
    </row>
    <row r="645" spans="1:9" x14ac:dyDescent="0.25">
      <c r="A645" s="19">
        <v>41494</v>
      </c>
      <c r="B645" s="20">
        <v>8.1944444444444445E-2</v>
      </c>
      <c r="C645" t="str">
        <f t="shared" si="70"/>
        <v>13</v>
      </c>
      <c r="D645" t="str">
        <f t="shared" si="71"/>
        <v>08</v>
      </c>
      <c r="E645" t="str">
        <f t="shared" si="72"/>
        <v>08</v>
      </c>
      <c r="F645">
        <f t="shared" si="73"/>
        <v>2013</v>
      </c>
      <c r="G645">
        <f t="shared" si="74"/>
        <v>8</v>
      </c>
      <c r="H645">
        <f t="shared" si="75"/>
        <v>8</v>
      </c>
      <c r="I645" t="str">
        <f t="shared" si="76"/>
        <v>13</v>
      </c>
    </row>
    <row r="646" spans="1:9" x14ac:dyDescent="0.25">
      <c r="A646" s="19">
        <v>40979</v>
      </c>
      <c r="B646" s="20">
        <v>5.7638888888888892E-2</v>
      </c>
      <c r="C646" t="str">
        <f t="shared" si="70"/>
        <v>12</v>
      </c>
      <c r="D646" t="str">
        <f t="shared" si="71"/>
        <v>03</v>
      </c>
      <c r="E646" t="str">
        <f t="shared" si="72"/>
        <v>11</v>
      </c>
      <c r="F646">
        <f t="shared" si="73"/>
        <v>2012</v>
      </c>
      <c r="G646">
        <f t="shared" si="74"/>
        <v>3</v>
      </c>
      <c r="H646">
        <f t="shared" si="75"/>
        <v>11</v>
      </c>
      <c r="I646" t="str">
        <f t="shared" si="76"/>
        <v>12</v>
      </c>
    </row>
    <row r="647" spans="1:9" x14ac:dyDescent="0.25">
      <c r="A647" s="19">
        <v>42535</v>
      </c>
      <c r="B647" s="20">
        <v>0.96458333333333335</v>
      </c>
      <c r="C647" t="str">
        <f t="shared" si="70"/>
        <v>16</v>
      </c>
      <c r="D647" t="str">
        <f t="shared" si="71"/>
        <v>06</v>
      </c>
      <c r="E647" t="str">
        <f t="shared" si="72"/>
        <v>14</v>
      </c>
      <c r="F647">
        <f t="shared" si="73"/>
        <v>2016</v>
      </c>
      <c r="G647">
        <f t="shared" si="74"/>
        <v>6</v>
      </c>
      <c r="H647">
        <f t="shared" si="75"/>
        <v>14</v>
      </c>
      <c r="I647" t="str">
        <f t="shared" si="76"/>
        <v>16</v>
      </c>
    </row>
    <row r="648" spans="1:9" x14ac:dyDescent="0.25">
      <c r="A648" s="19">
        <v>41289</v>
      </c>
      <c r="B648" s="20">
        <v>1.3888888888888888E-2</v>
      </c>
      <c r="C648" t="str">
        <f t="shared" si="70"/>
        <v>13</v>
      </c>
      <c r="D648" t="str">
        <f t="shared" si="71"/>
        <v>01</v>
      </c>
      <c r="E648" t="str">
        <f t="shared" si="72"/>
        <v>15</v>
      </c>
      <c r="F648">
        <f t="shared" si="73"/>
        <v>2013</v>
      </c>
      <c r="G648">
        <f t="shared" si="74"/>
        <v>1</v>
      </c>
      <c r="H648">
        <f t="shared" si="75"/>
        <v>15</v>
      </c>
      <c r="I648" t="str">
        <f t="shared" si="76"/>
        <v>13</v>
      </c>
    </row>
    <row r="649" spans="1:9" x14ac:dyDescent="0.25">
      <c r="A649" s="19">
        <v>41055</v>
      </c>
      <c r="B649" s="20">
        <v>2.5694444444444443E-2</v>
      </c>
      <c r="C649" t="str">
        <f t="shared" si="70"/>
        <v>12</v>
      </c>
      <c r="D649" t="str">
        <f t="shared" si="71"/>
        <v>05</v>
      </c>
      <c r="E649" t="str">
        <f t="shared" si="72"/>
        <v>26</v>
      </c>
      <c r="F649">
        <f t="shared" si="73"/>
        <v>2012</v>
      </c>
      <c r="G649">
        <f t="shared" si="74"/>
        <v>5</v>
      </c>
      <c r="H649">
        <f t="shared" si="75"/>
        <v>26</v>
      </c>
      <c r="I649" t="str">
        <f t="shared" si="76"/>
        <v>12</v>
      </c>
    </row>
    <row r="650" spans="1:9" x14ac:dyDescent="0.25">
      <c r="A650" s="19">
        <v>41698</v>
      </c>
      <c r="B650" s="20">
        <v>2.2916666666666665E-2</v>
      </c>
      <c r="C650" t="str">
        <f t="shared" si="70"/>
        <v>14</v>
      </c>
      <c r="D650" t="str">
        <f t="shared" si="71"/>
        <v>02</v>
      </c>
      <c r="E650" t="str">
        <f t="shared" si="72"/>
        <v>28</v>
      </c>
      <c r="F650">
        <f t="shared" si="73"/>
        <v>2014</v>
      </c>
      <c r="G650">
        <f t="shared" si="74"/>
        <v>2</v>
      </c>
      <c r="H650">
        <f t="shared" si="75"/>
        <v>28</v>
      </c>
      <c r="I650" t="str">
        <f t="shared" si="76"/>
        <v>14</v>
      </c>
    </row>
    <row r="651" spans="1:9" x14ac:dyDescent="0.25">
      <c r="A651" s="19">
        <v>41327</v>
      </c>
      <c r="B651" s="20">
        <v>0.97083333333333333</v>
      </c>
      <c r="C651" t="str">
        <f t="shared" si="70"/>
        <v>13</v>
      </c>
      <c r="D651" t="str">
        <f t="shared" si="71"/>
        <v>02</v>
      </c>
      <c r="E651" t="str">
        <f t="shared" si="72"/>
        <v>22</v>
      </c>
      <c r="F651">
        <f t="shared" si="73"/>
        <v>2013</v>
      </c>
      <c r="G651">
        <f t="shared" si="74"/>
        <v>2</v>
      </c>
      <c r="H651">
        <f t="shared" si="75"/>
        <v>22</v>
      </c>
      <c r="I651" t="str">
        <f t="shared" si="76"/>
        <v>13</v>
      </c>
    </row>
    <row r="652" spans="1:9" x14ac:dyDescent="0.25">
      <c r="A652" s="19">
        <v>40955</v>
      </c>
      <c r="B652" s="20">
        <v>4.4444444444444446E-2</v>
      </c>
      <c r="C652" t="str">
        <f t="shared" si="70"/>
        <v>12</v>
      </c>
      <c r="D652" t="str">
        <f t="shared" si="71"/>
        <v>02</v>
      </c>
      <c r="E652" t="str">
        <f t="shared" si="72"/>
        <v>16</v>
      </c>
      <c r="F652">
        <f t="shared" si="73"/>
        <v>2012</v>
      </c>
      <c r="G652">
        <f t="shared" si="74"/>
        <v>2</v>
      </c>
      <c r="H652">
        <f t="shared" si="75"/>
        <v>16</v>
      </c>
      <c r="I652" t="str">
        <f t="shared" si="76"/>
        <v>12</v>
      </c>
    </row>
    <row r="653" spans="1:9" x14ac:dyDescent="0.25">
      <c r="A653" s="19">
        <v>42372</v>
      </c>
      <c r="B653" s="20">
        <v>3.0555555555555555E-2</v>
      </c>
      <c r="C653" t="str">
        <f t="shared" si="70"/>
        <v>16</v>
      </c>
      <c r="D653" t="str">
        <f t="shared" si="71"/>
        <v>01</v>
      </c>
      <c r="E653" t="str">
        <f t="shared" si="72"/>
        <v>03</v>
      </c>
      <c r="F653">
        <f t="shared" si="73"/>
        <v>2016</v>
      </c>
      <c r="G653">
        <f t="shared" si="74"/>
        <v>1</v>
      </c>
      <c r="H653">
        <f t="shared" si="75"/>
        <v>3</v>
      </c>
      <c r="I653" t="str">
        <f t="shared" si="76"/>
        <v>16</v>
      </c>
    </row>
    <row r="654" spans="1:9" x14ac:dyDescent="0.25">
      <c r="A654" s="19">
        <v>41882</v>
      </c>
      <c r="B654" s="20">
        <v>0</v>
      </c>
      <c r="C654" t="str">
        <f t="shared" si="70"/>
        <v>14</v>
      </c>
      <c r="D654" t="str">
        <f t="shared" si="71"/>
        <v>08</v>
      </c>
      <c r="E654" t="str">
        <f t="shared" si="72"/>
        <v>31</v>
      </c>
      <c r="F654">
        <f t="shared" si="73"/>
        <v>2014</v>
      </c>
      <c r="G654">
        <f t="shared" si="74"/>
        <v>8</v>
      </c>
      <c r="H654">
        <f t="shared" si="75"/>
        <v>31</v>
      </c>
      <c r="I654" t="str">
        <f t="shared" si="76"/>
        <v>14</v>
      </c>
    </row>
    <row r="655" spans="1:9" x14ac:dyDescent="0.25">
      <c r="A655" s="19">
        <v>41582</v>
      </c>
      <c r="B655" s="20">
        <v>4.027777777777778E-2</v>
      </c>
      <c r="C655" t="str">
        <f t="shared" si="70"/>
        <v>13</v>
      </c>
      <c r="D655" t="str">
        <f t="shared" si="71"/>
        <v>11</v>
      </c>
      <c r="E655" t="str">
        <f t="shared" si="72"/>
        <v>04</v>
      </c>
      <c r="F655">
        <f t="shared" si="73"/>
        <v>2013</v>
      </c>
      <c r="G655">
        <f t="shared" si="74"/>
        <v>11</v>
      </c>
      <c r="H655">
        <f t="shared" si="75"/>
        <v>4</v>
      </c>
      <c r="I655" t="str">
        <f t="shared" si="76"/>
        <v>13</v>
      </c>
    </row>
    <row r="656" spans="1:9" x14ac:dyDescent="0.25">
      <c r="A656" s="19">
        <v>41494</v>
      </c>
      <c r="B656" s="20">
        <v>8.9583333333333334E-2</v>
      </c>
      <c r="C656" t="str">
        <f t="shared" si="70"/>
        <v>13</v>
      </c>
      <c r="D656" t="str">
        <f t="shared" si="71"/>
        <v>08</v>
      </c>
      <c r="E656" t="str">
        <f t="shared" si="72"/>
        <v>08</v>
      </c>
      <c r="F656">
        <f t="shared" si="73"/>
        <v>2013</v>
      </c>
      <c r="G656">
        <f t="shared" si="74"/>
        <v>8</v>
      </c>
      <c r="H656">
        <f t="shared" si="75"/>
        <v>8</v>
      </c>
      <c r="I656" t="str">
        <f t="shared" si="76"/>
        <v>13</v>
      </c>
    </row>
    <row r="657" spans="1:9" x14ac:dyDescent="0.25">
      <c r="A657" s="19">
        <v>41687</v>
      </c>
      <c r="B657" s="20">
        <v>7.2222222222222215E-2</v>
      </c>
      <c r="C657" t="str">
        <f t="shared" si="70"/>
        <v>14</v>
      </c>
      <c r="D657" t="str">
        <f t="shared" si="71"/>
        <v>02</v>
      </c>
      <c r="E657" t="str">
        <f t="shared" si="72"/>
        <v>17</v>
      </c>
      <c r="F657">
        <f t="shared" si="73"/>
        <v>2014</v>
      </c>
      <c r="G657">
        <f t="shared" si="74"/>
        <v>2</v>
      </c>
      <c r="H657">
        <f t="shared" si="75"/>
        <v>17</v>
      </c>
      <c r="I657" t="str">
        <f t="shared" si="76"/>
        <v>14</v>
      </c>
    </row>
    <row r="658" spans="1:9" x14ac:dyDescent="0.25">
      <c r="A658" s="19">
        <v>41222</v>
      </c>
      <c r="B658" s="20">
        <v>6.8750000000000006E-2</v>
      </c>
      <c r="C658" t="str">
        <f t="shared" si="70"/>
        <v>12</v>
      </c>
      <c r="D658" t="str">
        <f t="shared" si="71"/>
        <v>11</v>
      </c>
      <c r="E658" t="str">
        <f t="shared" si="72"/>
        <v>09</v>
      </c>
      <c r="F658">
        <f t="shared" si="73"/>
        <v>2012</v>
      </c>
      <c r="G658">
        <f t="shared" si="74"/>
        <v>11</v>
      </c>
      <c r="H658">
        <f t="shared" si="75"/>
        <v>9</v>
      </c>
      <c r="I658" t="str">
        <f t="shared" si="76"/>
        <v>12</v>
      </c>
    </row>
    <row r="659" spans="1:9" x14ac:dyDescent="0.25">
      <c r="A659" s="19">
        <v>41126</v>
      </c>
      <c r="B659" s="20">
        <v>6.1805555555555558E-2</v>
      </c>
      <c r="C659" t="str">
        <f t="shared" si="70"/>
        <v>12</v>
      </c>
      <c r="D659" t="str">
        <f t="shared" si="71"/>
        <v>08</v>
      </c>
      <c r="E659" t="str">
        <f t="shared" si="72"/>
        <v>05</v>
      </c>
      <c r="F659">
        <f t="shared" si="73"/>
        <v>2012</v>
      </c>
      <c r="G659">
        <f t="shared" si="74"/>
        <v>8</v>
      </c>
      <c r="H659">
        <f t="shared" si="75"/>
        <v>5</v>
      </c>
      <c r="I659" t="str">
        <f t="shared" si="76"/>
        <v>12</v>
      </c>
    </row>
    <row r="660" spans="1:9" x14ac:dyDescent="0.25">
      <c r="A660" s="19">
        <v>41905</v>
      </c>
      <c r="B660" s="20">
        <v>4.5138888888888888E-2</v>
      </c>
      <c r="C660" t="str">
        <f t="shared" si="70"/>
        <v>14</v>
      </c>
      <c r="D660" t="str">
        <f t="shared" si="71"/>
        <v>09</v>
      </c>
      <c r="E660" t="str">
        <f t="shared" si="72"/>
        <v>23</v>
      </c>
      <c r="F660">
        <f t="shared" si="73"/>
        <v>2014</v>
      </c>
      <c r="G660">
        <f t="shared" si="74"/>
        <v>9</v>
      </c>
      <c r="H660">
        <f t="shared" si="75"/>
        <v>23</v>
      </c>
      <c r="I660" t="str">
        <f t="shared" si="76"/>
        <v>14</v>
      </c>
    </row>
    <row r="661" spans="1:9" x14ac:dyDescent="0.25">
      <c r="A661" s="19">
        <v>40953</v>
      </c>
      <c r="B661" s="20">
        <v>2.0833333333333332E-2</v>
      </c>
      <c r="C661" t="str">
        <f t="shared" si="70"/>
        <v>12</v>
      </c>
      <c r="D661" t="str">
        <f t="shared" si="71"/>
        <v>02</v>
      </c>
      <c r="E661" t="str">
        <f t="shared" si="72"/>
        <v>14</v>
      </c>
      <c r="F661">
        <f t="shared" si="73"/>
        <v>2012</v>
      </c>
      <c r="G661">
        <f t="shared" si="74"/>
        <v>2</v>
      </c>
      <c r="H661">
        <f t="shared" si="75"/>
        <v>14</v>
      </c>
      <c r="I661" t="str">
        <f t="shared" si="76"/>
        <v>12</v>
      </c>
    </row>
    <row r="662" spans="1:9" x14ac:dyDescent="0.25">
      <c r="A662" s="19">
        <v>40911</v>
      </c>
      <c r="B662" s="20">
        <v>4.2361111111111113E-2</v>
      </c>
      <c r="C662" t="str">
        <f t="shared" si="70"/>
        <v>12</v>
      </c>
      <c r="D662" t="str">
        <f t="shared" si="71"/>
        <v>01</v>
      </c>
      <c r="E662" t="str">
        <f t="shared" si="72"/>
        <v>03</v>
      </c>
      <c r="F662">
        <f t="shared" si="73"/>
        <v>2012</v>
      </c>
      <c r="G662">
        <f t="shared" si="74"/>
        <v>1</v>
      </c>
      <c r="H662">
        <f t="shared" si="75"/>
        <v>3</v>
      </c>
      <c r="I662" t="str">
        <f t="shared" si="76"/>
        <v>12</v>
      </c>
    </row>
    <row r="663" spans="1:9" x14ac:dyDescent="0.25">
      <c r="A663" s="19">
        <v>41653</v>
      </c>
      <c r="B663" s="20">
        <v>0.98472222222222228</v>
      </c>
      <c r="C663" t="str">
        <f t="shared" si="70"/>
        <v>14</v>
      </c>
      <c r="D663" t="str">
        <f t="shared" si="71"/>
        <v>01</v>
      </c>
      <c r="E663" t="str">
        <f t="shared" si="72"/>
        <v>14</v>
      </c>
      <c r="F663">
        <f t="shared" si="73"/>
        <v>2014</v>
      </c>
      <c r="G663">
        <f t="shared" si="74"/>
        <v>1</v>
      </c>
      <c r="H663">
        <f t="shared" si="75"/>
        <v>14</v>
      </c>
      <c r="I663" t="str">
        <f t="shared" si="76"/>
        <v>14</v>
      </c>
    </row>
    <row r="664" spans="1:9" x14ac:dyDescent="0.25">
      <c r="A664" s="19">
        <v>40953</v>
      </c>
      <c r="B664" s="20">
        <v>0.59722222222222221</v>
      </c>
      <c r="C664" t="str">
        <f t="shared" si="70"/>
        <v>12</v>
      </c>
      <c r="D664" t="str">
        <f t="shared" si="71"/>
        <v>02</v>
      </c>
      <c r="E664" t="str">
        <f t="shared" si="72"/>
        <v>14</v>
      </c>
      <c r="F664">
        <f t="shared" si="73"/>
        <v>2012</v>
      </c>
      <c r="G664">
        <f t="shared" si="74"/>
        <v>2</v>
      </c>
      <c r="H664">
        <f t="shared" si="75"/>
        <v>14</v>
      </c>
      <c r="I664" t="str">
        <f t="shared" si="76"/>
        <v>12</v>
      </c>
    </row>
    <row r="665" spans="1:9" x14ac:dyDescent="0.25">
      <c r="A665" s="19">
        <v>41184</v>
      </c>
      <c r="B665" s="20">
        <v>0.98819444444444449</v>
      </c>
      <c r="C665" t="str">
        <f t="shared" si="70"/>
        <v>12</v>
      </c>
      <c r="D665" t="str">
        <f t="shared" si="71"/>
        <v>10</v>
      </c>
      <c r="E665" t="str">
        <f t="shared" si="72"/>
        <v>02</v>
      </c>
      <c r="F665">
        <f t="shared" si="73"/>
        <v>2012</v>
      </c>
      <c r="G665">
        <f t="shared" si="74"/>
        <v>10</v>
      </c>
      <c r="H665">
        <f t="shared" si="75"/>
        <v>2</v>
      </c>
      <c r="I665" t="str">
        <f t="shared" si="76"/>
        <v>12</v>
      </c>
    </row>
    <row r="666" spans="1:9" x14ac:dyDescent="0.25">
      <c r="A666" s="19">
        <v>41456</v>
      </c>
      <c r="B666" s="20">
        <v>1.8749999999999999E-2</v>
      </c>
      <c r="C666" t="str">
        <f t="shared" si="70"/>
        <v>13</v>
      </c>
      <c r="D666" t="str">
        <f t="shared" si="71"/>
        <v>07</v>
      </c>
      <c r="E666" t="str">
        <f t="shared" si="72"/>
        <v>01</v>
      </c>
      <c r="F666">
        <f t="shared" si="73"/>
        <v>2013</v>
      </c>
      <c r="G666">
        <f t="shared" si="74"/>
        <v>7</v>
      </c>
      <c r="H666">
        <f t="shared" si="75"/>
        <v>1</v>
      </c>
      <c r="I666" t="str">
        <f t="shared" si="76"/>
        <v>13</v>
      </c>
    </row>
    <row r="667" spans="1:9" x14ac:dyDescent="0.25">
      <c r="A667" s="19">
        <v>41530</v>
      </c>
      <c r="B667" s="20">
        <v>2.7083333333333334E-2</v>
      </c>
      <c r="C667" t="str">
        <f t="shared" si="70"/>
        <v>13</v>
      </c>
      <c r="D667" t="str">
        <f t="shared" si="71"/>
        <v>09</v>
      </c>
      <c r="E667" t="str">
        <f t="shared" si="72"/>
        <v>13</v>
      </c>
      <c r="F667">
        <f t="shared" si="73"/>
        <v>2013</v>
      </c>
      <c r="G667">
        <f t="shared" si="74"/>
        <v>9</v>
      </c>
      <c r="H667">
        <f t="shared" si="75"/>
        <v>13</v>
      </c>
      <c r="I667" t="str">
        <f t="shared" si="76"/>
        <v>13</v>
      </c>
    </row>
    <row r="668" spans="1:9" x14ac:dyDescent="0.25">
      <c r="A668" s="19">
        <v>42470</v>
      </c>
      <c r="B668" s="20">
        <v>7.2916666666666671E-2</v>
      </c>
      <c r="C668" t="str">
        <f t="shared" si="70"/>
        <v>16</v>
      </c>
      <c r="D668" t="str">
        <f t="shared" si="71"/>
        <v>04</v>
      </c>
      <c r="E668" t="str">
        <f t="shared" si="72"/>
        <v>10</v>
      </c>
      <c r="F668">
        <f t="shared" si="73"/>
        <v>2016</v>
      </c>
      <c r="G668">
        <f t="shared" si="74"/>
        <v>4</v>
      </c>
      <c r="H668">
        <f t="shared" si="75"/>
        <v>10</v>
      </c>
      <c r="I668" t="str">
        <f t="shared" si="76"/>
        <v>16</v>
      </c>
    </row>
    <row r="669" spans="1:9" x14ac:dyDescent="0.25">
      <c r="A669" s="19">
        <v>42023</v>
      </c>
      <c r="B669" s="20">
        <v>5.9722222222222225E-2</v>
      </c>
      <c r="C669" t="str">
        <f t="shared" si="70"/>
        <v>15</v>
      </c>
      <c r="D669" t="str">
        <f t="shared" si="71"/>
        <v>01</v>
      </c>
      <c r="E669" t="str">
        <f t="shared" si="72"/>
        <v>19</v>
      </c>
      <c r="F669">
        <f t="shared" si="73"/>
        <v>2015</v>
      </c>
      <c r="G669">
        <f t="shared" si="74"/>
        <v>1</v>
      </c>
      <c r="H669">
        <f t="shared" si="75"/>
        <v>19</v>
      </c>
      <c r="I669" t="str">
        <f t="shared" si="76"/>
        <v>15</v>
      </c>
    </row>
    <row r="670" spans="1:9" x14ac:dyDescent="0.25">
      <c r="A670" s="19">
        <v>41276</v>
      </c>
      <c r="B670" s="20">
        <v>0.98611111111111116</v>
      </c>
      <c r="C670" t="str">
        <f t="shared" si="70"/>
        <v>13</v>
      </c>
      <c r="D670" t="str">
        <f t="shared" si="71"/>
        <v>01</v>
      </c>
      <c r="E670" t="str">
        <f t="shared" si="72"/>
        <v>02</v>
      </c>
      <c r="F670">
        <f t="shared" si="73"/>
        <v>2013</v>
      </c>
      <c r="G670">
        <f t="shared" si="74"/>
        <v>1</v>
      </c>
      <c r="H670">
        <f t="shared" si="75"/>
        <v>2</v>
      </c>
      <c r="I670" t="str">
        <f t="shared" si="76"/>
        <v>13</v>
      </c>
    </row>
    <row r="671" spans="1:9" x14ac:dyDescent="0.25">
      <c r="A671" s="19">
        <v>42321</v>
      </c>
      <c r="B671" s="20">
        <v>5.8333333333333334E-2</v>
      </c>
      <c r="C671" t="str">
        <f t="shared" si="70"/>
        <v>15</v>
      </c>
      <c r="D671" t="str">
        <f t="shared" si="71"/>
        <v>11</v>
      </c>
      <c r="E671" t="str">
        <f t="shared" si="72"/>
        <v>13</v>
      </c>
      <c r="F671">
        <f t="shared" si="73"/>
        <v>2015</v>
      </c>
      <c r="G671">
        <f t="shared" si="74"/>
        <v>11</v>
      </c>
      <c r="H671">
        <f t="shared" si="75"/>
        <v>13</v>
      </c>
      <c r="I671" t="str">
        <f t="shared" si="76"/>
        <v>15</v>
      </c>
    </row>
    <row r="672" spans="1:9" x14ac:dyDescent="0.25">
      <c r="A672" s="19">
        <v>41129</v>
      </c>
      <c r="B672" s="20">
        <v>0.97638888888888886</v>
      </c>
      <c r="C672" t="str">
        <f t="shared" si="70"/>
        <v>12</v>
      </c>
      <c r="D672" t="str">
        <f t="shared" si="71"/>
        <v>08</v>
      </c>
      <c r="E672" t="str">
        <f t="shared" si="72"/>
        <v>08</v>
      </c>
      <c r="F672">
        <f t="shared" si="73"/>
        <v>2012</v>
      </c>
      <c r="G672">
        <f t="shared" si="74"/>
        <v>8</v>
      </c>
      <c r="H672">
        <f t="shared" si="75"/>
        <v>8</v>
      </c>
      <c r="I672" t="str">
        <f t="shared" si="76"/>
        <v>12</v>
      </c>
    </row>
    <row r="673" spans="1:9" x14ac:dyDescent="0.25">
      <c r="A673" s="19">
        <v>41706</v>
      </c>
      <c r="B673" s="20">
        <v>0.95277777777777772</v>
      </c>
      <c r="C673" t="str">
        <f t="shared" si="70"/>
        <v>14</v>
      </c>
      <c r="D673" t="str">
        <f t="shared" si="71"/>
        <v>03</v>
      </c>
      <c r="E673" t="str">
        <f t="shared" si="72"/>
        <v>08</v>
      </c>
      <c r="F673">
        <f t="shared" si="73"/>
        <v>2014</v>
      </c>
      <c r="G673">
        <f t="shared" si="74"/>
        <v>3</v>
      </c>
      <c r="H673">
        <f t="shared" si="75"/>
        <v>8</v>
      </c>
      <c r="I673" t="str">
        <f t="shared" si="76"/>
        <v>14</v>
      </c>
    </row>
    <row r="674" spans="1:9" x14ac:dyDescent="0.25">
      <c r="A674" s="19">
        <v>41915</v>
      </c>
      <c r="B674" s="20">
        <v>1.7361111111111112E-2</v>
      </c>
      <c r="C674" t="str">
        <f t="shared" si="70"/>
        <v>14</v>
      </c>
      <c r="D674" t="str">
        <f t="shared" si="71"/>
        <v>10</v>
      </c>
      <c r="E674" t="str">
        <f t="shared" si="72"/>
        <v>03</v>
      </c>
      <c r="F674">
        <f t="shared" si="73"/>
        <v>2014</v>
      </c>
      <c r="G674">
        <f t="shared" si="74"/>
        <v>10</v>
      </c>
      <c r="H674">
        <f t="shared" si="75"/>
        <v>3</v>
      </c>
      <c r="I674" t="str">
        <f t="shared" si="76"/>
        <v>14</v>
      </c>
    </row>
    <row r="675" spans="1:9" x14ac:dyDescent="0.25">
      <c r="A675" s="19">
        <v>41750</v>
      </c>
      <c r="B675" s="20">
        <v>2.0833333333333332E-2</v>
      </c>
      <c r="C675" t="str">
        <f t="shared" si="70"/>
        <v>14</v>
      </c>
      <c r="D675" t="str">
        <f t="shared" si="71"/>
        <v>04</v>
      </c>
      <c r="E675" t="str">
        <f t="shared" si="72"/>
        <v>21</v>
      </c>
      <c r="F675">
        <f t="shared" si="73"/>
        <v>2014</v>
      </c>
      <c r="G675">
        <f t="shared" si="74"/>
        <v>4</v>
      </c>
      <c r="H675">
        <f t="shared" si="75"/>
        <v>21</v>
      </c>
      <c r="I675" t="str">
        <f t="shared" si="76"/>
        <v>14</v>
      </c>
    </row>
    <row r="676" spans="1:9" x14ac:dyDescent="0.25">
      <c r="A676" s="19">
        <v>41901</v>
      </c>
      <c r="B676" s="20">
        <v>0.05</v>
      </c>
      <c r="C676" t="str">
        <f t="shared" si="70"/>
        <v>14</v>
      </c>
      <c r="D676" t="str">
        <f t="shared" si="71"/>
        <v>09</v>
      </c>
      <c r="E676" t="str">
        <f t="shared" si="72"/>
        <v>19</v>
      </c>
      <c r="F676">
        <f t="shared" si="73"/>
        <v>2014</v>
      </c>
      <c r="G676">
        <f t="shared" si="74"/>
        <v>9</v>
      </c>
      <c r="H676">
        <f t="shared" si="75"/>
        <v>19</v>
      </c>
      <c r="I676" t="str">
        <f t="shared" si="76"/>
        <v>14</v>
      </c>
    </row>
    <row r="677" spans="1:9" x14ac:dyDescent="0.25">
      <c r="A677" s="19">
        <v>41663</v>
      </c>
      <c r="B677" s="20">
        <v>0.95486111111111116</v>
      </c>
      <c r="C677" t="str">
        <f t="shared" si="70"/>
        <v>14</v>
      </c>
      <c r="D677" t="str">
        <f t="shared" si="71"/>
        <v>01</v>
      </c>
      <c r="E677" t="str">
        <f t="shared" si="72"/>
        <v>24</v>
      </c>
      <c r="F677">
        <f t="shared" si="73"/>
        <v>2014</v>
      </c>
      <c r="G677">
        <f t="shared" si="74"/>
        <v>1</v>
      </c>
      <c r="H677">
        <f t="shared" si="75"/>
        <v>24</v>
      </c>
      <c r="I677" t="str">
        <f t="shared" si="76"/>
        <v>14</v>
      </c>
    </row>
    <row r="678" spans="1:9" x14ac:dyDescent="0.25">
      <c r="A678" s="19">
        <v>41498</v>
      </c>
      <c r="B678" s="20">
        <v>0.98333333333333328</v>
      </c>
      <c r="C678" t="str">
        <f t="shared" si="70"/>
        <v>13</v>
      </c>
      <c r="D678" t="str">
        <f t="shared" si="71"/>
        <v>08</v>
      </c>
      <c r="E678" t="str">
        <f t="shared" si="72"/>
        <v>12</v>
      </c>
      <c r="F678">
        <f t="shared" si="73"/>
        <v>2013</v>
      </c>
      <c r="G678">
        <f t="shared" si="74"/>
        <v>8</v>
      </c>
      <c r="H678">
        <f t="shared" si="75"/>
        <v>12</v>
      </c>
      <c r="I678" t="str">
        <f t="shared" si="76"/>
        <v>13</v>
      </c>
    </row>
    <row r="679" spans="1:9" x14ac:dyDescent="0.25">
      <c r="A679" s="19">
        <v>41415</v>
      </c>
      <c r="B679" s="20">
        <v>1.8749999999999999E-2</v>
      </c>
      <c r="C679" t="str">
        <f t="shared" si="70"/>
        <v>13</v>
      </c>
      <c r="D679" t="str">
        <f t="shared" si="71"/>
        <v>05</v>
      </c>
      <c r="E679" t="str">
        <f t="shared" si="72"/>
        <v>21</v>
      </c>
      <c r="F679">
        <f t="shared" si="73"/>
        <v>2013</v>
      </c>
      <c r="G679">
        <f t="shared" si="74"/>
        <v>5</v>
      </c>
      <c r="H679">
        <f t="shared" si="75"/>
        <v>21</v>
      </c>
      <c r="I679" t="str">
        <f t="shared" si="76"/>
        <v>13</v>
      </c>
    </row>
    <row r="680" spans="1:9" x14ac:dyDescent="0.25">
      <c r="A680" s="19">
        <v>41568</v>
      </c>
      <c r="B680" s="20">
        <v>3.888888888888889E-2</v>
      </c>
      <c r="C680" t="str">
        <f t="shared" si="70"/>
        <v>13</v>
      </c>
      <c r="D680" t="str">
        <f t="shared" si="71"/>
        <v>10</v>
      </c>
      <c r="E680" t="str">
        <f t="shared" si="72"/>
        <v>21</v>
      </c>
      <c r="F680">
        <f t="shared" si="73"/>
        <v>2013</v>
      </c>
      <c r="G680">
        <f t="shared" si="74"/>
        <v>10</v>
      </c>
      <c r="H680">
        <f t="shared" si="75"/>
        <v>21</v>
      </c>
      <c r="I680" t="str">
        <f t="shared" si="76"/>
        <v>13</v>
      </c>
    </row>
    <row r="681" spans="1:9" x14ac:dyDescent="0.25">
      <c r="A681" s="19">
        <v>41828</v>
      </c>
      <c r="B681" s="20">
        <v>1.3888888888888889E-3</v>
      </c>
      <c r="C681" t="str">
        <f t="shared" si="70"/>
        <v>14</v>
      </c>
      <c r="D681" t="str">
        <f t="shared" si="71"/>
        <v>07</v>
      </c>
      <c r="E681" t="str">
        <f t="shared" si="72"/>
        <v>08</v>
      </c>
      <c r="F681">
        <f t="shared" si="73"/>
        <v>2014</v>
      </c>
      <c r="G681">
        <f t="shared" si="74"/>
        <v>7</v>
      </c>
      <c r="H681">
        <f t="shared" si="75"/>
        <v>8</v>
      </c>
      <c r="I681" t="str">
        <f t="shared" si="76"/>
        <v>14</v>
      </c>
    </row>
    <row r="682" spans="1:9" x14ac:dyDescent="0.25">
      <c r="A682" s="19">
        <v>42707</v>
      </c>
      <c r="B682" s="20">
        <v>0.94374999999999998</v>
      </c>
      <c r="C682" t="str">
        <f t="shared" si="70"/>
        <v>16</v>
      </c>
      <c r="D682" t="str">
        <f t="shared" si="71"/>
        <v>12</v>
      </c>
      <c r="E682" t="str">
        <f t="shared" si="72"/>
        <v>03</v>
      </c>
      <c r="F682">
        <f t="shared" si="73"/>
        <v>2016</v>
      </c>
      <c r="G682">
        <f t="shared" si="74"/>
        <v>12</v>
      </c>
      <c r="H682">
        <f t="shared" si="75"/>
        <v>3</v>
      </c>
      <c r="I682" t="str">
        <f t="shared" si="76"/>
        <v>16</v>
      </c>
    </row>
    <row r="683" spans="1:9" x14ac:dyDescent="0.25">
      <c r="A683" s="19">
        <v>42089</v>
      </c>
      <c r="B683" s="20">
        <v>0.9916666666666667</v>
      </c>
      <c r="C683" t="str">
        <f t="shared" si="70"/>
        <v>15</v>
      </c>
      <c r="D683" t="str">
        <f t="shared" si="71"/>
        <v>03</v>
      </c>
      <c r="E683" t="str">
        <f t="shared" si="72"/>
        <v>26</v>
      </c>
      <c r="F683">
        <f t="shared" si="73"/>
        <v>2015</v>
      </c>
      <c r="G683">
        <f t="shared" si="74"/>
        <v>3</v>
      </c>
      <c r="H683">
        <f t="shared" si="75"/>
        <v>26</v>
      </c>
      <c r="I683" t="str">
        <f t="shared" si="76"/>
        <v>15</v>
      </c>
    </row>
    <row r="684" spans="1:9" x14ac:dyDescent="0.25">
      <c r="A684" s="19">
        <v>41288</v>
      </c>
      <c r="B684" s="20">
        <v>4.1666666666666666E-3</v>
      </c>
      <c r="C684" t="str">
        <f t="shared" si="70"/>
        <v>13</v>
      </c>
      <c r="D684" t="str">
        <f t="shared" si="71"/>
        <v>01</v>
      </c>
      <c r="E684" t="str">
        <f t="shared" si="72"/>
        <v>14</v>
      </c>
      <c r="F684">
        <f t="shared" si="73"/>
        <v>2013</v>
      </c>
      <c r="G684">
        <f t="shared" si="74"/>
        <v>1</v>
      </c>
      <c r="H684">
        <f t="shared" si="75"/>
        <v>14</v>
      </c>
      <c r="I684" t="str">
        <f t="shared" si="76"/>
        <v>13</v>
      </c>
    </row>
    <row r="685" spans="1:9" x14ac:dyDescent="0.25">
      <c r="A685" s="19">
        <v>41420</v>
      </c>
      <c r="B685" s="20">
        <v>6.7361111111111108E-2</v>
      </c>
      <c r="C685" t="str">
        <f t="shared" si="70"/>
        <v>13</v>
      </c>
      <c r="D685" t="str">
        <f t="shared" si="71"/>
        <v>05</v>
      </c>
      <c r="E685" t="str">
        <f t="shared" si="72"/>
        <v>26</v>
      </c>
      <c r="F685">
        <f t="shared" si="73"/>
        <v>2013</v>
      </c>
      <c r="G685">
        <f t="shared" si="74"/>
        <v>5</v>
      </c>
      <c r="H685">
        <f t="shared" si="75"/>
        <v>26</v>
      </c>
      <c r="I685" t="str">
        <f t="shared" si="76"/>
        <v>13</v>
      </c>
    </row>
    <row r="686" spans="1:9" x14ac:dyDescent="0.25">
      <c r="A686" s="19">
        <v>41167</v>
      </c>
      <c r="B686" s="20">
        <v>5.9027777777777776E-2</v>
      </c>
      <c r="C686" t="str">
        <f t="shared" si="70"/>
        <v>12</v>
      </c>
      <c r="D686" t="str">
        <f t="shared" si="71"/>
        <v>09</v>
      </c>
      <c r="E686" t="str">
        <f t="shared" si="72"/>
        <v>15</v>
      </c>
      <c r="F686">
        <f t="shared" si="73"/>
        <v>2012</v>
      </c>
      <c r="G686">
        <f t="shared" si="74"/>
        <v>9</v>
      </c>
      <c r="H686">
        <f t="shared" si="75"/>
        <v>15</v>
      </c>
      <c r="I686" t="str">
        <f t="shared" si="76"/>
        <v>12</v>
      </c>
    </row>
    <row r="687" spans="1:9" x14ac:dyDescent="0.25">
      <c r="A687" s="19">
        <v>41605</v>
      </c>
      <c r="B687" s="20">
        <v>0.96388888888888891</v>
      </c>
      <c r="C687" t="str">
        <f t="shared" si="70"/>
        <v>13</v>
      </c>
      <c r="D687" t="str">
        <f t="shared" si="71"/>
        <v>11</v>
      </c>
      <c r="E687" t="str">
        <f t="shared" si="72"/>
        <v>27</v>
      </c>
      <c r="F687">
        <f t="shared" si="73"/>
        <v>2013</v>
      </c>
      <c r="G687">
        <f t="shared" si="74"/>
        <v>11</v>
      </c>
      <c r="H687">
        <f t="shared" si="75"/>
        <v>27</v>
      </c>
      <c r="I687" t="str">
        <f t="shared" si="76"/>
        <v>13</v>
      </c>
    </row>
    <row r="688" spans="1:9" x14ac:dyDescent="0.25">
      <c r="A688" s="19">
        <v>41137</v>
      </c>
      <c r="B688" s="20">
        <v>4.3055555555555555E-2</v>
      </c>
      <c r="C688" t="str">
        <f t="shared" si="70"/>
        <v>12</v>
      </c>
      <c r="D688" t="str">
        <f t="shared" si="71"/>
        <v>08</v>
      </c>
      <c r="E688" t="str">
        <f t="shared" si="72"/>
        <v>16</v>
      </c>
      <c r="F688">
        <f t="shared" si="73"/>
        <v>2012</v>
      </c>
      <c r="G688">
        <f t="shared" si="74"/>
        <v>8</v>
      </c>
      <c r="H688">
        <f t="shared" si="75"/>
        <v>16</v>
      </c>
      <c r="I688" t="str">
        <f t="shared" si="76"/>
        <v>12</v>
      </c>
    </row>
    <row r="689" spans="1:9" x14ac:dyDescent="0.25">
      <c r="A689" s="19">
        <v>40933</v>
      </c>
      <c r="B689" s="20">
        <v>0.69722222222222219</v>
      </c>
      <c r="C689" t="str">
        <f t="shared" si="70"/>
        <v>12</v>
      </c>
      <c r="D689" t="str">
        <f t="shared" si="71"/>
        <v>01</v>
      </c>
      <c r="E689" t="str">
        <f t="shared" si="72"/>
        <v>25</v>
      </c>
      <c r="F689">
        <f t="shared" si="73"/>
        <v>2012</v>
      </c>
      <c r="G689">
        <f t="shared" si="74"/>
        <v>1</v>
      </c>
      <c r="H689">
        <f t="shared" si="75"/>
        <v>25</v>
      </c>
      <c r="I689" t="str">
        <f t="shared" si="76"/>
        <v>12</v>
      </c>
    </row>
    <row r="690" spans="1:9" x14ac:dyDescent="0.25">
      <c r="A690" s="19">
        <v>41318</v>
      </c>
      <c r="B690" s="20">
        <v>4.6527777777777779E-2</v>
      </c>
      <c r="C690" t="str">
        <f t="shared" si="70"/>
        <v>13</v>
      </c>
      <c r="D690" t="str">
        <f t="shared" si="71"/>
        <v>02</v>
      </c>
      <c r="E690" t="str">
        <f t="shared" si="72"/>
        <v>13</v>
      </c>
      <c r="F690">
        <f t="shared" si="73"/>
        <v>2013</v>
      </c>
      <c r="G690">
        <f t="shared" si="74"/>
        <v>2</v>
      </c>
      <c r="H690">
        <f t="shared" si="75"/>
        <v>13</v>
      </c>
      <c r="I690" t="str">
        <f t="shared" si="76"/>
        <v>13</v>
      </c>
    </row>
    <row r="691" spans="1:9" x14ac:dyDescent="0.25">
      <c r="A691" s="19">
        <v>41604</v>
      </c>
      <c r="B691" s="20">
        <v>1.6666666666666666E-2</v>
      </c>
      <c r="C691" t="str">
        <f t="shared" si="70"/>
        <v>13</v>
      </c>
      <c r="D691" t="str">
        <f t="shared" si="71"/>
        <v>11</v>
      </c>
      <c r="E691" t="str">
        <f t="shared" si="72"/>
        <v>26</v>
      </c>
      <c r="F691">
        <f t="shared" si="73"/>
        <v>2013</v>
      </c>
      <c r="G691">
        <f t="shared" si="74"/>
        <v>11</v>
      </c>
      <c r="H691">
        <f t="shared" si="75"/>
        <v>26</v>
      </c>
      <c r="I691" t="str">
        <f t="shared" si="76"/>
        <v>13</v>
      </c>
    </row>
    <row r="692" spans="1:9" x14ac:dyDescent="0.25">
      <c r="A692" s="19">
        <v>41618</v>
      </c>
      <c r="B692" s="20">
        <v>0.99652777777777779</v>
      </c>
      <c r="C692" t="str">
        <f t="shared" si="70"/>
        <v>13</v>
      </c>
      <c r="D692" t="str">
        <f t="shared" si="71"/>
        <v>12</v>
      </c>
      <c r="E692" t="str">
        <f t="shared" si="72"/>
        <v>10</v>
      </c>
      <c r="F692">
        <f t="shared" si="73"/>
        <v>2013</v>
      </c>
      <c r="G692">
        <f t="shared" si="74"/>
        <v>12</v>
      </c>
      <c r="H692">
        <f t="shared" si="75"/>
        <v>10</v>
      </c>
      <c r="I692" t="str">
        <f t="shared" si="76"/>
        <v>13</v>
      </c>
    </row>
    <row r="693" spans="1:9" x14ac:dyDescent="0.25">
      <c r="A693" s="19">
        <v>41051</v>
      </c>
      <c r="B693" s="20">
        <v>5.5555555555555558E-3</v>
      </c>
      <c r="C693" t="str">
        <f t="shared" si="70"/>
        <v>12</v>
      </c>
      <c r="D693" t="str">
        <f t="shared" si="71"/>
        <v>05</v>
      </c>
      <c r="E693" t="str">
        <f t="shared" si="72"/>
        <v>22</v>
      </c>
      <c r="F693">
        <f t="shared" si="73"/>
        <v>2012</v>
      </c>
      <c r="G693">
        <f t="shared" si="74"/>
        <v>5</v>
      </c>
      <c r="H693">
        <f t="shared" si="75"/>
        <v>22</v>
      </c>
      <c r="I693" t="str">
        <f t="shared" si="76"/>
        <v>12</v>
      </c>
    </row>
    <row r="694" spans="1:9" x14ac:dyDescent="0.25">
      <c r="A694" s="19">
        <v>41348</v>
      </c>
      <c r="B694" s="20">
        <v>6.458333333333334E-2</v>
      </c>
      <c r="C694" t="str">
        <f t="shared" si="70"/>
        <v>13</v>
      </c>
      <c r="D694" t="str">
        <f t="shared" si="71"/>
        <v>03</v>
      </c>
      <c r="E694" t="str">
        <f t="shared" si="72"/>
        <v>15</v>
      </c>
      <c r="F694">
        <f t="shared" si="73"/>
        <v>2013</v>
      </c>
      <c r="G694">
        <f t="shared" si="74"/>
        <v>3</v>
      </c>
      <c r="H694">
        <f t="shared" si="75"/>
        <v>15</v>
      </c>
      <c r="I694" t="str">
        <f t="shared" si="76"/>
        <v>13</v>
      </c>
    </row>
    <row r="695" spans="1:9" x14ac:dyDescent="0.25">
      <c r="A695" s="19">
        <v>42066</v>
      </c>
      <c r="B695" s="20">
        <v>2.7777777777777779E-3</v>
      </c>
      <c r="C695" t="str">
        <f t="shared" si="70"/>
        <v>15</v>
      </c>
      <c r="D695" t="str">
        <f t="shared" si="71"/>
        <v>03</v>
      </c>
      <c r="E695" t="str">
        <f t="shared" si="72"/>
        <v>03</v>
      </c>
      <c r="F695">
        <f t="shared" si="73"/>
        <v>2015</v>
      </c>
      <c r="G695">
        <f t="shared" si="74"/>
        <v>3</v>
      </c>
      <c r="H695">
        <f t="shared" si="75"/>
        <v>3</v>
      </c>
      <c r="I695" t="str">
        <f t="shared" si="76"/>
        <v>15</v>
      </c>
    </row>
    <row r="696" spans="1:9" x14ac:dyDescent="0.25">
      <c r="A696" s="19">
        <v>41677</v>
      </c>
      <c r="B696" s="20">
        <v>4.027777777777778E-2</v>
      </c>
      <c r="C696" t="str">
        <f t="shared" si="70"/>
        <v>14</v>
      </c>
      <c r="D696" t="str">
        <f t="shared" si="71"/>
        <v>02</v>
      </c>
      <c r="E696" t="str">
        <f t="shared" si="72"/>
        <v>07</v>
      </c>
      <c r="F696">
        <f t="shared" si="73"/>
        <v>2014</v>
      </c>
      <c r="G696">
        <f t="shared" si="74"/>
        <v>2</v>
      </c>
      <c r="H696">
        <f t="shared" si="75"/>
        <v>7</v>
      </c>
      <c r="I696" t="str">
        <f t="shared" si="76"/>
        <v>14</v>
      </c>
    </row>
    <row r="697" spans="1:9" x14ac:dyDescent="0.25">
      <c r="A697" s="19">
        <v>41344</v>
      </c>
      <c r="B697" s="20">
        <v>5.2083333333333336E-2</v>
      </c>
      <c r="C697" t="str">
        <f t="shared" si="70"/>
        <v>13</v>
      </c>
      <c r="D697" t="str">
        <f t="shared" si="71"/>
        <v>03</v>
      </c>
      <c r="E697" t="str">
        <f t="shared" si="72"/>
        <v>11</v>
      </c>
      <c r="F697">
        <f t="shared" si="73"/>
        <v>2013</v>
      </c>
      <c r="G697">
        <f t="shared" si="74"/>
        <v>3</v>
      </c>
      <c r="H697">
        <f t="shared" si="75"/>
        <v>11</v>
      </c>
      <c r="I697" t="str">
        <f t="shared" si="76"/>
        <v>13</v>
      </c>
    </row>
    <row r="698" spans="1:9" x14ac:dyDescent="0.25">
      <c r="A698" s="19">
        <v>42636</v>
      </c>
      <c r="B698" s="20">
        <v>1.5972222222222221E-2</v>
      </c>
      <c r="C698" t="str">
        <f t="shared" si="70"/>
        <v>16</v>
      </c>
      <c r="D698" t="str">
        <f t="shared" si="71"/>
        <v>09</v>
      </c>
      <c r="E698" t="str">
        <f t="shared" si="72"/>
        <v>23</v>
      </c>
      <c r="F698">
        <f t="shared" si="73"/>
        <v>2016</v>
      </c>
      <c r="G698">
        <f t="shared" si="74"/>
        <v>9</v>
      </c>
      <c r="H698">
        <f t="shared" si="75"/>
        <v>23</v>
      </c>
      <c r="I698" t="str">
        <f t="shared" si="76"/>
        <v>16</v>
      </c>
    </row>
    <row r="699" spans="1:9" x14ac:dyDescent="0.25">
      <c r="A699" s="19">
        <v>41191</v>
      </c>
      <c r="B699" s="20">
        <v>5.9722222222222225E-2</v>
      </c>
      <c r="C699" t="str">
        <f t="shared" si="70"/>
        <v>12</v>
      </c>
      <c r="D699" t="str">
        <f t="shared" si="71"/>
        <v>10</v>
      </c>
      <c r="E699" t="str">
        <f t="shared" si="72"/>
        <v>09</v>
      </c>
      <c r="F699">
        <f t="shared" si="73"/>
        <v>2012</v>
      </c>
      <c r="G699">
        <f t="shared" si="74"/>
        <v>10</v>
      </c>
      <c r="H699">
        <f t="shared" si="75"/>
        <v>9</v>
      </c>
      <c r="I699" t="str">
        <f t="shared" si="76"/>
        <v>12</v>
      </c>
    </row>
    <row r="700" spans="1:9" x14ac:dyDescent="0.25">
      <c r="A700" s="19">
        <v>41273</v>
      </c>
      <c r="B700" s="20">
        <v>5.2777777777777778E-2</v>
      </c>
      <c r="C700" t="str">
        <f t="shared" si="70"/>
        <v>12</v>
      </c>
      <c r="D700" t="str">
        <f t="shared" si="71"/>
        <v>12</v>
      </c>
      <c r="E700" t="str">
        <f t="shared" si="72"/>
        <v>30</v>
      </c>
      <c r="F700">
        <f t="shared" si="73"/>
        <v>2012</v>
      </c>
      <c r="G700">
        <f t="shared" si="74"/>
        <v>12</v>
      </c>
      <c r="H700">
        <f t="shared" si="75"/>
        <v>30</v>
      </c>
      <c r="I700" t="str">
        <f t="shared" si="76"/>
        <v>12</v>
      </c>
    </row>
    <row r="701" spans="1:9" x14ac:dyDescent="0.25">
      <c r="A701" s="19">
        <v>41100</v>
      </c>
      <c r="B701" s="20">
        <v>5.5555555555555558E-3</v>
      </c>
      <c r="C701" t="str">
        <f t="shared" si="70"/>
        <v>12</v>
      </c>
      <c r="D701" t="str">
        <f t="shared" si="71"/>
        <v>07</v>
      </c>
      <c r="E701" t="str">
        <f t="shared" si="72"/>
        <v>10</v>
      </c>
      <c r="F701">
        <f t="shared" si="73"/>
        <v>2012</v>
      </c>
      <c r="G701">
        <f t="shared" si="74"/>
        <v>7</v>
      </c>
      <c r="H701">
        <f t="shared" si="75"/>
        <v>10</v>
      </c>
      <c r="I701" t="str">
        <f t="shared" si="76"/>
        <v>12</v>
      </c>
    </row>
    <row r="702" spans="1:9" x14ac:dyDescent="0.25">
      <c r="A702" s="19">
        <v>42363</v>
      </c>
      <c r="B702" s="20">
        <v>0.95972222222222225</v>
      </c>
      <c r="C702" t="str">
        <f t="shared" si="70"/>
        <v>15</v>
      </c>
      <c r="D702" t="str">
        <f t="shared" si="71"/>
        <v>12</v>
      </c>
      <c r="E702" t="str">
        <f t="shared" si="72"/>
        <v>25</v>
      </c>
      <c r="F702">
        <f t="shared" si="73"/>
        <v>2015</v>
      </c>
      <c r="G702">
        <f t="shared" si="74"/>
        <v>12</v>
      </c>
      <c r="H702">
        <f t="shared" si="75"/>
        <v>25</v>
      </c>
      <c r="I702" t="str">
        <f t="shared" si="76"/>
        <v>15</v>
      </c>
    </row>
    <row r="703" spans="1:9" x14ac:dyDescent="0.25">
      <c r="A703" s="19">
        <v>41873</v>
      </c>
      <c r="B703" s="20">
        <v>3.6805555555555557E-2</v>
      </c>
      <c r="C703" t="str">
        <f t="shared" si="70"/>
        <v>14</v>
      </c>
      <c r="D703" t="str">
        <f t="shared" si="71"/>
        <v>08</v>
      </c>
      <c r="E703" t="str">
        <f t="shared" si="72"/>
        <v>22</v>
      </c>
      <c r="F703">
        <f t="shared" si="73"/>
        <v>2014</v>
      </c>
      <c r="G703">
        <f t="shared" si="74"/>
        <v>8</v>
      </c>
      <c r="H703">
        <f t="shared" si="75"/>
        <v>22</v>
      </c>
      <c r="I703" t="str">
        <f t="shared" si="76"/>
        <v>14</v>
      </c>
    </row>
    <row r="704" spans="1:9" x14ac:dyDescent="0.25">
      <c r="A704" s="19">
        <v>42625</v>
      </c>
      <c r="B704" s="20">
        <v>0.95486111111111116</v>
      </c>
      <c r="C704" t="str">
        <f t="shared" si="70"/>
        <v>16</v>
      </c>
      <c r="D704" t="str">
        <f t="shared" si="71"/>
        <v>09</v>
      </c>
      <c r="E704" t="str">
        <f t="shared" si="72"/>
        <v>12</v>
      </c>
      <c r="F704">
        <f t="shared" si="73"/>
        <v>2016</v>
      </c>
      <c r="G704">
        <f t="shared" si="74"/>
        <v>9</v>
      </c>
      <c r="H704">
        <f t="shared" si="75"/>
        <v>12</v>
      </c>
      <c r="I704" t="str">
        <f t="shared" si="76"/>
        <v>16</v>
      </c>
    </row>
    <row r="705" spans="1:9" x14ac:dyDescent="0.25">
      <c r="A705" s="19">
        <v>41648</v>
      </c>
      <c r="B705" s="20">
        <v>0.96388888888888891</v>
      </c>
      <c r="C705" t="str">
        <f t="shared" si="70"/>
        <v>14</v>
      </c>
      <c r="D705" t="str">
        <f t="shared" si="71"/>
        <v>01</v>
      </c>
      <c r="E705" t="str">
        <f t="shared" si="72"/>
        <v>09</v>
      </c>
      <c r="F705">
        <f t="shared" si="73"/>
        <v>2014</v>
      </c>
      <c r="G705">
        <f t="shared" si="74"/>
        <v>1</v>
      </c>
      <c r="H705">
        <f t="shared" si="75"/>
        <v>9</v>
      </c>
      <c r="I705" t="str">
        <f t="shared" si="76"/>
        <v>14</v>
      </c>
    </row>
    <row r="706" spans="1:9" x14ac:dyDescent="0.25">
      <c r="A706" s="19">
        <v>41682</v>
      </c>
      <c r="B706" s="20">
        <v>8.3333333333333329E-2</v>
      </c>
      <c r="C706" t="str">
        <f t="shared" si="70"/>
        <v>14</v>
      </c>
      <c r="D706" t="str">
        <f t="shared" si="71"/>
        <v>02</v>
      </c>
      <c r="E706" t="str">
        <f t="shared" si="72"/>
        <v>12</v>
      </c>
      <c r="F706">
        <f t="shared" si="73"/>
        <v>2014</v>
      </c>
      <c r="G706">
        <f t="shared" si="74"/>
        <v>2</v>
      </c>
      <c r="H706">
        <f t="shared" si="75"/>
        <v>12</v>
      </c>
      <c r="I706" t="str">
        <f t="shared" si="76"/>
        <v>14</v>
      </c>
    </row>
    <row r="707" spans="1:9" x14ac:dyDescent="0.25">
      <c r="A707" s="19">
        <v>41835</v>
      </c>
      <c r="B707" s="20">
        <v>0.95833333333333337</v>
      </c>
      <c r="C707" t="str">
        <f t="shared" ref="C707:C770" si="77">TEXT(A707,"YY")</f>
        <v>14</v>
      </c>
      <c r="D707" t="str">
        <f t="shared" ref="D707:D770" si="78">TEXT(A707,"mm")</f>
        <v>07</v>
      </c>
      <c r="E707" t="str">
        <f t="shared" ref="E707:E770" si="79">TEXT(A707,"dd")</f>
        <v>15</v>
      </c>
      <c r="F707">
        <f t="shared" ref="F707:F770" si="80">YEAR($A707)</f>
        <v>2014</v>
      </c>
      <c r="G707">
        <f t="shared" ref="G707:G770" si="81">MONTH($A707)</f>
        <v>7</v>
      </c>
      <c r="H707">
        <f t="shared" ref="H707:H770" si="82">DAY($A707)</f>
        <v>15</v>
      </c>
      <c r="I707" t="str">
        <f t="shared" ref="I707:I770" si="83">TEXT($A707,"YY")</f>
        <v>14</v>
      </c>
    </row>
    <row r="708" spans="1:9" x14ac:dyDescent="0.25">
      <c r="A708" s="19">
        <v>40974</v>
      </c>
      <c r="B708" s="20">
        <v>0.99652777777777779</v>
      </c>
      <c r="C708" t="str">
        <f t="shared" si="77"/>
        <v>12</v>
      </c>
      <c r="D708" t="str">
        <f t="shared" si="78"/>
        <v>03</v>
      </c>
      <c r="E708" t="str">
        <f t="shared" si="79"/>
        <v>06</v>
      </c>
      <c r="F708">
        <f t="shared" si="80"/>
        <v>2012</v>
      </c>
      <c r="G708">
        <f t="shared" si="81"/>
        <v>3</v>
      </c>
      <c r="H708">
        <f t="shared" si="82"/>
        <v>6</v>
      </c>
      <c r="I708" t="str">
        <f t="shared" si="83"/>
        <v>12</v>
      </c>
    </row>
    <row r="709" spans="1:9" x14ac:dyDescent="0.25">
      <c r="A709" s="19">
        <v>41086</v>
      </c>
      <c r="B709" s="20">
        <v>3.4027777777777775E-2</v>
      </c>
      <c r="C709" t="str">
        <f t="shared" si="77"/>
        <v>12</v>
      </c>
      <c r="D709" t="str">
        <f t="shared" si="78"/>
        <v>06</v>
      </c>
      <c r="E709" t="str">
        <f t="shared" si="79"/>
        <v>26</v>
      </c>
      <c r="F709">
        <f t="shared" si="80"/>
        <v>2012</v>
      </c>
      <c r="G709">
        <f t="shared" si="81"/>
        <v>6</v>
      </c>
      <c r="H709">
        <f t="shared" si="82"/>
        <v>26</v>
      </c>
      <c r="I709" t="str">
        <f t="shared" si="83"/>
        <v>12</v>
      </c>
    </row>
    <row r="710" spans="1:9" x14ac:dyDescent="0.25">
      <c r="A710" s="19">
        <v>41890</v>
      </c>
      <c r="B710" s="20">
        <v>0.97847222222222219</v>
      </c>
      <c r="C710" t="str">
        <f t="shared" si="77"/>
        <v>14</v>
      </c>
      <c r="D710" t="str">
        <f t="shared" si="78"/>
        <v>09</v>
      </c>
      <c r="E710" t="str">
        <f t="shared" si="79"/>
        <v>08</v>
      </c>
      <c r="F710">
        <f t="shared" si="80"/>
        <v>2014</v>
      </c>
      <c r="G710">
        <f t="shared" si="81"/>
        <v>9</v>
      </c>
      <c r="H710">
        <f t="shared" si="82"/>
        <v>8</v>
      </c>
      <c r="I710" t="str">
        <f t="shared" si="83"/>
        <v>14</v>
      </c>
    </row>
    <row r="711" spans="1:9" x14ac:dyDescent="0.25">
      <c r="A711" s="19">
        <v>41949</v>
      </c>
      <c r="B711" s="20">
        <v>2.0833333333333333E-3</v>
      </c>
      <c r="C711" t="str">
        <f t="shared" si="77"/>
        <v>14</v>
      </c>
      <c r="D711" t="str">
        <f t="shared" si="78"/>
        <v>11</v>
      </c>
      <c r="E711" t="str">
        <f t="shared" si="79"/>
        <v>06</v>
      </c>
      <c r="F711">
        <f t="shared" si="80"/>
        <v>2014</v>
      </c>
      <c r="G711">
        <f t="shared" si="81"/>
        <v>11</v>
      </c>
      <c r="H711">
        <f t="shared" si="82"/>
        <v>6</v>
      </c>
      <c r="I711" t="str">
        <f t="shared" si="83"/>
        <v>14</v>
      </c>
    </row>
    <row r="712" spans="1:9" x14ac:dyDescent="0.25">
      <c r="A712" s="19">
        <v>42168</v>
      </c>
      <c r="B712" s="20">
        <v>4.6527777777777779E-2</v>
      </c>
      <c r="C712" t="str">
        <f t="shared" si="77"/>
        <v>15</v>
      </c>
      <c r="D712" t="str">
        <f t="shared" si="78"/>
        <v>06</v>
      </c>
      <c r="E712" t="str">
        <f t="shared" si="79"/>
        <v>13</v>
      </c>
      <c r="F712">
        <f t="shared" si="80"/>
        <v>2015</v>
      </c>
      <c r="G712">
        <f t="shared" si="81"/>
        <v>6</v>
      </c>
      <c r="H712">
        <f t="shared" si="82"/>
        <v>13</v>
      </c>
      <c r="I712" t="str">
        <f t="shared" si="83"/>
        <v>15</v>
      </c>
    </row>
    <row r="713" spans="1:9" x14ac:dyDescent="0.25">
      <c r="A713" s="19">
        <v>41428</v>
      </c>
      <c r="B713" s="20">
        <v>6.2500000000000003E-3</v>
      </c>
      <c r="C713" t="str">
        <f t="shared" si="77"/>
        <v>13</v>
      </c>
      <c r="D713" t="str">
        <f t="shared" si="78"/>
        <v>06</v>
      </c>
      <c r="E713" t="str">
        <f t="shared" si="79"/>
        <v>03</v>
      </c>
      <c r="F713">
        <f t="shared" si="80"/>
        <v>2013</v>
      </c>
      <c r="G713">
        <f t="shared" si="81"/>
        <v>6</v>
      </c>
      <c r="H713">
        <f t="shared" si="82"/>
        <v>3</v>
      </c>
      <c r="I713" t="str">
        <f t="shared" si="83"/>
        <v>13</v>
      </c>
    </row>
    <row r="714" spans="1:9" x14ac:dyDescent="0.25">
      <c r="A714" s="19">
        <v>41881</v>
      </c>
      <c r="B714" s="20">
        <v>0.95416666666666672</v>
      </c>
      <c r="C714" t="str">
        <f t="shared" si="77"/>
        <v>14</v>
      </c>
      <c r="D714" t="str">
        <f t="shared" si="78"/>
        <v>08</v>
      </c>
      <c r="E714" t="str">
        <f t="shared" si="79"/>
        <v>30</v>
      </c>
      <c r="F714">
        <f t="shared" si="80"/>
        <v>2014</v>
      </c>
      <c r="G714">
        <f t="shared" si="81"/>
        <v>8</v>
      </c>
      <c r="H714">
        <f t="shared" si="82"/>
        <v>30</v>
      </c>
      <c r="I714" t="str">
        <f t="shared" si="83"/>
        <v>14</v>
      </c>
    </row>
    <row r="715" spans="1:9" x14ac:dyDescent="0.25">
      <c r="A715" s="19">
        <v>42293</v>
      </c>
      <c r="B715" s="20">
        <v>6.1111111111111109E-2</v>
      </c>
      <c r="C715" t="str">
        <f t="shared" si="77"/>
        <v>15</v>
      </c>
      <c r="D715" t="str">
        <f t="shared" si="78"/>
        <v>10</v>
      </c>
      <c r="E715" t="str">
        <f t="shared" si="79"/>
        <v>16</v>
      </c>
      <c r="F715">
        <f t="shared" si="80"/>
        <v>2015</v>
      </c>
      <c r="G715">
        <f t="shared" si="81"/>
        <v>10</v>
      </c>
      <c r="H715">
        <f t="shared" si="82"/>
        <v>16</v>
      </c>
      <c r="I715" t="str">
        <f t="shared" si="83"/>
        <v>15</v>
      </c>
    </row>
    <row r="716" spans="1:9" x14ac:dyDescent="0.25">
      <c r="A716" s="19">
        <v>41479</v>
      </c>
      <c r="B716" s="20">
        <v>2.0833333333333333E-3</v>
      </c>
      <c r="C716" t="str">
        <f t="shared" si="77"/>
        <v>13</v>
      </c>
      <c r="D716" t="str">
        <f t="shared" si="78"/>
        <v>07</v>
      </c>
      <c r="E716" t="str">
        <f t="shared" si="79"/>
        <v>24</v>
      </c>
      <c r="F716">
        <f t="shared" si="80"/>
        <v>2013</v>
      </c>
      <c r="G716">
        <f t="shared" si="81"/>
        <v>7</v>
      </c>
      <c r="H716">
        <f t="shared" si="82"/>
        <v>24</v>
      </c>
      <c r="I716" t="str">
        <f t="shared" si="83"/>
        <v>13</v>
      </c>
    </row>
    <row r="717" spans="1:9" x14ac:dyDescent="0.25">
      <c r="A717" s="19">
        <v>41785</v>
      </c>
      <c r="B717" s="20">
        <v>4.4444444444444446E-2</v>
      </c>
      <c r="C717" t="str">
        <f t="shared" si="77"/>
        <v>14</v>
      </c>
      <c r="D717" t="str">
        <f t="shared" si="78"/>
        <v>05</v>
      </c>
      <c r="E717" t="str">
        <f t="shared" si="79"/>
        <v>26</v>
      </c>
      <c r="F717">
        <f t="shared" si="80"/>
        <v>2014</v>
      </c>
      <c r="G717">
        <f t="shared" si="81"/>
        <v>5</v>
      </c>
      <c r="H717">
        <f t="shared" si="82"/>
        <v>26</v>
      </c>
      <c r="I717" t="str">
        <f t="shared" si="83"/>
        <v>14</v>
      </c>
    </row>
    <row r="718" spans="1:9" x14ac:dyDescent="0.25">
      <c r="A718" s="19">
        <v>41804</v>
      </c>
      <c r="B718" s="20">
        <v>2.013888888888889E-2</v>
      </c>
      <c r="C718" t="str">
        <f t="shared" si="77"/>
        <v>14</v>
      </c>
      <c r="D718" t="str">
        <f t="shared" si="78"/>
        <v>06</v>
      </c>
      <c r="E718" t="str">
        <f t="shared" si="79"/>
        <v>14</v>
      </c>
      <c r="F718">
        <f t="shared" si="80"/>
        <v>2014</v>
      </c>
      <c r="G718">
        <f t="shared" si="81"/>
        <v>6</v>
      </c>
      <c r="H718">
        <f t="shared" si="82"/>
        <v>14</v>
      </c>
      <c r="I718" t="str">
        <f t="shared" si="83"/>
        <v>14</v>
      </c>
    </row>
    <row r="719" spans="1:9" x14ac:dyDescent="0.25">
      <c r="A719" s="19">
        <v>42041</v>
      </c>
      <c r="B719" s="20">
        <v>0.9506944444444444</v>
      </c>
      <c r="C719" t="str">
        <f t="shared" si="77"/>
        <v>15</v>
      </c>
      <c r="D719" t="str">
        <f t="shared" si="78"/>
        <v>02</v>
      </c>
      <c r="E719" t="str">
        <f t="shared" si="79"/>
        <v>06</v>
      </c>
      <c r="F719">
        <f t="shared" si="80"/>
        <v>2015</v>
      </c>
      <c r="G719">
        <f t="shared" si="81"/>
        <v>2</v>
      </c>
      <c r="H719">
        <f t="shared" si="82"/>
        <v>6</v>
      </c>
      <c r="I719" t="str">
        <f t="shared" si="83"/>
        <v>15</v>
      </c>
    </row>
    <row r="720" spans="1:9" x14ac:dyDescent="0.25">
      <c r="A720" s="19">
        <v>41321</v>
      </c>
      <c r="B720" s="20">
        <v>0.99375000000000002</v>
      </c>
      <c r="C720" t="str">
        <f t="shared" si="77"/>
        <v>13</v>
      </c>
      <c r="D720" t="str">
        <f t="shared" si="78"/>
        <v>02</v>
      </c>
      <c r="E720" t="str">
        <f t="shared" si="79"/>
        <v>16</v>
      </c>
      <c r="F720">
        <f t="shared" si="80"/>
        <v>2013</v>
      </c>
      <c r="G720">
        <f t="shared" si="81"/>
        <v>2</v>
      </c>
      <c r="H720">
        <f t="shared" si="82"/>
        <v>16</v>
      </c>
      <c r="I720" t="str">
        <f t="shared" si="83"/>
        <v>13</v>
      </c>
    </row>
    <row r="721" spans="1:9" x14ac:dyDescent="0.25">
      <c r="A721" s="19">
        <v>41170</v>
      </c>
      <c r="B721" s="20">
        <v>4.583333333333333E-2</v>
      </c>
      <c r="C721" t="str">
        <f t="shared" si="77"/>
        <v>12</v>
      </c>
      <c r="D721" t="str">
        <f t="shared" si="78"/>
        <v>09</v>
      </c>
      <c r="E721" t="str">
        <f t="shared" si="79"/>
        <v>18</v>
      </c>
      <c r="F721">
        <f t="shared" si="80"/>
        <v>2012</v>
      </c>
      <c r="G721">
        <f t="shared" si="81"/>
        <v>9</v>
      </c>
      <c r="H721">
        <f t="shared" si="82"/>
        <v>18</v>
      </c>
      <c r="I721" t="str">
        <f t="shared" si="83"/>
        <v>12</v>
      </c>
    </row>
    <row r="722" spans="1:9" x14ac:dyDescent="0.25">
      <c r="A722" s="19">
        <v>41865</v>
      </c>
      <c r="B722" s="20">
        <v>2.2222222222222223E-2</v>
      </c>
      <c r="C722" t="str">
        <f t="shared" si="77"/>
        <v>14</v>
      </c>
      <c r="D722" t="str">
        <f t="shared" si="78"/>
        <v>08</v>
      </c>
      <c r="E722" t="str">
        <f t="shared" si="79"/>
        <v>14</v>
      </c>
      <c r="F722">
        <f t="shared" si="80"/>
        <v>2014</v>
      </c>
      <c r="G722">
        <f t="shared" si="81"/>
        <v>8</v>
      </c>
      <c r="H722">
        <f t="shared" si="82"/>
        <v>14</v>
      </c>
      <c r="I722" t="str">
        <f t="shared" si="83"/>
        <v>14</v>
      </c>
    </row>
    <row r="723" spans="1:9" x14ac:dyDescent="0.25">
      <c r="A723" s="19">
        <v>41830</v>
      </c>
      <c r="B723" s="20">
        <v>0.98333333333333328</v>
      </c>
      <c r="C723" t="str">
        <f t="shared" si="77"/>
        <v>14</v>
      </c>
      <c r="D723" t="str">
        <f t="shared" si="78"/>
        <v>07</v>
      </c>
      <c r="E723" t="str">
        <f t="shared" si="79"/>
        <v>10</v>
      </c>
      <c r="F723">
        <f t="shared" si="80"/>
        <v>2014</v>
      </c>
      <c r="G723">
        <f t="shared" si="81"/>
        <v>7</v>
      </c>
      <c r="H723">
        <f t="shared" si="82"/>
        <v>10</v>
      </c>
      <c r="I723" t="str">
        <f t="shared" si="83"/>
        <v>14</v>
      </c>
    </row>
    <row r="724" spans="1:9" x14ac:dyDescent="0.25">
      <c r="A724" s="19">
        <v>41824</v>
      </c>
      <c r="B724" s="20">
        <v>2.361111111111111E-2</v>
      </c>
      <c r="C724" t="str">
        <f t="shared" si="77"/>
        <v>14</v>
      </c>
      <c r="D724" t="str">
        <f t="shared" si="78"/>
        <v>07</v>
      </c>
      <c r="E724" t="str">
        <f t="shared" si="79"/>
        <v>04</v>
      </c>
      <c r="F724">
        <f t="shared" si="80"/>
        <v>2014</v>
      </c>
      <c r="G724">
        <f t="shared" si="81"/>
        <v>7</v>
      </c>
      <c r="H724">
        <f t="shared" si="82"/>
        <v>4</v>
      </c>
      <c r="I724" t="str">
        <f t="shared" si="83"/>
        <v>14</v>
      </c>
    </row>
    <row r="725" spans="1:9" x14ac:dyDescent="0.25">
      <c r="A725" s="19">
        <v>42413</v>
      </c>
      <c r="B725" s="20">
        <v>2.5000000000000001E-2</v>
      </c>
      <c r="C725" t="str">
        <f t="shared" si="77"/>
        <v>16</v>
      </c>
      <c r="D725" t="str">
        <f t="shared" si="78"/>
        <v>02</v>
      </c>
      <c r="E725" t="str">
        <f t="shared" si="79"/>
        <v>13</v>
      </c>
      <c r="F725">
        <f t="shared" si="80"/>
        <v>2016</v>
      </c>
      <c r="G725">
        <f t="shared" si="81"/>
        <v>2</v>
      </c>
      <c r="H725">
        <f t="shared" si="82"/>
        <v>13</v>
      </c>
      <c r="I725" t="str">
        <f t="shared" si="83"/>
        <v>16</v>
      </c>
    </row>
    <row r="726" spans="1:9" x14ac:dyDescent="0.25">
      <c r="A726" s="19">
        <v>41665</v>
      </c>
      <c r="B726" s="20">
        <v>1.3888888888888888E-2</v>
      </c>
      <c r="C726" t="str">
        <f t="shared" si="77"/>
        <v>14</v>
      </c>
      <c r="D726" t="str">
        <f t="shared" si="78"/>
        <v>01</v>
      </c>
      <c r="E726" t="str">
        <f t="shared" si="79"/>
        <v>26</v>
      </c>
      <c r="F726">
        <f t="shared" si="80"/>
        <v>2014</v>
      </c>
      <c r="G726">
        <f t="shared" si="81"/>
        <v>1</v>
      </c>
      <c r="H726">
        <f t="shared" si="82"/>
        <v>26</v>
      </c>
      <c r="I726" t="str">
        <f t="shared" si="83"/>
        <v>14</v>
      </c>
    </row>
    <row r="727" spans="1:9" x14ac:dyDescent="0.25">
      <c r="A727" s="19">
        <v>41580</v>
      </c>
      <c r="B727" s="20">
        <v>5.9722222222222225E-2</v>
      </c>
      <c r="C727" t="str">
        <f t="shared" si="77"/>
        <v>13</v>
      </c>
      <c r="D727" t="str">
        <f t="shared" si="78"/>
        <v>11</v>
      </c>
      <c r="E727" t="str">
        <f t="shared" si="79"/>
        <v>02</v>
      </c>
      <c r="F727">
        <f t="shared" si="80"/>
        <v>2013</v>
      </c>
      <c r="G727">
        <f t="shared" si="81"/>
        <v>11</v>
      </c>
      <c r="H727">
        <f t="shared" si="82"/>
        <v>2</v>
      </c>
      <c r="I727" t="str">
        <f t="shared" si="83"/>
        <v>13</v>
      </c>
    </row>
    <row r="728" spans="1:9" x14ac:dyDescent="0.25">
      <c r="A728" s="19">
        <v>41109</v>
      </c>
      <c r="B728" s="20">
        <v>7.3611111111111113E-2</v>
      </c>
      <c r="C728" t="str">
        <f t="shared" si="77"/>
        <v>12</v>
      </c>
      <c r="D728" t="str">
        <f t="shared" si="78"/>
        <v>07</v>
      </c>
      <c r="E728" t="str">
        <f t="shared" si="79"/>
        <v>19</v>
      </c>
      <c r="F728">
        <f t="shared" si="80"/>
        <v>2012</v>
      </c>
      <c r="G728">
        <f t="shared" si="81"/>
        <v>7</v>
      </c>
      <c r="H728">
        <f t="shared" si="82"/>
        <v>19</v>
      </c>
      <c r="I728" t="str">
        <f t="shared" si="83"/>
        <v>12</v>
      </c>
    </row>
    <row r="729" spans="1:9" x14ac:dyDescent="0.25">
      <c r="A729" s="19">
        <v>41069</v>
      </c>
      <c r="B729" s="20">
        <v>5.7638888888888892E-2</v>
      </c>
      <c r="C729" t="str">
        <f t="shared" si="77"/>
        <v>12</v>
      </c>
      <c r="D729" t="str">
        <f t="shared" si="78"/>
        <v>06</v>
      </c>
      <c r="E729" t="str">
        <f t="shared" si="79"/>
        <v>09</v>
      </c>
      <c r="F729">
        <f t="shared" si="80"/>
        <v>2012</v>
      </c>
      <c r="G729">
        <f t="shared" si="81"/>
        <v>6</v>
      </c>
      <c r="H729">
        <f t="shared" si="82"/>
        <v>9</v>
      </c>
      <c r="I729" t="str">
        <f t="shared" si="83"/>
        <v>12</v>
      </c>
    </row>
    <row r="730" spans="1:9" x14ac:dyDescent="0.25">
      <c r="A730" s="19">
        <v>41336</v>
      </c>
      <c r="B730" s="20">
        <v>4.583333333333333E-2</v>
      </c>
      <c r="C730" t="str">
        <f t="shared" si="77"/>
        <v>13</v>
      </c>
      <c r="D730" t="str">
        <f t="shared" si="78"/>
        <v>03</v>
      </c>
      <c r="E730" t="str">
        <f t="shared" si="79"/>
        <v>03</v>
      </c>
      <c r="F730">
        <f t="shared" si="80"/>
        <v>2013</v>
      </c>
      <c r="G730">
        <f t="shared" si="81"/>
        <v>3</v>
      </c>
      <c r="H730">
        <f t="shared" si="82"/>
        <v>3</v>
      </c>
      <c r="I730" t="str">
        <f t="shared" si="83"/>
        <v>13</v>
      </c>
    </row>
    <row r="731" spans="1:9" x14ac:dyDescent="0.25">
      <c r="A731" s="19">
        <v>41085</v>
      </c>
      <c r="B731" s="20">
        <v>2.0833333333333333E-3</v>
      </c>
      <c r="C731" t="str">
        <f t="shared" si="77"/>
        <v>12</v>
      </c>
      <c r="D731" t="str">
        <f t="shared" si="78"/>
        <v>06</v>
      </c>
      <c r="E731" t="str">
        <f t="shared" si="79"/>
        <v>25</v>
      </c>
      <c r="F731">
        <f t="shared" si="80"/>
        <v>2012</v>
      </c>
      <c r="G731">
        <f t="shared" si="81"/>
        <v>6</v>
      </c>
      <c r="H731">
        <f t="shared" si="82"/>
        <v>25</v>
      </c>
      <c r="I731" t="str">
        <f t="shared" si="83"/>
        <v>12</v>
      </c>
    </row>
    <row r="732" spans="1:9" x14ac:dyDescent="0.25">
      <c r="A732" s="19">
        <v>42442</v>
      </c>
      <c r="B732" s="20">
        <v>0.96805555555555556</v>
      </c>
      <c r="C732" t="str">
        <f t="shared" si="77"/>
        <v>16</v>
      </c>
      <c r="D732" t="str">
        <f t="shared" si="78"/>
        <v>03</v>
      </c>
      <c r="E732" t="str">
        <f t="shared" si="79"/>
        <v>13</v>
      </c>
      <c r="F732">
        <f t="shared" si="80"/>
        <v>2016</v>
      </c>
      <c r="G732">
        <f t="shared" si="81"/>
        <v>3</v>
      </c>
      <c r="H732">
        <f t="shared" si="82"/>
        <v>13</v>
      </c>
      <c r="I732" t="str">
        <f t="shared" si="83"/>
        <v>16</v>
      </c>
    </row>
    <row r="733" spans="1:9" x14ac:dyDescent="0.25">
      <c r="A733" s="19">
        <v>41701</v>
      </c>
      <c r="B733" s="20">
        <v>7.6388888888888886E-3</v>
      </c>
      <c r="C733" t="str">
        <f t="shared" si="77"/>
        <v>14</v>
      </c>
      <c r="D733" t="str">
        <f t="shared" si="78"/>
        <v>03</v>
      </c>
      <c r="E733" t="str">
        <f t="shared" si="79"/>
        <v>03</v>
      </c>
      <c r="F733">
        <f t="shared" si="80"/>
        <v>2014</v>
      </c>
      <c r="G733">
        <f t="shared" si="81"/>
        <v>3</v>
      </c>
      <c r="H733">
        <f t="shared" si="82"/>
        <v>3</v>
      </c>
      <c r="I733" t="str">
        <f t="shared" si="83"/>
        <v>14</v>
      </c>
    </row>
    <row r="734" spans="1:9" x14ac:dyDescent="0.25">
      <c r="A734" s="19">
        <v>41277</v>
      </c>
      <c r="B734" s="20">
        <v>0.9819444444444444</v>
      </c>
      <c r="C734" t="str">
        <f t="shared" si="77"/>
        <v>13</v>
      </c>
      <c r="D734" t="str">
        <f t="shared" si="78"/>
        <v>01</v>
      </c>
      <c r="E734" t="str">
        <f t="shared" si="79"/>
        <v>03</v>
      </c>
      <c r="F734">
        <f t="shared" si="80"/>
        <v>2013</v>
      </c>
      <c r="G734">
        <f t="shared" si="81"/>
        <v>1</v>
      </c>
      <c r="H734">
        <f t="shared" si="82"/>
        <v>3</v>
      </c>
      <c r="I734" t="str">
        <f t="shared" si="83"/>
        <v>13</v>
      </c>
    </row>
    <row r="735" spans="1:9" x14ac:dyDescent="0.25">
      <c r="A735" s="19">
        <v>41689</v>
      </c>
      <c r="B735" s="20">
        <v>4.4444444444444446E-2</v>
      </c>
      <c r="C735" t="str">
        <f t="shared" si="77"/>
        <v>14</v>
      </c>
      <c r="D735" t="str">
        <f t="shared" si="78"/>
        <v>02</v>
      </c>
      <c r="E735" t="str">
        <f t="shared" si="79"/>
        <v>19</v>
      </c>
      <c r="F735">
        <f t="shared" si="80"/>
        <v>2014</v>
      </c>
      <c r="G735">
        <f t="shared" si="81"/>
        <v>2</v>
      </c>
      <c r="H735">
        <f t="shared" si="82"/>
        <v>19</v>
      </c>
      <c r="I735" t="str">
        <f t="shared" si="83"/>
        <v>14</v>
      </c>
    </row>
    <row r="736" spans="1:9" x14ac:dyDescent="0.25">
      <c r="A736" s="19">
        <v>41493</v>
      </c>
      <c r="B736" s="20">
        <v>6.5972222222222224E-2</v>
      </c>
      <c r="C736" t="str">
        <f t="shared" si="77"/>
        <v>13</v>
      </c>
      <c r="D736" t="str">
        <f t="shared" si="78"/>
        <v>08</v>
      </c>
      <c r="E736" t="str">
        <f t="shared" si="79"/>
        <v>07</v>
      </c>
      <c r="F736">
        <f t="shared" si="80"/>
        <v>2013</v>
      </c>
      <c r="G736">
        <f t="shared" si="81"/>
        <v>8</v>
      </c>
      <c r="H736">
        <f t="shared" si="82"/>
        <v>7</v>
      </c>
      <c r="I736" t="str">
        <f t="shared" si="83"/>
        <v>13</v>
      </c>
    </row>
    <row r="737" spans="1:9" x14ac:dyDescent="0.25">
      <c r="A737" s="19">
        <v>42162</v>
      </c>
      <c r="B737" s="20">
        <v>3.125E-2</v>
      </c>
      <c r="C737" t="str">
        <f t="shared" si="77"/>
        <v>15</v>
      </c>
      <c r="D737" t="str">
        <f t="shared" si="78"/>
        <v>06</v>
      </c>
      <c r="E737" t="str">
        <f t="shared" si="79"/>
        <v>07</v>
      </c>
      <c r="F737">
        <f t="shared" si="80"/>
        <v>2015</v>
      </c>
      <c r="G737">
        <f t="shared" si="81"/>
        <v>6</v>
      </c>
      <c r="H737">
        <f t="shared" si="82"/>
        <v>7</v>
      </c>
      <c r="I737" t="str">
        <f t="shared" si="83"/>
        <v>15</v>
      </c>
    </row>
    <row r="738" spans="1:9" x14ac:dyDescent="0.25">
      <c r="A738" s="19">
        <v>41903</v>
      </c>
      <c r="B738" s="20">
        <v>3.3333333333333333E-2</v>
      </c>
      <c r="C738" t="str">
        <f t="shared" si="77"/>
        <v>14</v>
      </c>
      <c r="D738" t="str">
        <f t="shared" si="78"/>
        <v>09</v>
      </c>
      <c r="E738" t="str">
        <f t="shared" si="79"/>
        <v>21</v>
      </c>
      <c r="F738">
        <f t="shared" si="80"/>
        <v>2014</v>
      </c>
      <c r="G738">
        <f t="shared" si="81"/>
        <v>9</v>
      </c>
      <c r="H738">
        <f t="shared" si="82"/>
        <v>21</v>
      </c>
      <c r="I738" t="str">
        <f t="shared" si="83"/>
        <v>14</v>
      </c>
    </row>
    <row r="739" spans="1:9" x14ac:dyDescent="0.25">
      <c r="A739" s="19">
        <v>42044</v>
      </c>
      <c r="B739" s="20">
        <v>4.1666666666666666E-3</v>
      </c>
      <c r="C739" t="str">
        <f t="shared" si="77"/>
        <v>15</v>
      </c>
      <c r="D739" t="str">
        <f t="shared" si="78"/>
        <v>02</v>
      </c>
      <c r="E739" t="str">
        <f t="shared" si="79"/>
        <v>09</v>
      </c>
      <c r="F739">
        <f t="shared" si="80"/>
        <v>2015</v>
      </c>
      <c r="G739">
        <f t="shared" si="81"/>
        <v>2</v>
      </c>
      <c r="H739">
        <f t="shared" si="82"/>
        <v>9</v>
      </c>
      <c r="I739" t="str">
        <f t="shared" si="83"/>
        <v>15</v>
      </c>
    </row>
    <row r="740" spans="1:9" x14ac:dyDescent="0.25">
      <c r="A740" s="19">
        <v>41601</v>
      </c>
      <c r="B740" s="20">
        <v>5.1388888888888887E-2</v>
      </c>
      <c r="C740" t="str">
        <f t="shared" si="77"/>
        <v>13</v>
      </c>
      <c r="D740" t="str">
        <f t="shared" si="78"/>
        <v>11</v>
      </c>
      <c r="E740" t="str">
        <f t="shared" si="79"/>
        <v>23</v>
      </c>
      <c r="F740">
        <f t="shared" si="80"/>
        <v>2013</v>
      </c>
      <c r="G740">
        <f t="shared" si="81"/>
        <v>11</v>
      </c>
      <c r="H740">
        <f t="shared" si="82"/>
        <v>23</v>
      </c>
      <c r="I740" t="str">
        <f t="shared" si="83"/>
        <v>13</v>
      </c>
    </row>
    <row r="741" spans="1:9" x14ac:dyDescent="0.25">
      <c r="A741" s="19">
        <v>41061</v>
      </c>
      <c r="B741" s="20">
        <v>6.7361111111111108E-2</v>
      </c>
      <c r="C741" t="str">
        <f t="shared" si="77"/>
        <v>12</v>
      </c>
      <c r="D741" t="str">
        <f t="shared" si="78"/>
        <v>06</v>
      </c>
      <c r="E741" t="str">
        <f t="shared" si="79"/>
        <v>01</v>
      </c>
      <c r="F741">
        <f t="shared" si="80"/>
        <v>2012</v>
      </c>
      <c r="G741">
        <f t="shared" si="81"/>
        <v>6</v>
      </c>
      <c r="H741">
        <f t="shared" si="82"/>
        <v>1</v>
      </c>
      <c r="I741" t="str">
        <f t="shared" si="83"/>
        <v>12</v>
      </c>
    </row>
    <row r="742" spans="1:9" x14ac:dyDescent="0.25">
      <c r="A742" s="19">
        <v>41964</v>
      </c>
      <c r="B742" s="20">
        <v>0.93819444444444444</v>
      </c>
      <c r="C742" t="str">
        <f t="shared" si="77"/>
        <v>14</v>
      </c>
      <c r="D742" t="str">
        <f t="shared" si="78"/>
        <v>11</v>
      </c>
      <c r="E742" t="str">
        <f t="shared" si="79"/>
        <v>21</v>
      </c>
      <c r="F742">
        <f t="shared" si="80"/>
        <v>2014</v>
      </c>
      <c r="G742">
        <f t="shared" si="81"/>
        <v>11</v>
      </c>
      <c r="H742">
        <f t="shared" si="82"/>
        <v>21</v>
      </c>
      <c r="I742" t="str">
        <f t="shared" si="83"/>
        <v>14</v>
      </c>
    </row>
    <row r="743" spans="1:9" x14ac:dyDescent="0.25">
      <c r="A743" s="19">
        <v>41975</v>
      </c>
      <c r="B743" s="20">
        <v>6.25E-2</v>
      </c>
      <c r="C743" t="str">
        <f t="shared" si="77"/>
        <v>14</v>
      </c>
      <c r="D743" t="str">
        <f t="shared" si="78"/>
        <v>12</v>
      </c>
      <c r="E743" t="str">
        <f t="shared" si="79"/>
        <v>02</v>
      </c>
      <c r="F743">
        <f t="shared" si="80"/>
        <v>2014</v>
      </c>
      <c r="G743">
        <f t="shared" si="81"/>
        <v>12</v>
      </c>
      <c r="H743">
        <f t="shared" si="82"/>
        <v>2</v>
      </c>
      <c r="I743" t="str">
        <f t="shared" si="83"/>
        <v>14</v>
      </c>
    </row>
    <row r="744" spans="1:9" x14ac:dyDescent="0.25">
      <c r="A744" s="19">
        <v>41742</v>
      </c>
      <c r="B744" s="20">
        <v>0.95486111111111116</v>
      </c>
      <c r="C744" t="str">
        <f t="shared" si="77"/>
        <v>14</v>
      </c>
      <c r="D744" t="str">
        <f t="shared" si="78"/>
        <v>04</v>
      </c>
      <c r="E744" t="str">
        <f t="shared" si="79"/>
        <v>13</v>
      </c>
      <c r="F744">
        <f t="shared" si="80"/>
        <v>2014</v>
      </c>
      <c r="G744">
        <f t="shared" si="81"/>
        <v>4</v>
      </c>
      <c r="H744">
        <f t="shared" si="82"/>
        <v>13</v>
      </c>
      <c r="I744" t="str">
        <f t="shared" si="83"/>
        <v>14</v>
      </c>
    </row>
    <row r="745" spans="1:9" x14ac:dyDescent="0.25">
      <c r="A745" s="19">
        <v>42278</v>
      </c>
      <c r="B745" s="20">
        <v>2.0833333333333332E-2</v>
      </c>
      <c r="C745" t="str">
        <f t="shared" si="77"/>
        <v>15</v>
      </c>
      <c r="D745" t="str">
        <f t="shared" si="78"/>
        <v>10</v>
      </c>
      <c r="E745" t="str">
        <f t="shared" si="79"/>
        <v>01</v>
      </c>
      <c r="F745">
        <f t="shared" si="80"/>
        <v>2015</v>
      </c>
      <c r="G745">
        <f t="shared" si="81"/>
        <v>10</v>
      </c>
      <c r="H745">
        <f t="shared" si="82"/>
        <v>1</v>
      </c>
      <c r="I745" t="str">
        <f t="shared" si="83"/>
        <v>15</v>
      </c>
    </row>
    <row r="746" spans="1:9" x14ac:dyDescent="0.25">
      <c r="A746" s="19">
        <v>42602</v>
      </c>
      <c r="B746" s="20">
        <v>3.9583333333333331E-2</v>
      </c>
      <c r="C746" t="str">
        <f t="shared" si="77"/>
        <v>16</v>
      </c>
      <c r="D746" t="str">
        <f t="shared" si="78"/>
        <v>08</v>
      </c>
      <c r="E746" t="str">
        <f t="shared" si="79"/>
        <v>20</v>
      </c>
      <c r="F746">
        <f t="shared" si="80"/>
        <v>2016</v>
      </c>
      <c r="G746">
        <f t="shared" si="81"/>
        <v>8</v>
      </c>
      <c r="H746">
        <f t="shared" si="82"/>
        <v>20</v>
      </c>
      <c r="I746" t="str">
        <f t="shared" si="83"/>
        <v>16</v>
      </c>
    </row>
    <row r="747" spans="1:9" x14ac:dyDescent="0.25">
      <c r="A747" s="19">
        <v>41545</v>
      </c>
      <c r="B747" s="20">
        <v>2.4305555555555556E-2</v>
      </c>
      <c r="C747" t="str">
        <f t="shared" si="77"/>
        <v>13</v>
      </c>
      <c r="D747" t="str">
        <f t="shared" si="78"/>
        <v>09</v>
      </c>
      <c r="E747" t="str">
        <f t="shared" si="79"/>
        <v>28</v>
      </c>
      <c r="F747">
        <f t="shared" si="80"/>
        <v>2013</v>
      </c>
      <c r="G747">
        <f t="shared" si="81"/>
        <v>9</v>
      </c>
      <c r="H747">
        <f t="shared" si="82"/>
        <v>28</v>
      </c>
      <c r="I747" t="str">
        <f t="shared" si="83"/>
        <v>13</v>
      </c>
    </row>
    <row r="748" spans="1:9" x14ac:dyDescent="0.25">
      <c r="A748" s="19">
        <v>41565</v>
      </c>
      <c r="B748" s="20">
        <v>6.5277777777777782E-2</v>
      </c>
      <c r="C748" t="str">
        <f t="shared" si="77"/>
        <v>13</v>
      </c>
      <c r="D748" t="str">
        <f t="shared" si="78"/>
        <v>10</v>
      </c>
      <c r="E748" t="str">
        <f t="shared" si="79"/>
        <v>18</v>
      </c>
      <c r="F748">
        <f t="shared" si="80"/>
        <v>2013</v>
      </c>
      <c r="G748">
        <f t="shared" si="81"/>
        <v>10</v>
      </c>
      <c r="H748">
        <f t="shared" si="82"/>
        <v>18</v>
      </c>
      <c r="I748" t="str">
        <f t="shared" si="83"/>
        <v>13</v>
      </c>
    </row>
    <row r="749" spans="1:9" x14ac:dyDescent="0.25">
      <c r="A749" s="19">
        <v>42392</v>
      </c>
      <c r="B749" s="20">
        <v>0.94374999999999998</v>
      </c>
      <c r="C749" t="str">
        <f t="shared" si="77"/>
        <v>16</v>
      </c>
      <c r="D749" t="str">
        <f t="shared" si="78"/>
        <v>01</v>
      </c>
      <c r="E749" t="str">
        <f t="shared" si="79"/>
        <v>23</v>
      </c>
      <c r="F749">
        <f t="shared" si="80"/>
        <v>2016</v>
      </c>
      <c r="G749">
        <f t="shared" si="81"/>
        <v>1</v>
      </c>
      <c r="H749">
        <f t="shared" si="82"/>
        <v>23</v>
      </c>
      <c r="I749" t="str">
        <f t="shared" si="83"/>
        <v>16</v>
      </c>
    </row>
    <row r="750" spans="1:9" x14ac:dyDescent="0.25">
      <c r="A750" s="19">
        <v>41602</v>
      </c>
      <c r="B750" s="20">
        <v>2.9861111111111113E-2</v>
      </c>
      <c r="C750" t="str">
        <f t="shared" si="77"/>
        <v>13</v>
      </c>
      <c r="D750" t="str">
        <f t="shared" si="78"/>
        <v>11</v>
      </c>
      <c r="E750" t="str">
        <f t="shared" si="79"/>
        <v>24</v>
      </c>
      <c r="F750">
        <f t="shared" si="80"/>
        <v>2013</v>
      </c>
      <c r="G750">
        <f t="shared" si="81"/>
        <v>11</v>
      </c>
      <c r="H750">
        <f t="shared" si="82"/>
        <v>24</v>
      </c>
      <c r="I750" t="str">
        <f t="shared" si="83"/>
        <v>13</v>
      </c>
    </row>
    <row r="751" spans="1:9" x14ac:dyDescent="0.25">
      <c r="A751" s="19">
        <v>42098</v>
      </c>
      <c r="B751" s="20">
        <v>4.791666666666667E-2</v>
      </c>
      <c r="C751" t="str">
        <f t="shared" si="77"/>
        <v>15</v>
      </c>
      <c r="D751" t="str">
        <f t="shared" si="78"/>
        <v>04</v>
      </c>
      <c r="E751" t="str">
        <f t="shared" si="79"/>
        <v>04</v>
      </c>
      <c r="F751">
        <f t="shared" si="80"/>
        <v>2015</v>
      </c>
      <c r="G751">
        <f t="shared" si="81"/>
        <v>4</v>
      </c>
      <c r="H751">
        <f t="shared" si="82"/>
        <v>4</v>
      </c>
      <c r="I751" t="str">
        <f t="shared" si="83"/>
        <v>15</v>
      </c>
    </row>
    <row r="752" spans="1:9" x14ac:dyDescent="0.25">
      <c r="A752" s="19">
        <v>42588</v>
      </c>
      <c r="B752" s="20">
        <v>0.97152777777777777</v>
      </c>
      <c r="C752" t="str">
        <f t="shared" si="77"/>
        <v>16</v>
      </c>
      <c r="D752" t="str">
        <f t="shared" si="78"/>
        <v>08</v>
      </c>
      <c r="E752" t="str">
        <f t="shared" si="79"/>
        <v>06</v>
      </c>
      <c r="F752">
        <f t="shared" si="80"/>
        <v>2016</v>
      </c>
      <c r="G752">
        <f t="shared" si="81"/>
        <v>8</v>
      </c>
      <c r="H752">
        <f t="shared" si="82"/>
        <v>6</v>
      </c>
      <c r="I752" t="str">
        <f t="shared" si="83"/>
        <v>16</v>
      </c>
    </row>
    <row r="753" spans="1:9" x14ac:dyDescent="0.25">
      <c r="A753" s="19">
        <v>41826</v>
      </c>
      <c r="B753" s="20">
        <v>0.97569444444444442</v>
      </c>
      <c r="C753" t="str">
        <f t="shared" si="77"/>
        <v>14</v>
      </c>
      <c r="D753" t="str">
        <f t="shared" si="78"/>
        <v>07</v>
      </c>
      <c r="E753" t="str">
        <f t="shared" si="79"/>
        <v>06</v>
      </c>
      <c r="F753">
        <f t="shared" si="80"/>
        <v>2014</v>
      </c>
      <c r="G753">
        <f t="shared" si="81"/>
        <v>7</v>
      </c>
      <c r="H753">
        <f t="shared" si="82"/>
        <v>6</v>
      </c>
      <c r="I753" t="str">
        <f t="shared" si="83"/>
        <v>14</v>
      </c>
    </row>
    <row r="754" spans="1:9" x14ac:dyDescent="0.25">
      <c r="A754" s="19">
        <v>42318</v>
      </c>
      <c r="B754" s="20">
        <v>0.99027777777777781</v>
      </c>
      <c r="C754" t="str">
        <f t="shared" si="77"/>
        <v>15</v>
      </c>
      <c r="D754" t="str">
        <f t="shared" si="78"/>
        <v>11</v>
      </c>
      <c r="E754" t="str">
        <f t="shared" si="79"/>
        <v>10</v>
      </c>
      <c r="F754">
        <f t="shared" si="80"/>
        <v>2015</v>
      </c>
      <c r="G754">
        <f t="shared" si="81"/>
        <v>11</v>
      </c>
      <c r="H754">
        <f t="shared" si="82"/>
        <v>10</v>
      </c>
      <c r="I754" t="str">
        <f t="shared" si="83"/>
        <v>15</v>
      </c>
    </row>
    <row r="755" spans="1:9" x14ac:dyDescent="0.25">
      <c r="A755" s="19">
        <v>42030</v>
      </c>
      <c r="B755" s="20">
        <v>6.2500000000000003E-3</v>
      </c>
      <c r="C755" t="str">
        <f t="shared" si="77"/>
        <v>15</v>
      </c>
      <c r="D755" t="str">
        <f t="shared" si="78"/>
        <v>01</v>
      </c>
      <c r="E755" t="str">
        <f t="shared" si="79"/>
        <v>26</v>
      </c>
      <c r="F755">
        <f t="shared" si="80"/>
        <v>2015</v>
      </c>
      <c r="G755">
        <f t="shared" si="81"/>
        <v>1</v>
      </c>
      <c r="H755">
        <f t="shared" si="82"/>
        <v>26</v>
      </c>
      <c r="I755" t="str">
        <f t="shared" si="83"/>
        <v>15</v>
      </c>
    </row>
    <row r="756" spans="1:9" x14ac:dyDescent="0.25">
      <c r="A756" s="19">
        <v>41291</v>
      </c>
      <c r="B756" s="20">
        <v>1.0416666666666666E-2</v>
      </c>
      <c r="C756" t="str">
        <f t="shared" si="77"/>
        <v>13</v>
      </c>
      <c r="D756" t="str">
        <f t="shared" si="78"/>
        <v>01</v>
      </c>
      <c r="E756" t="str">
        <f t="shared" si="79"/>
        <v>17</v>
      </c>
      <c r="F756">
        <f t="shared" si="80"/>
        <v>2013</v>
      </c>
      <c r="G756">
        <f t="shared" si="81"/>
        <v>1</v>
      </c>
      <c r="H756">
        <f t="shared" si="82"/>
        <v>17</v>
      </c>
      <c r="I756" t="str">
        <f t="shared" si="83"/>
        <v>13</v>
      </c>
    </row>
    <row r="757" spans="1:9" x14ac:dyDescent="0.25">
      <c r="A757" s="19">
        <v>41094</v>
      </c>
      <c r="B757" s="20">
        <v>0.05</v>
      </c>
      <c r="C757" t="str">
        <f t="shared" si="77"/>
        <v>12</v>
      </c>
      <c r="D757" t="str">
        <f t="shared" si="78"/>
        <v>07</v>
      </c>
      <c r="E757" t="str">
        <f t="shared" si="79"/>
        <v>04</v>
      </c>
      <c r="F757">
        <f t="shared" si="80"/>
        <v>2012</v>
      </c>
      <c r="G757">
        <f t="shared" si="81"/>
        <v>7</v>
      </c>
      <c r="H757">
        <f t="shared" si="82"/>
        <v>4</v>
      </c>
      <c r="I757" t="str">
        <f t="shared" si="83"/>
        <v>12</v>
      </c>
    </row>
    <row r="758" spans="1:9" x14ac:dyDescent="0.25">
      <c r="A758" s="19">
        <v>41062</v>
      </c>
      <c r="B758" s="20">
        <v>1.6666666666666666E-2</v>
      </c>
      <c r="C758" t="str">
        <f t="shared" si="77"/>
        <v>12</v>
      </c>
      <c r="D758" t="str">
        <f t="shared" si="78"/>
        <v>06</v>
      </c>
      <c r="E758" t="str">
        <f t="shared" si="79"/>
        <v>02</v>
      </c>
      <c r="F758">
        <f t="shared" si="80"/>
        <v>2012</v>
      </c>
      <c r="G758">
        <f t="shared" si="81"/>
        <v>6</v>
      </c>
      <c r="H758">
        <f t="shared" si="82"/>
        <v>2</v>
      </c>
      <c r="I758" t="str">
        <f t="shared" si="83"/>
        <v>12</v>
      </c>
    </row>
    <row r="759" spans="1:9" x14ac:dyDescent="0.25">
      <c r="A759" s="19">
        <v>41816</v>
      </c>
      <c r="B759" s="20">
        <v>7.0833333333333331E-2</v>
      </c>
      <c r="C759" t="str">
        <f t="shared" si="77"/>
        <v>14</v>
      </c>
      <c r="D759" t="str">
        <f t="shared" si="78"/>
        <v>06</v>
      </c>
      <c r="E759" t="str">
        <f t="shared" si="79"/>
        <v>26</v>
      </c>
      <c r="F759">
        <f t="shared" si="80"/>
        <v>2014</v>
      </c>
      <c r="G759">
        <f t="shared" si="81"/>
        <v>6</v>
      </c>
      <c r="H759">
        <f t="shared" si="82"/>
        <v>26</v>
      </c>
      <c r="I759" t="str">
        <f t="shared" si="83"/>
        <v>14</v>
      </c>
    </row>
    <row r="760" spans="1:9" x14ac:dyDescent="0.25">
      <c r="A760" s="19">
        <v>40955</v>
      </c>
      <c r="B760" s="20">
        <v>1.5972222222222221E-2</v>
      </c>
      <c r="C760" t="str">
        <f t="shared" si="77"/>
        <v>12</v>
      </c>
      <c r="D760" t="str">
        <f t="shared" si="78"/>
        <v>02</v>
      </c>
      <c r="E760" t="str">
        <f t="shared" si="79"/>
        <v>16</v>
      </c>
      <c r="F760">
        <f t="shared" si="80"/>
        <v>2012</v>
      </c>
      <c r="G760">
        <f t="shared" si="81"/>
        <v>2</v>
      </c>
      <c r="H760">
        <f t="shared" si="82"/>
        <v>16</v>
      </c>
      <c r="I760" t="str">
        <f t="shared" si="83"/>
        <v>12</v>
      </c>
    </row>
    <row r="761" spans="1:9" x14ac:dyDescent="0.25">
      <c r="A761" s="19">
        <v>41521</v>
      </c>
      <c r="B761" s="20">
        <v>0.99236111111111114</v>
      </c>
      <c r="C761" t="str">
        <f t="shared" si="77"/>
        <v>13</v>
      </c>
      <c r="D761" t="str">
        <f t="shared" si="78"/>
        <v>09</v>
      </c>
      <c r="E761" t="str">
        <f t="shared" si="79"/>
        <v>04</v>
      </c>
      <c r="F761">
        <f t="shared" si="80"/>
        <v>2013</v>
      </c>
      <c r="G761">
        <f t="shared" si="81"/>
        <v>9</v>
      </c>
      <c r="H761">
        <f t="shared" si="82"/>
        <v>4</v>
      </c>
      <c r="I761" t="str">
        <f t="shared" si="83"/>
        <v>13</v>
      </c>
    </row>
    <row r="762" spans="1:9" x14ac:dyDescent="0.25">
      <c r="A762" s="19">
        <v>41503</v>
      </c>
      <c r="B762" s="20">
        <v>5.347222222222222E-2</v>
      </c>
      <c r="C762" t="str">
        <f t="shared" si="77"/>
        <v>13</v>
      </c>
      <c r="D762" t="str">
        <f t="shared" si="78"/>
        <v>08</v>
      </c>
      <c r="E762" t="str">
        <f t="shared" si="79"/>
        <v>17</v>
      </c>
      <c r="F762">
        <f t="shared" si="80"/>
        <v>2013</v>
      </c>
      <c r="G762">
        <f t="shared" si="81"/>
        <v>8</v>
      </c>
      <c r="H762">
        <f t="shared" si="82"/>
        <v>17</v>
      </c>
      <c r="I762" t="str">
        <f t="shared" si="83"/>
        <v>13</v>
      </c>
    </row>
    <row r="763" spans="1:9" x14ac:dyDescent="0.25">
      <c r="A763" s="19">
        <v>41129</v>
      </c>
      <c r="B763" s="20">
        <v>8.3333333333333329E-2</v>
      </c>
      <c r="C763" t="str">
        <f t="shared" si="77"/>
        <v>12</v>
      </c>
      <c r="D763" t="str">
        <f t="shared" si="78"/>
        <v>08</v>
      </c>
      <c r="E763" t="str">
        <f t="shared" si="79"/>
        <v>08</v>
      </c>
      <c r="F763">
        <f t="shared" si="80"/>
        <v>2012</v>
      </c>
      <c r="G763">
        <f t="shared" si="81"/>
        <v>8</v>
      </c>
      <c r="H763">
        <f t="shared" si="82"/>
        <v>8</v>
      </c>
      <c r="I763" t="str">
        <f t="shared" si="83"/>
        <v>12</v>
      </c>
    </row>
    <row r="764" spans="1:9" x14ac:dyDescent="0.25">
      <c r="A764" s="19">
        <v>41065</v>
      </c>
      <c r="B764" s="20">
        <v>3.5416666666666666E-2</v>
      </c>
      <c r="C764" t="str">
        <f t="shared" si="77"/>
        <v>12</v>
      </c>
      <c r="D764" t="str">
        <f t="shared" si="78"/>
        <v>06</v>
      </c>
      <c r="E764" t="str">
        <f t="shared" si="79"/>
        <v>05</v>
      </c>
      <c r="F764">
        <f t="shared" si="80"/>
        <v>2012</v>
      </c>
      <c r="G764">
        <f t="shared" si="81"/>
        <v>6</v>
      </c>
      <c r="H764">
        <f t="shared" si="82"/>
        <v>5</v>
      </c>
      <c r="I764" t="str">
        <f t="shared" si="83"/>
        <v>12</v>
      </c>
    </row>
    <row r="765" spans="1:9" x14ac:dyDescent="0.25">
      <c r="A765" s="19">
        <v>41190</v>
      </c>
      <c r="B765" s="20">
        <v>3.3333333333333333E-2</v>
      </c>
      <c r="C765" t="str">
        <f t="shared" si="77"/>
        <v>12</v>
      </c>
      <c r="D765" t="str">
        <f t="shared" si="78"/>
        <v>10</v>
      </c>
      <c r="E765" t="str">
        <f t="shared" si="79"/>
        <v>08</v>
      </c>
      <c r="F765">
        <f t="shared" si="80"/>
        <v>2012</v>
      </c>
      <c r="G765">
        <f t="shared" si="81"/>
        <v>10</v>
      </c>
      <c r="H765">
        <f t="shared" si="82"/>
        <v>8</v>
      </c>
      <c r="I765" t="str">
        <f t="shared" si="83"/>
        <v>12</v>
      </c>
    </row>
    <row r="766" spans="1:9" x14ac:dyDescent="0.25">
      <c r="A766" s="19">
        <v>41587</v>
      </c>
      <c r="B766" s="20">
        <v>6.805555555555555E-2</v>
      </c>
      <c r="C766" t="str">
        <f t="shared" si="77"/>
        <v>13</v>
      </c>
      <c r="D766" t="str">
        <f t="shared" si="78"/>
        <v>11</v>
      </c>
      <c r="E766" t="str">
        <f t="shared" si="79"/>
        <v>09</v>
      </c>
      <c r="F766">
        <f t="shared" si="80"/>
        <v>2013</v>
      </c>
      <c r="G766">
        <f t="shared" si="81"/>
        <v>11</v>
      </c>
      <c r="H766">
        <f t="shared" si="82"/>
        <v>9</v>
      </c>
      <c r="I766" t="str">
        <f t="shared" si="83"/>
        <v>13</v>
      </c>
    </row>
    <row r="767" spans="1:9" x14ac:dyDescent="0.25">
      <c r="A767" s="19">
        <v>41346</v>
      </c>
      <c r="B767" s="20">
        <v>4.4444444444444446E-2</v>
      </c>
      <c r="C767" t="str">
        <f t="shared" si="77"/>
        <v>13</v>
      </c>
      <c r="D767" t="str">
        <f t="shared" si="78"/>
        <v>03</v>
      </c>
      <c r="E767" t="str">
        <f t="shared" si="79"/>
        <v>13</v>
      </c>
      <c r="F767">
        <f t="shared" si="80"/>
        <v>2013</v>
      </c>
      <c r="G767">
        <f t="shared" si="81"/>
        <v>3</v>
      </c>
      <c r="H767">
        <f t="shared" si="82"/>
        <v>13</v>
      </c>
      <c r="I767" t="str">
        <f t="shared" si="83"/>
        <v>13</v>
      </c>
    </row>
    <row r="768" spans="1:9" x14ac:dyDescent="0.25">
      <c r="A768" s="19">
        <v>41721</v>
      </c>
      <c r="B768" s="20">
        <v>2.7777777777777779E-3</v>
      </c>
      <c r="C768" t="str">
        <f t="shared" si="77"/>
        <v>14</v>
      </c>
      <c r="D768" t="str">
        <f t="shared" si="78"/>
        <v>03</v>
      </c>
      <c r="E768" t="str">
        <f t="shared" si="79"/>
        <v>23</v>
      </c>
      <c r="F768">
        <f t="shared" si="80"/>
        <v>2014</v>
      </c>
      <c r="G768">
        <f t="shared" si="81"/>
        <v>3</v>
      </c>
      <c r="H768">
        <f t="shared" si="82"/>
        <v>23</v>
      </c>
      <c r="I768" t="str">
        <f t="shared" si="83"/>
        <v>14</v>
      </c>
    </row>
    <row r="769" spans="1:9" x14ac:dyDescent="0.25">
      <c r="A769" s="19">
        <v>42547</v>
      </c>
      <c r="B769" s="20">
        <v>2.013888888888889E-2</v>
      </c>
      <c r="C769" t="str">
        <f t="shared" si="77"/>
        <v>16</v>
      </c>
      <c r="D769" t="str">
        <f t="shared" si="78"/>
        <v>06</v>
      </c>
      <c r="E769" t="str">
        <f t="shared" si="79"/>
        <v>26</v>
      </c>
      <c r="F769">
        <f t="shared" si="80"/>
        <v>2016</v>
      </c>
      <c r="G769">
        <f t="shared" si="81"/>
        <v>6</v>
      </c>
      <c r="H769">
        <f t="shared" si="82"/>
        <v>26</v>
      </c>
      <c r="I769" t="str">
        <f t="shared" si="83"/>
        <v>16</v>
      </c>
    </row>
    <row r="770" spans="1:9" x14ac:dyDescent="0.25">
      <c r="A770" s="19">
        <v>42154</v>
      </c>
      <c r="B770" s="20">
        <v>0.9555555555555556</v>
      </c>
      <c r="C770" t="str">
        <f t="shared" si="77"/>
        <v>15</v>
      </c>
      <c r="D770" t="str">
        <f t="shared" si="78"/>
        <v>05</v>
      </c>
      <c r="E770" t="str">
        <f t="shared" si="79"/>
        <v>30</v>
      </c>
      <c r="F770">
        <f t="shared" si="80"/>
        <v>2015</v>
      </c>
      <c r="G770">
        <f t="shared" si="81"/>
        <v>5</v>
      </c>
      <c r="H770">
        <f t="shared" si="82"/>
        <v>30</v>
      </c>
      <c r="I770" t="str">
        <f t="shared" si="83"/>
        <v>15</v>
      </c>
    </row>
    <row r="771" spans="1:9" x14ac:dyDescent="0.25">
      <c r="A771" s="19">
        <v>41762</v>
      </c>
      <c r="B771" s="20">
        <v>0.96875</v>
      </c>
      <c r="C771" t="str">
        <f t="shared" ref="C771:C834" si="84">TEXT(A771,"YY")</f>
        <v>14</v>
      </c>
      <c r="D771" t="str">
        <f t="shared" ref="D771:D834" si="85">TEXT(A771,"mm")</f>
        <v>05</v>
      </c>
      <c r="E771" t="str">
        <f t="shared" ref="E771:E834" si="86">TEXT(A771,"dd")</f>
        <v>03</v>
      </c>
      <c r="F771">
        <f t="shared" ref="F771:F834" si="87">YEAR($A771)</f>
        <v>2014</v>
      </c>
      <c r="G771">
        <f t="shared" ref="G771:G834" si="88">MONTH($A771)</f>
        <v>5</v>
      </c>
      <c r="H771">
        <f t="shared" ref="H771:H834" si="89">DAY($A771)</f>
        <v>3</v>
      </c>
      <c r="I771" t="str">
        <f t="shared" ref="I771:I834" si="90">TEXT($A771,"YY")</f>
        <v>14</v>
      </c>
    </row>
    <row r="772" spans="1:9" x14ac:dyDescent="0.25">
      <c r="A772" s="19">
        <v>41441</v>
      </c>
      <c r="B772" s="20">
        <v>2.361111111111111E-2</v>
      </c>
      <c r="C772" t="str">
        <f t="shared" si="84"/>
        <v>13</v>
      </c>
      <c r="D772" t="str">
        <f t="shared" si="85"/>
        <v>06</v>
      </c>
      <c r="E772" t="str">
        <f t="shared" si="86"/>
        <v>16</v>
      </c>
      <c r="F772">
        <f t="shared" si="87"/>
        <v>2013</v>
      </c>
      <c r="G772">
        <f t="shared" si="88"/>
        <v>6</v>
      </c>
      <c r="H772">
        <f t="shared" si="89"/>
        <v>16</v>
      </c>
      <c r="I772" t="str">
        <f t="shared" si="90"/>
        <v>13</v>
      </c>
    </row>
    <row r="773" spans="1:9" x14ac:dyDescent="0.25">
      <c r="A773" s="19">
        <v>42257</v>
      </c>
      <c r="B773" s="20">
        <v>3.6111111111111108E-2</v>
      </c>
      <c r="C773" t="str">
        <f t="shared" si="84"/>
        <v>15</v>
      </c>
      <c r="D773" t="str">
        <f t="shared" si="85"/>
        <v>09</v>
      </c>
      <c r="E773" t="str">
        <f t="shared" si="86"/>
        <v>10</v>
      </c>
      <c r="F773">
        <f t="shared" si="87"/>
        <v>2015</v>
      </c>
      <c r="G773">
        <f t="shared" si="88"/>
        <v>9</v>
      </c>
      <c r="H773">
        <f t="shared" si="89"/>
        <v>10</v>
      </c>
      <c r="I773" t="str">
        <f t="shared" si="90"/>
        <v>15</v>
      </c>
    </row>
    <row r="774" spans="1:9" x14ac:dyDescent="0.25">
      <c r="A774" s="19">
        <v>41577</v>
      </c>
      <c r="B774" s="20">
        <v>0.96736111111111112</v>
      </c>
      <c r="C774" t="str">
        <f t="shared" si="84"/>
        <v>13</v>
      </c>
      <c r="D774" t="str">
        <f t="shared" si="85"/>
        <v>10</v>
      </c>
      <c r="E774" t="str">
        <f t="shared" si="86"/>
        <v>30</v>
      </c>
      <c r="F774">
        <f t="shared" si="87"/>
        <v>2013</v>
      </c>
      <c r="G774">
        <f t="shared" si="88"/>
        <v>10</v>
      </c>
      <c r="H774">
        <f t="shared" si="89"/>
        <v>30</v>
      </c>
      <c r="I774" t="str">
        <f t="shared" si="90"/>
        <v>13</v>
      </c>
    </row>
    <row r="775" spans="1:9" x14ac:dyDescent="0.25">
      <c r="A775" s="19">
        <v>41506</v>
      </c>
      <c r="B775" s="20">
        <v>4.583333333333333E-2</v>
      </c>
      <c r="C775" t="str">
        <f t="shared" si="84"/>
        <v>13</v>
      </c>
      <c r="D775" t="str">
        <f t="shared" si="85"/>
        <v>08</v>
      </c>
      <c r="E775" t="str">
        <f t="shared" si="86"/>
        <v>20</v>
      </c>
      <c r="F775">
        <f t="shared" si="87"/>
        <v>2013</v>
      </c>
      <c r="G775">
        <f t="shared" si="88"/>
        <v>8</v>
      </c>
      <c r="H775">
        <f t="shared" si="89"/>
        <v>20</v>
      </c>
      <c r="I775" t="str">
        <f t="shared" si="90"/>
        <v>13</v>
      </c>
    </row>
    <row r="776" spans="1:9" x14ac:dyDescent="0.25">
      <c r="A776" s="19">
        <v>41478</v>
      </c>
      <c r="B776" s="20">
        <v>0.97638888888888886</v>
      </c>
      <c r="C776" t="str">
        <f t="shared" si="84"/>
        <v>13</v>
      </c>
      <c r="D776" t="str">
        <f t="shared" si="85"/>
        <v>07</v>
      </c>
      <c r="E776" t="str">
        <f t="shared" si="86"/>
        <v>23</v>
      </c>
      <c r="F776">
        <f t="shared" si="87"/>
        <v>2013</v>
      </c>
      <c r="G776">
        <f t="shared" si="88"/>
        <v>7</v>
      </c>
      <c r="H776">
        <f t="shared" si="89"/>
        <v>23</v>
      </c>
      <c r="I776" t="str">
        <f t="shared" si="90"/>
        <v>13</v>
      </c>
    </row>
    <row r="777" spans="1:9" x14ac:dyDescent="0.25">
      <c r="A777" s="19">
        <v>41026</v>
      </c>
      <c r="B777" s="20">
        <v>0.99861111111111112</v>
      </c>
      <c r="C777" t="str">
        <f t="shared" si="84"/>
        <v>12</v>
      </c>
      <c r="D777" t="str">
        <f t="shared" si="85"/>
        <v>04</v>
      </c>
      <c r="E777" t="str">
        <f t="shared" si="86"/>
        <v>27</v>
      </c>
      <c r="F777">
        <f t="shared" si="87"/>
        <v>2012</v>
      </c>
      <c r="G777">
        <f t="shared" si="88"/>
        <v>4</v>
      </c>
      <c r="H777">
        <f t="shared" si="89"/>
        <v>27</v>
      </c>
      <c r="I777" t="str">
        <f t="shared" si="90"/>
        <v>12</v>
      </c>
    </row>
    <row r="778" spans="1:9" x14ac:dyDescent="0.25">
      <c r="A778" s="19">
        <v>41841</v>
      </c>
      <c r="B778" s="20">
        <v>0.94097222222222221</v>
      </c>
      <c r="C778" t="str">
        <f t="shared" si="84"/>
        <v>14</v>
      </c>
      <c r="D778" t="str">
        <f t="shared" si="85"/>
        <v>07</v>
      </c>
      <c r="E778" t="str">
        <f t="shared" si="86"/>
        <v>21</v>
      </c>
      <c r="F778">
        <f t="shared" si="87"/>
        <v>2014</v>
      </c>
      <c r="G778">
        <f t="shared" si="88"/>
        <v>7</v>
      </c>
      <c r="H778">
        <f t="shared" si="89"/>
        <v>21</v>
      </c>
      <c r="I778" t="str">
        <f t="shared" si="90"/>
        <v>14</v>
      </c>
    </row>
    <row r="779" spans="1:9" x14ac:dyDescent="0.25">
      <c r="A779" s="19">
        <v>41555</v>
      </c>
      <c r="B779" s="20">
        <v>3.9583333333333331E-2</v>
      </c>
      <c r="C779" t="str">
        <f t="shared" si="84"/>
        <v>13</v>
      </c>
      <c r="D779" t="str">
        <f t="shared" si="85"/>
        <v>10</v>
      </c>
      <c r="E779" t="str">
        <f t="shared" si="86"/>
        <v>08</v>
      </c>
      <c r="F779">
        <f t="shared" si="87"/>
        <v>2013</v>
      </c>
      <c r="G779">
        <f t="shared" si="88"/>
        <v>10</v>
      </c>
      <c r="H779">
        <f t="shared" si="89"/>
        <v>8</v>
      </c>
      <c r="I779" t="str">
        <f t="shared" si="90"/>
        <v>13</v>
      </c>
    </row>
    <row r="780" spans="1:9" x14ac:dyDescent="0.25">
      <c r="A780" s="19">
        <v>41649</v>
      </c>
      <c r="B780" s="20">
        <v>1.1805555555555555E-2</v>
      </c>
      <c r="C780" t="str">
        <f t="shared" si="84"/>
        <v>14</v>
      </c>
      <c r="D780" t="str">
        <f t="shared" si="85"/>
        <v>01</v>
      </c>
      <c r="E780" t="str">
        <f t="shared" si="86"/>
        <v>10</v>
      </c>
      <c r="F780">
        <f t="shared" si="87"/>
        <v>2014</v>
      </c>
      <c r="G780">
        <f t="shared" si="88"/>
        <v>1</v>
      </c>
      <c r="H780">
        <f t="shared" si="89"/>
        <v>10</v>
      </c>
      <c r="I780" t="str">
        <f t="shared" si="90"/>
        <v>14</v>
      </c>
    </row>
    <row r="781" spans="1:9" x14ac:dyDescent="0.25">
      <c r="A781" s="19">
        <v>42675</v>
      </c>
      <c r="B781" s="20">
        <v>1.4583333333333334E-2</v>
      </c>
      <c r="C781" t="str">
        <f t="shared" si="84"/>
        <v>16</v>
      </c>
      <c r="D781" t="str">
        <f t="shared" si="85"/>
        <v>11</v>
      </c>
      <c r="E781" t="str">
        <f t="shared" si="86"/>
        <v>01</v>
      </c>
      <c r="F781">
        <f t="shared" si="87"/>
        <v>2016</v>
      </c>
      <c r="G781">
        <f t="shared" si="88"/>
        <v>11</v>
      </c>
      <c r="H781">
        <f t="shared" si="89"/>
        <v>1</v>
      </c>
      <c r="I781" t="str">
        <f t="shared" si="90"/>
        <v>16</v>
      </c>
    </row>
    <row r="782" spans="1:9" x14ac:dyDescent="0.25">
      <c r="A782" s="19">
        <v>41242</v>
      </c>
      <c r="B782" s="20">
        <v>7.7777777777777779E-2</v>
      </c>
      <c r="C782" t="str">
        <f t="shared" si="84"/>
        <v>12</v>
      </c>
      <c r="D782" t="str">
        <f t="shared" si="85"/>
        <v>11</v>
      </c>
      <c r="E782" t="str">
        <f t="shared" si="86"/>
        <v>29</v>
      </c>
      <c r="F782">
        <f t="shared" si="87"/>
        <v>2012</v>
      </c>
      <c r="G782">
        <f t="shared" si="88"/>
        <v>11</v>
      </c>
      <c r="H782">
        <f t="shared" si="89"/>
        <v>29</v>
      </c>
      <c r="I782" t="str">
        <f t="shared" si="90"/>
        <v>12</v>
      </c>
    </row>
    <row r="783" spans="1:9" x14ac:dyDescent="0.25">
      <c r="A783" s="19">
        <v>41766</v>
      </c>
      <c r="B783" s="20">
        <v>1.9444444444444445E-2</v>
      </c>
      <c r="C783" t="str">
        <f t="shared" si="84"/>
        <v>14</v>
      </c>
      <c r="D783" t="str">
        <f t="shared" si="85"/>
        <v>05</v>
      </c>
      <c r="E783" t="str">
        <f t="shared" si="86"/>
        <v>07</v>
      </c>
      <c r="F783">
        <f t="shared" si="87"/>
        <v>2014</v>
      </c>
      <c r="G783">
        <f t="shared" si="88"/>
        <v>5</v>
      </c>
      <c r="H783">
        <f t="shared" si="89"/>
        <v>7</v>
      </c>
      <c r="I783" t="str">
        <f t="shared" si="90"/>
        <v>14</v>
      </c>
    </row>
    <row r="784" spans="1:9" x14ac:dyDescent="0.25">
      <c r="A784" s="19">
        <v>41608</v>
      </c>
      <c r="B784" s="20">
        <v>1.5277777777777777E-2</v>
      </c>
      <c r="C784" t="str">
        <f t="shared" si="84"/>
        <v>13</v>
      </c>
      <c r="D784" t="str">
        <f t="shared" si="85"/>
        <v>11</v>
      </c>
      <c r="E784" t="str">
        <f t="shared" si="86"/>
        <v>30</v>
      </c>
      <c r="F784">
        <f t="shared" si="87"/>
        <v>2013</v>
      </c>
      <c r="G784">
        <f t="shared" si="88"/>
        <v>11</v>
      </c>
      <c r="H784">
        <f t="shared" si="89"/>
        <v>30</v>
      </c>
      <c r="I784" t="str">
        <f t="shared" si="90"/>
        <v>13</v>
      </c>
    </row>
    <row r="785" spans="1:9" x14ac:dyDescent="0.25">
      <c r="A785" s="19">
        <v>41584</v>
      </c>
      <c r="B785" s="20">
        <v>1.8055555555555554E-2</v>
      </c>
      <c r="C785" t="str">
        <f t="shared" si="84"/>
        <v>13</v>
      </c>
      <c r="D785" t="str">
        <f t="shared" si="85"/>
        <v>11</v>
      </c>
      <c r="E785" t="str">
        <f t="shared" si="86"/>
        <v>06</v>
      </c>
      <c r="F785">
        <f t="shared" si="87"/>
        <v>2013</v>
      </c>
      <c r="G785">
        <f t="shared" si="88"/>
        <v>11</v>
      </c>
      <c r="H785">
        <f t="shared" si="89"/>
        <v>6</v>
      </c>
      <c r="I785" t="str">
        <f t="shared" si="90"/>
        <v>13</v>
      </c>
    </row>
    <row r="786" spans="1:9" x14ac:dyDescent="0.25">
      <c r="A786" s="19">
        <v>41631</v>
      </c>
      <c r="B786" s="20">
        <v>1.5972222222222221E-2</v>
      </c>
      <c r="C786" t="str">
        <f t="shared" si="84"/>
        <v>13</v>
      </c>
      <c r="D786" t="str">
        <f t="shared" si="85"/>
        <v>12</v>
      </c>
      <c r="E786" t="str">
        <f t="shared" si="86"/>
        <v>23</v>
      </c>
      <c r="F786">
        <f t="shared" si="87"/>
        <v>2013</v>
      </c>
      <c r="G786">
        <f t="shared" si="88"/>
        <v>12</v>
      </c>
      <c r="H786">
        <f t="shared" si="89"/>
        <v>23</v>
      </c>
      <c r="I786" t="str">
        <f t="shared" si="90"/>
        <v>13</v>
      </c>
    </row>
    <row r="787" spans="1:9" x14ac:dyDescent="0.25">
      <c r="A787" s="19">
        <v>41118</v>
      </c>
      <c r="B787" s="20">
        <v>0.99861111111111112</v>
      </c>
      <c r="C787" t="str">
        <f t="shared" si="84"/>
        <v>12</v>
      </c>
      <c r="D787" t="str">
        <f t="shared" si="85"/>
        <v>07</v>
      </c>
      <c r="E787" t="str">
        <f t="shared" si="86"/>
        <v>28</v>
      </c>
      <c r="F787">
        <f t="shared" si="87"/>
        <v>2012</v>
      </c>
      <c r="G787">
        <f t="shared" si="88"/>
        <v>7</v>
      </c>
      <c r="H787">
        <f t="shared" si="89"/>
        <v>28</v>
      </c>
      <c r="I787" t="str">
        <f t="shared" si="90"/>
        <v>12</v>
      </c>
    </row>
    <row r="788" spans="1:9" x14ac:dyDescent="0.25">
      <c r="A788" s="19">
        <v>41204</v>
      </c>
      <c r="B788" s="20">
        <v>0.99722222222222223</v>
      </c>
      <c r="C788" t="str">
        <f t="shared" si="84"/>
        <v>12</v>
      </c>
      <c r="D788" t="str">
        <f t="shared" si="85"/>
        <v>10</v>
      </c>
      <c r="E788" t="str">
        <f t="shared" si="86"/>
        <v>22</v>
      </c>
      <c r="F788">
        <f t="shared" si="87"/>
        <v>2012</v>
      </c>
      <c r="G788">
        <f t="shared" si="88"/>
        <v>10</v>
      </c>
      <c r="H788">
        <f t="shared" si="89"/>
        <v>22</v>
      </c>
      <c r="I788" t="str">
        <f t="shared" si="90"/>
        <v>12</v>
      </c>
    </row>
    <row r="789" spans="1:9" x14ac:dyDescent="0.25">
      <c r="A789" s="19">
        <v>41634</v>
      </c>
      <c r="B789" s="20">
        <v>9.0277777777777769E-3</v>
      </c>
      <c r="C789" t="str">
        <f t="shared" si="84"/>
        <v>13</v>
      </c>
      <c r="D789" t="str">
        <f t="shared" si="85"/>
        <v>12</v>
      </c>
      <c r="E789" t="str">
        <f t="shared" si="86"/>
        <v>26</v>
      </c>
      <c r="F789">
        <f t="shared" si="87"/>
        <v>2013</v>
      </c>
      <c r="G789">
        <f t="shared" si="88"/>
        <v>12</v>
      </c>
      <c r="H789">
        <f t="shared" si="89"/>
        <v>26</v>
      </c>
      <c r="I789" t="str">
        <f t="shared" si="90"/>
        <v>13</v>
      </c>
    </row>
    <row r="790" spans="1:9" x14ac:dyDescent="0.25">
      <c r="A790" s="19">
        <v>41165</v>
      </c>
      <c r="B790" s="20">
        <v>1.8749999999999999E-2</v>
      </c>
      <c r="C790" t="str">
        <f t="shared" si="84"/>
        <v>12</v>
      </c>
      <c r="D790" t="str">
        <f t="shared" si="85"/>
        <v>09</v>
      </c>
      <c r="E790" t="str">
        <f t="shared" si="86"/>
        <v>13</v>
      </c>
      <c r="F790">
        <f t="shared" si="87"/>
        <v>2012</v>
      </c>
      <c r="G790">
        <f t="shared" si="88"/>
        <v>9</v>
      </c>
      <c r="H790">
        <f t="shared" si="89"/>
        <v>13</v>
      </c>
      <c r="I790" t="str">
        <f t="shared" si="90"/>
        <v>12</v>
      </c>
    </row>
    <row r="791" spans="1:9" x14ac:dyDescent="0.25">
      <c r="A791" s="19">
        <v>41440</v>
      </c>
      <c r="B791" s="20">
        <v>0.98958333333333337</v>
      </c>
      <c r="C791" t="str">
        <f t="shared" si="84"/>
        <v>13</v>
      </c>
      <c r="D791" t="str">
        <f t="shared" si="85"/>
        <v>06</v>
      </c>
      <c r="E791" t="str">
        <f t="shared" si="86"/>
        <v>15</v>
      </c>
      <c r="F791">
        <f t="shared" si="87"/>
        <v>2013</v>
      </c>
      <c r="G791">
        <f t="shared" si="88"/>
        <v>6</v>
      </c>
      <c r="H791">
        <f t="shared" si="89"/>
        <v>15</v>
      </c>
      <c r="I791" t="str">
        <f t="shared" si="90"/>
        <v>13</v>
      </c>
    </row>
    <row r="792" spans="1:9" x14ac:dyDescent="0.25">
      <c r="A792" s="19">
        <v>41129</v>
      </c>
      <c r="B792" s="20">
        <v>2.361111111111111E-2</v>
      </c>
      <c r="C792" t="str">
        <f t="shared" si="84"/>
        <v>12</v>
      </c>
      <c r="D792" t="str">
        <f t="shared" si="85"/>
        <v>08</v>
      </c>
      <c r="E792" t="str">
        <f t="shared" si="86"/>
        <v>08</v>
      </c>
      <c r="F792">
        <f t="shared" si="87"/>
        <v>2012</v>
      </c>
      <c r="G792">
        <f t="shared" si="88"/>
        <v>8</v>
      </c>
      <c r="H792">
        <f t="shared" si="89"/>
        <v>8</v>
      </c>
      <c r="I792" t="str">
        <f t="shared" si="90"/>
        <v>12</v>
      </c>
    </row>
    <row r="793" spans="1:9" x14ac:dyDescent="0.25">
      <c r="A793" s="19">
        <v>42270</v>
      </c>
      <c r="B793" s="20">
        <v>8.0555555555555561E-2</v>
      </c>
      <c r="C793" t="str">
        <f t="shared" si="84"/>
        <v>15</v>
      </c>
      <c r="D793" t="str">
        <f t="shared" si="85"/>
        <v>09</v>
      </c>
      <c r="E793" t="str">
        <f t="shared" si="86"/>
        <v>23</v>
      </c>
      <c r="F793">
        <f t="shared" si="87"/>
        <v>2015</v>
      </c>
      <c r="G793">
        <f t="shared" si="88"/>
        <v>9</v>
      </c>
      <c r="H793">
        <f t="shared" si="89"/>
        <v>23</v>
      </c>
      <c r="I793" t="str">
        <f t="shared" si="90"/>
        <v>15</v>
      </c>
    </row>
    <row r="794" spans="1:9" x14ac:dyDescent="0.25">
      <c r="A794" s="19">
        <v>41407</v>
      </c>
      <c r="B794" s="20">
        <v>7.8472222222222221E-2</v>
      </c>
      <c r="C794" t="str">
        <f t="shared" si="84"/>
        <v>13</v>
      </c>
      <c r="D794" t="str">
        <f t="shared" si="85"/>
        <v>05</v>
      </c>
      <c r="E794" t="str">
        <f t="shared" si="86"/>
        <v>13</v>
      </c>
      <c r="F794">
        <f t="shared" si="87"/>
        <v>2013</v>
      </c>
      <c r="G794">
        <f t="shared" si="88"/>
        <v>5</v>
      </c>
      <c r="H794">
        <f t="shared" si="89"/>
        <v>13</v>
      </c>
      <c r="I794" t="str">
        <f t="shared" si="90"/>
        <v>13</v>
      </c>
    </row>
    <row r="795" spans="1:9" x14ac:dyDescent="0.25">
      <c r="A795" s="19">
        <v>42163</v>
      </c>
      <c r="B795" s="20">
        <v>4.5138888888888888E-2</v>
      </c>
      <c r="C795" t="str">
        <f t="shared" si="84"/>
        <v>15</v>
      </c>
      <c r="D795" t="str">
        <f t="shared" si="85"/>
        <v>06</v>
      </c>
      <c r="E795" t="str">
        <f t="shared" si="86"/>
        <v>08</v>
      </c>
      <c r="F795">
        <f t="shared" si="87"/>
        <v>2015</v>
      </c>
      <c r="G795">
        <f t="shared" si="88"/>
        <v>6</v>
      </c>
      <c r="H795">
        <f t="shared" si="89"/>
        <v>8</v>
      </c>
      <c r="I795" t="str">
        <f t="shared" si="90"/>
        <v>15</v>
      </c>
    </row>
    <row r="796" spans="1:9" x14ac:dyDescent="0.25">
      <c r="A796" s="19">
        <v>41794</v>
      </c>
      <c r="B796" s="20">
        <v>4.7222222222222221E-2</v>
      </c>
      <c r="C796" t="str">
        <f t="shared" si="84"/>
        <v>14</v>
      </c>
      <c r="D796" t="str">
        <f t="shared" si="85"/>
        <v>06</v>
      </c>
      <c r="E796" t="str">
        <f t="shared" si="86"/>
        <v>04</v>
      </c>
      <c r="F796">
        <f t="shared" si="87"/>
        <v>2014</v>
      </c>
      <c r="G796">
        <f t="shared" si="88"/>
        <v>6</v>
      </c>
      <c r="H796">
        <f t="shared" si="89"/>
        <v>4</v>
      </c>
      <c r="I796" t="str">
        <f t="shared" si="90"/>
        <v>14</v>
      </c>
    </row>
    <row r="797" spans="1:9" x14ac:dyDescent="0.25">
      <c r="A797" s="19">
        <v>41123</v>
      </c>
      <c r="B797" s="20">
        <v>3.125E-2</v>
      </c>
      <c r="C797" t="str">
        <f t="shared" si="84"/>
        <v>12</v>
      </c>
      <c r="D797" t="str">
        <f t="shared" si="85"/>
        <v>08</v>
      </c>
      <c r="E797" t="str">
        <f t="shared" si="86"/>
        <v>02</v>
      </c>
      <c r="F797">
        <f t="shared" si="87"/>
        <v>2012</v>
      </c>
      <c r="G797">
        <f t="shared" si="88"/>
        <v>8</v>
      </c>
      <c r="H797">
        <f t="shared" si="89"/>
        <v>2</v>
      </c>
      <c r="I797" t="str">
        <f t="shared" si="90"/>
        <v>12</v>
      </c>
    </row>
    <row r="798" spans="1:9" x14ac:dyDescent="0.25">
      <c r="A798" s="19">
        <v>42348</v>
      </c>
      <c r="B798" s="20">
        <v>3.9583333333333331E-2</v>
      </c>
      <c r="C798" t="str">
        <f t="shared" si="84"/>
        <v>15</v>
      </c>
      <c r="D798" t="str">
        <f t="shared" si="85"/>
        <v>12</v>
      </c>
      <c r="E798" t="str">
        <f t="shared" si="86"/>
        <v>10</v>
      </c>
      <c r="F798">
        <f t="shared" si="87"/>
        <v>2015</v>
      </c>
      <c r="G798">
        <f t="shared" si="88"/>
        <v>12</v>
      </c>
      <c r="H798">
        <f t="shared" si="89"/>
        <v>10</v>
      </c>
      <c r="I798" t="str">
        <f t="shared" si="90"/>
        <v>15</v>
      </c>
    </row>
    <row r="799" spans="1:9" x14ac:dyDescent="0.25">
      <c r="A799" s="19">
        <v>42018</v>
      </c>
      <c r="B799" s="20">
        <v>4.3055555555555555E-2</v>
      </c>
      <c r="C799" t="str">
        <f t="shared" si="84"/>
        <v>15</v>
      </c>
      <c r="D799" t="str">
        <f t="shared" si="85"/>
        <v>01</v>
      </c>
      <c r="E799" t="str">
        <f t="shared" si="86"/>
        <v>14</v>
      </c>
      <c r="F799">
        <f t="shared" si="87"/>
        <v>2015</v>
      </c>
      <c r="G799">
        <f t="shared" si="88"/>
        <v>1</v>
      </c>
      <c r="H799">
        <f t="shared" si="89"/>
        <v>14</v>
      </c>
      <c r="I799" t="str">
        <f t="shared" si="90"/>
        <v>15</v>
      </c>
    </row>
    <row r="800" spans="1:9" x14ac:dyDescent="0.25">
      <c r="A800" s="19">
        <v>42118</v>
      </c>
      <c r="B800" s="20">
        <v>2.7777777777777779E-3</v>
      </c>
      <c r="C800" t="str">
        <f t="shared" si="84"/>
        <v>15</v>
      </c>
      <c r="D800" t="str">
        <f t="shared" si="85"/>
        <v>04</v>
      </c>
      <c r="E800" t="str">
        <f t="shared" si="86"/>
        <v>24</v>
      </c>
      <c r="F800">
        <f t="shared" si="87"/>
        <v>2015</v>
      </c>
      <c r="G800">
        <f t="shared" si="88"/>
        <v>4</v>
      </c>
      <c r="H800">
        <f t="shared" si="89"/>
        <v>24</v>
      </c>
      <c r="I800" t="str">
        <f t="shared" si="90"/>
        <v>15</v>
      </c>
    </row>
    <row r="801" spans="1:9" x14ac:dyDescent="0.25">
      <c r="A801" s="19">
        <v>42634</v>
      </c>
      <c r="B801" s="20">
        <v>5.2777777777777778E-2</v>
      </c>
      <c r="C801" t="str">
        <f t="shared" si="84"/>
        <v>16</v>
      </c>
      <c r="D801" t="str">
        <f t="shared" si="85"/>
        <v>09</v>
      </c>
      <c r="E801" t="str">
        <f t="shared" si="86"/>
        <v>21</v>
      </c>
      <c r="F801">
        <f t="shared" si="87"/>
        <v>2016</v>
      </c>
      <c r="G801">
        <f t="shared" si="88"/>
        <v>9</v>
      </c>
      <c r="H801">
        <f t="shared" si="89"/>
        <v>21</v>
      </c>
      <c r="I801" t="str">
        <f t="shared" si="90"/>
        <v>16</v>
      </c>
    </row>
    <row r="802" spans="1:9" x14ac:dyDescent="0.25">
      <c r="A802" s="19">
        <v>41447</v>
      </c>
      <c r="B802" s="20">
        <v>2.1527777777777778E-2</v>
      </c>
      <c r="C802" t="str">
        <f t="shared" si="84"/>
        <v>13</v>
      </c>
      <c r="D802" t="str">
        <f t="shared" si="85"/>
        <v>06</v>
      </c>
      <c r="E802" t="str">
        <f t="shared" si="86"/>
        <v>22</v>
      </c>
      <c r="F802">
        <f t="shared" si="87"/>
        <v>2013</v>
      </c>
      <c r="G802">
        <f t="shared" si="88"/>
        <v>6</v>
      </c>
      <c r="H802">
        <f t="shared" si="89"/>
        <v>22</v>
      </c>
      <c r="I802" t="str">
        <f t="shared" si="90"/>
        <v>13</v>
      </c>
    </row>
    <row r="803" spans="1:9" x14ac:dyDescent="0.25">
      <c r="A803" s="19">
        <v>41451</v>
      </c>
      <c r="B803" s="20">
        <v>0.99583333333333335</v>
      </c>
      <c r="C803" t="str">
        <f t="shared" si="84"/>
        <v>13</v>
      </c>
      <c r="D803" t="str">
        <f t="shared" si="85"/>
        <v>06</v>
      </c>
      <c r="E803" t="str">
        <f t="shared" si="86"/>
        <v>26</v>
      </c>
      <c r="F803">
        <f t="shared" si="87"/>
        <v>2013</v>
      </c>
      <c r="G803">
        <f t="shared" si="88"/>
        <v>6</v>
      </c>
      <c r="H803">
        <f t="shared" si="89"/>
        <v>26</v>
      </c>
      <c r="I803" t="str">
        <f t="shared" si="90"/>
        <v>13</v>
      </c>
    </row>
    <row r="804" spans="1:9" x14ac:dyDescent="0.25">
      <c r="A804" s="19">
        <v>42114</v>
      </c>
      <c r="B804" s="20">
        <v>0.98263888888888884</v>
      </c>
      <c r="C804" t="str">
        <f t="shared" si="84"/>
        <v>15</v>
      </c>
      <c r="D804" t="str">
        <f t="shared" si="85"/>
        <v>04</v>
      </c>
      <c r="E804" t="str">
        <f t="shared" si="86"/>
        <v>20</v>
      </c>
      <c r="F804">
        <f t="shared" si="87"/>
        <v>2015</v>
      </c>
      <c r="G804">
        <f t="shared" si="88"/>
        <v>4</v>
      </c>
      <c r="H804">
        <f t="shared" si="89"/>
        <v>20</v>
      </c>
      <c r="I804" t="str">
        <f t="shared" si="90"/>
        <v>15</v>
      </c>
    </row>
    <row r="805" spans="1:9" x14ac:dyDescent="0.25">
      <c r="A805" s="19">
        <v>41433</v>
      </c>
      <c r="B805" s="20">
        <v>2.4305555555555556E-2</v>
      </c>
      <c r="C805" t="str">
        <f t="shared" si="84"/>
        <v>13</v>
      </c>
      <c r="D805" t="str">
        <f t="shared" si="85"/>
        <v>06</v>
      </c>
      <c r="E805" t="str">
        <f t="shared" si="86"/>
        <v>08</v>
      </c>
      <c r="F805">
        <f t="shared" si="87"/>
        <v>2013</v>
      </c>
      <c r="G805">
        <f t="shared" si="88"/>
        <v>6</v>
      </c>
      <c r="H805">
        <f t="shared" si="89"/>
        <v>8</v>
      </c>
      <c r="I805" t="str">
        <f t="shared" si="90"/>
        <v>13</v>
      </c>
    </row>
    <row r="806" spans="1:9" x14ac:dyDescent="0.25">
      <c r="A806" s="19">
        <v>42273</v>
      </c>
      <c r="B806" s="20">
        <v>0.97361111111111109</v>
      </c>
      <c r="C806" t="str">
        <f t="shared" si="84"/>
        <v>15</v>
      </c>
      <c r="D806" t="str">
        <f t="shared" si="85"/>
        <v>09</v>
      </c>
      <c r="E806" t="str">
        <f t="shared" si="86"/>
        <v>26</v>
      </c>
      <c r="F806">
        <f t="shared" si="87"/>
        <v>2015</v>
      </c>
      <c r="G806">
        <f t="shared" si="88"/>
        <v>9</v>
      </c>
      <c r="H806">
        <f t="shared" si="89"/>
        <v>26</v>
      </c>
      <c r="I806" t="str">
        <f t="shared" si="90"/>
        <v>15</v>
      </c>
    </row>
    <row r="807" spans="1:9" x14ac:dyDescent="0.25">
      <c r="A807" s="19">
        <v>42492</v>
      </c>
      <c r="B807" s="20">
        <v>2.013888888888889E-2</v>
      </c>
      <c r="C807" t="str">
        <f t="shared" si="84"/>
        <v>16</v>
      </c>
      <c r="D807" t="str">
        <f t="shared" si="85"/>
        <v>05</v>
      </c>
      <c r="E807" t="str">
        <f t="shared" si="86"/>
        <v>02</v>
      </c>
      <c r="F807">
        <f t="shared" si="87"/>
        <v>2016</v>
      </c>
      <c r="G807">
        <f t="shared" si="88"/>
        <v>5</v>
      </c>
      <c r="H807">
        <f t="shared" si="89"/>
        <v>2</v>
      </c>
      <c r="I807" t="str">
        <f t="shared" si="90"/>
        <v>16</v>
      </c>
    </row>
    <row r="808" spans="1:9" x14ac:dyDescent="0.25">
      <c r="A808" s="19">
        <v>41114</v>
      </c>
      <c r="B808" s="20">
        <v>0.98124999999999996</v>
      </c>
      <c r="C808" t="str">
        <f t="shared" si="84"/>
        <v>12</v>
      </c>
      <c r="D808" t="str">
        <f t="shared" si="85"/>
        <v>07</v>
      </c>
      <c r="E808" t="str">
        <f t="shared" si="86"/>
        <v>24</v>
      </c>
      <c r="F808">
        <f t="shared" si="87"/>
        <v>2012</v>
      </c>
      <c r="G808">
        <f t="shared" si="88"/>
        <v>7</v>
      </c>
      <c r="H808">
        <f t="shared" si="89"/>
        <v>24</v>
      </c>
      <c r="I808" t="str">
        <f t="shared" si="90"/>
        <v>12</v>
      </c>
    </row>
    <row r="809" spans="1:9" x14ac:dyDescent="0.25">
      <c r="A809" s="19">
        <v>42132</v>
      </c>
      <c r="B809" s="20">
        <v>5.9722222222222225E-2</v>
      </c>
      <c r="C809" t="str">
        <f t="shared" si="84"/>
        <v>15</v>
      </c>
      <c r="D809" t="str">
        <f t="shared" si="85"/>
        <v>05</v>
      </c>
      <c r="E809" t="str">
        <f t="shared" si="86"/>
        <v>08</v>
      </c>
      <c r="F809">
        <f t="shared" si="87"/>
        <v>2015</v>
      </c>
      <c r="G809">
        <f t="shared" si="88"/>
        <v>5</v>
      </c>
      <c r="H809">
        <f t="shared" si="89"/>
        <v>8</v>
      </c>
      <c r="I809" t="str">
        <f t="shared" si="90"/>
        <v>15</v>
      </c>
    </row>
    <row r="810" spans="1:9" x14ac:dyDescent="0.25">
      <c r="A810" s="19">
        <v>41399</v>
      </c>
      <c r="B810" s="20">
        <v>2.0833333333333333E-3</v>
      </c>
      <c r="C810" t="str">
        <f t="shared" si="84"/>
        <v>13</v>
      </c>
      <c r="D810" t="str">
        <f t="shared" si="85"/>
        <v>05</v>
      </c>
      <c r="E810" t="str">
        <f t="shared" si="86"/>
        <v>05</v>
      </c>
      <c r="F810">
        <f t="shared" si="87"/>
        <v>2013</v>
      </c>
      <c r="G810">
        <f t="shared" si="88"/>
        <v>5</v>
      </c>
      <c r="H810">
        <f t="shared" si="89"/>
        <v>5</v>
      </c>
      <c r="I810" t="str">
        <f t="shared" si="90"/>
        <v>13</v>
      </c>
    </row>
    <row r="811" spans="1:9" x14ac:dyDescent="0.25">
      <c r="A811" s="19">
        <v>42397</v>
      </c>
      <c r="B811" s="20">
        <v>1.2500000000000001E-2</v>
      </c>
      <c r="C811" t="str">
        <f t="shared" si="84"/>
        <v>16</v>
      </c>
      <c r="D811" t="str">
        <f t="shared" si="85"/>
        <v>01</v>
      </c>
      <c r="E811" t="str">
        <f t="shared" si="86"/>
        <v>28</v>
      </c>
      <c r="F811">
        <f t="shared" si="87"/>
        <v>2016</v>
      </c>
      <c r="G811">
        <f t="shared" si="88"/>
        <v>1</v>
      </c>
      <c r="H811">
        <f t="shared" si="89"/>
        <v>28</v>
      </c>
      <c r="I811" t="str">
        <f t="shared" si="90"/>
        <v>16</v>
      </c>
    </row>
    <row r="812" spans="1:9" x14ac:dyDescent="0.25">
      <c r="A812" s="19">
        <v>41653</v>
      </c>
      <c r="B812" s="20">
        <v>1.5972222222222221E-2</v>
      </c>
      <c r="C812" t="str">
        <f t="shared" si="84"/>
        <v>14</v>
      </c>
      <c r="D812" t="str">
        <f t="shared" si="85"/>
        <v>01</v>
      </c>
      <c r="E812" t="str">
        <f t="shared" si="86"/>
        <v>14</v>
      </c>
      <c r="F812">
        <f t="shared" si="87"/>
        <v>2014</v>
      </c>
      <c r="G812">
        <f t="shared" si="88"/>
        <v>1</v>
      </c>
      <c r="H812">
        <f t="shared" si="89"/>
        <v>14</v>
      </c>
      <c r="I812" t="str">
        <f t="shared" si="90"/>
        <v>14</v>
      </c>
    </row>
    <row r="813" spans="1:9" x14ac:dyDescent="0.25">
      <c r="A813" s="19">
        <v>41220</v>
      </c>
      <c r="B813" s="20">
        <v>7.7083333333333337E-2</v>
      </c>
      <c r="C813" t="str">
        <f t="shared" si="84"/>
        <v>12</v>
      </c>
      <c r="D813" t="str">
        <f t="shared" si="85"/>
        <v>11</v>
      </c>
      <c r="E813" t="str">
        <f t="shared" si="86"/>
        <v>07</v>
      </c>
      <c r="F813">
        <f t="shared" si="87"/>
        <v>2012</v>
      </c>
      <c r="G813">
        <f t="shared" si="88"/>
        <v>11</v>
      </c>
      <c r="H813">
        <f t="shared" si="89"/>
        <v>7</v>
      </c>
      <c r="I813" t="str">
        <f t="shared" si="90"/>
        <v>12</v>
      </c>
    </row>
    <row r="814" spans="1:9" x14ac:dyDescent="0.25">
      <c r="A814" s="19">
        <v>42636</v>
      </c>
      <c r="B814" s="20">
        <v>2.4305555555555556E-2</v>
      </c>
      <c r="C814" t="str">
        <f t="shared" si="84"/>
        <v>16</v>
      </c>
      <c r="D814" t="str">
        <f t="shared" si="85"/>
        <v>09</v>
      </c>
      <c r="E814" t="str">
        <f t="shared" si="86"/>
        <v>23</v>
      </c>
      <c r="F814">
        <f t="shared" si="87"/>
        <v>2016</v>
      </c>
      <c r="G814">
        <f t="shared" si="88"/>
        <v>9</v>
      </c>
      <c r="H814">
        <f t="shared" si="89"/>
        <v>23</v>
      </c>
      <c r="I814" t="str">
        <f t="shared" si="90"/>
        <v>16</v>
      </c>
    </row>
    <row r="815" spans="1:9" x14ac:dyDescent="0.25">
      <c r="A815" s="19">
        <v>41407</v>
      </c>
      <c r="B815" s="20">
        <v>3.1944444444444442E-2</v>
      </c>
      <c r="C815" t="str">
        <f t="shared" si="84"/>
        <v>13</v>
      </c>
      <c r="D815" t="str">
        <f t="shared" si="85"/>
        <v>05</v>
      </c>
      <c r="E815" t="str">
        <f t="shared" si="86"/>
        <v>13</v>
      </c>
      <c r="F815">
        <f t="shared" si="87"/>
        <v>2013</v>
      </c>
      <c r="G815">
        <f t="shared" si="88"/>
        <v>5</v>
      </c>
      <c r="H815">
        <f t="shared" si="89"/>
        <v>13</v>
      </c>
      <c r="I815" t="str">
        <f t="shared" si="90"/>
        <v>13</v>
      </c>
    </row>
    <row r="816" spans="1:9" x14ac:dyDescent="0.25">
      <c r="A816" s="19">
        <v>41525</v>
      </c>
      <c r="B816" s="20">
        <v>0.97916666666666663</v>
      </c>
      <c r="C816" t="str">
        <f t="shared" si="84"/>
        <v>13</v>
      </c>
      <c r="D816" t="str">
        <f t="shared" si="85"/>
        <v>09</v>
      </c>
      <c r="E816" t="str">
        <f t="shared" si="86"/>
        <v>08</v>
      </c>
      <c r="F816">
        <f t="shared" si="87"/>
        <v>2013</v>
      </c>
      <c r="G816">
        <f t="shared" si="88"/>
        <v>9</v>
      </c>
      <c r="H816">
        <f t="shared" si="89"/>
        <v>8</v>
      </c>
      <c r="I816" t="str">
        <f t="shared" si="90"/>
        <v>13</v>
      </c>
    </row>
    <row r="817" spans="1:9" x14ac:dyDescent="0.25">
      <c r="A817" s="19">
        <v>41460</v>
      </c>
      <c r="B817" s="20">
        <v>4.4444444444444446E-2</v>
      </c>
      <c r="C817" t="str">
        <f t="shared" si="84"/>
        <v>13</v>
      </c>
      <c r="D817" t="str">
        <f t="shared" si="85"/>
        <v>07</v>
      </c>
      <c r="E817" t="str">
        <f t="shared" si="86"/>
        <v>05</v>
      </c>
      <c r="F817">
        <f t="shared" si="87"/>
        <v>2013</v>
      </c>
      <c r="G817">
        <f t="shared" si="88"/>
        <v>7</v>
      </c>
      <c r="H817">
        <f t="shared" si="89"/>
        <v>5</v>
      </c>
      <c r="I817" t="str">
        <f t="shared" si="90"/>
        <v>13</v>
      </c>
    </row>
    <row r="818" spans="1:9" x14ac:dyDescent="0.25">
      <c r="A818" s="19">
        <v>42025</v>
      </c>
      <c r="B818" s="20">
        <v>2.0833333333333333E-3</v>
      </c>
      <c r="C818" t="str">
        <f t="shared" si="84"/>
        <v>15</v>
      </c>
      <c r="D818" t="str">
        <f t="shared" si="85"/>
        <v>01</v>
      </c>
      <c r="E818" t="str">
        <f t="shared" si="86"/>
        <v>21</v>
      </c>
      <c r="F818">
        <f t="shared" si="87"/>
        <v>2015</v>
      </c>
      <c r="G818">
        <f t="shared" si="88"/>
        <v>1</v>
      </c>
      <c r="H818">
        <f t="shared" si="89"/>
        <v>21</v>
      </c>
      <c r="I818" t="str">
        <f t="shared" si="90"/>
        <v>15</v>
      </c>
    </row>
    <row r="819" spans="1:9" x14ac:dyDescent="0.25">
      <c r="A819" s="19">
        <v>41603</v>
      </c>
      <c r="B819" s="20">
        <v>5.5555555555555552E-2</v>
      </c>
      <c r="C819" t="str">
        <f t="shared" si="84"/>
        <v>13</v>
      </c>
      <c r="D819" t="str">
        <f t="shared" si="85"/>
        <v>11</v>
      </c>
      <c r="E819" t="str">
        <f t="shared" si="86"/>
        <v>25</v>
      </c>
      <c r="F819">
        <f t="shared" si="87"/>
        <v>2013</v>
      </c>
      <c r="G819">
        <f t="shared" si="88"/>
        <v>11</v>
      </c>
      <c r="H819">
        <f t="shared" si="89"/>
        <v>25</v>
      </c>
      <c r="I819" t="str">
        <f t="shared" si="90"/>
        <v>13</v>
      </c>
    </row>
    <row r="820" spans="1:9" x14ac:dyDescent="0.25">
      <c r="A820" s="19">
        <v>41938</v>
      </c>
      <c r="B820" s="20">
        <v>3.3333333333333333E-2</v>
      </c>
      <c r="C820" t="str">
        <f t="shared" si="84"/>
        <v>14</v>
      </c>
      <c r="D820" t="str">
        <f t="shared" si="85"/>
        <v>10</v>
      </c>
      <c r="E820" t="str">
        <f t="shared" si="86"/>
        <v>26</v>
      </c>
      <c r="F820">
        <f t="shared" si="87"/>
        <v>2014</v>
      </c>
      <c r="G820">
        <f t="shared" si="88"/>
        <v>10</v>
      </c>
      <c r="H820">
        <f t="shared" si="89"/>
        <v>26</v>
      </c>
      <c r="I820" t="str">
        <f t="shared" si="90"/>
        <v>14</v>
      </c>
    </row>
    <row r="821" spans="1:9" x14ac:dyDescent="0.25">
      <c r="A821" s="19">
        <v>41974</v>
      </c>
      <c r="B821" s="20">
        <v>5.2083333333333336E-2</v>
      </c>
      <c r="C821" t="str">
        <f t="shared" si="84"/>
        <v>14</v>
      </c>
      <c r="D821" t="str">
        <f t="shared" si="85"/>
        <v>12</v>
      </c>
      <c r="E821" t="str">
        <f t="shared" si="86"/>
        <v>01</v>
      </c>
      <c r="F821">
        <f t="shared" si="87"/>
        <v>2014</v>
      </c>
      <c r="G821">
        <f t="shared" si="88"/>
        <v>12</v>
      </c>
      <c r="H821">
        <f t="shared" si="89"/>
        <v>1</v>
      </c>
      <c r="I821" t="str">
        <f t="shared" si="90"/>
        <v>14</v>
      </c>
    </row>
    <row r="822" spans="1:9" x14ac:dyDescent="0.25">
      <c r="A822" s="19">
        <v>42089</v>
      </c>
      <c r="B822" s="20">
        <v>0.95972222222222225</v>
      </c>
      <c r="C822" t="str">
        <f t="shared" si="84"/>
        <v>15</v>
      </c>
      <c r="D822" t="str">
        <f t="shared" si="85"/>
        <v>03</v>
      </c>
      <c r="E822" t="str">
        <f t="shared" si="86"/>
        <v>26</v>
      </c>
      <c r="F822">
        <f t="shared" si="87"/>
        <v>2015</v>
      </c>
      <c r="G822">
        <f t="shared" si="88"/>
        <v>3</v>
      </c>
      <c r="H822">
        <f t="shared" si="89"/>
        <v>26</v>
      </c>
      <c r="I822" t="str">
        <f t="shared" si="90"/>
        <v>15</v>
      </c>
    </row>
    <row r="823" spans="1:9" x14ac:dyDescent="0.25">
      <c r="A823" s="19">
        <v>41003</v>
      </c>
      <c r="B823" s="20">
        <v>1.0416666666666666E-2</v>
      </c>
      <c r="C823" t="str">
        <f t="shared" si="84"/>
        <v>12</v>
      </c>
      <c r="D823" t="str">
        <f t="shared" si="85"/>
        <v>04</v>
      </c>
      <c r="E823" t="str">
        <f t="shared" si="86"/>
        <v>04</v>
      </c>
      <c r="F823">
        <f t="shared" si="87"/>
        <v>2012</v>
      </c>
      <c r="G823">
        <f t="shared" si="88"/>
        <v>4</v>
      </c>
      <c r="H823">
        <f t="shared" si="89"/>
        <v>4</v>
      </c>
      <c r="I823" t="str">
        <f t="shared" si="90"/>
        <v>12</v>
      </c>
    </row>
    <row r="824" spans="1:9" x14ac:dyDescent="0.25">
      <c r="A824" s="19">
        <v>42206</v>
      </c>
      <c r="B824" s="20">
        <v>1.3888888888888889E-3</v>
      </c>
      <c r="C824" t="str">
        <f t="shared" si="84"/>
        <v>15</v>
      </c>
      <c r="D824" t="str">
        <f t="shared" si="85"/>
        <v>07</v>
      </c>
      <c r="E824" t="str">
        <f t="shared" si="86"/>
        <v>21</v>
      </c>
      <c r="F824">
        <f t="shared" si="87"/>
        <v>2015</v>
      </c>
      <c r="G824">
        <f t="shared" si="88"/>
        <v>7</v>
      </c>
      <c r="H824">
        <f t="shared" si="89"/>
        <v>21</v>
      </c>
      <c r="I824" t="str">
        <f t="shared" si="90"/>
        <v>15</v>
      </c>
    </row>
    <row r="825" spans="1:9" x14ac:dyDescent="0.25">
      <c r="A825" s="19">
        <v>41576</v>
      </c>
      <c r="B825" s="20">
        <v>2.5000000000000001E-2</v>
      </c>
      <c r="C825" t="str">
        <f t="shared" si="84"/>
        <v>13</v>
      </c>
      <c r="D825" t="str">
        <f t="shared" si="85"/>
        <v>10</v>
      </c>
      <c r="E825" t="str">
        <f t="shared" si="86"/>
        <v>29</v>
      </c>
      <c r="F825">
        <f t="shared" si="87"/>
        <v>2013</v>
      </c>
      <c r="G825">
        <f t="shared" si="88"/>
        <v>10</v>
      </c>
      <c r="H825">
        <f t="shared" si="89"/>
        <v>29</v>
      </c>
      <c r="I825" t="str">
        <f t="shared" si="90"/>
        <v>13</v>
      </c>
    </row>
    <row r="826" spans="1:9" x14ac:dyDescent="0.25">
      <c r="A826" s="19">
        <v>41004</v>
      </c>
      <c r="B826" s="20">
        <v>0.9868055555555556</v>
      </c>
      <c r="C826" t="str">
        <f t="shared" si="84"/>
        <v>12</v>
      </c>
      <c r="D826" t="str">
        <f t="shared" si="85"/>
        <v>04</v>
      </c>
      <c r="E826" t="str">
        <f t="shared" si="86"/>
        <v>05</v>
      </c>
      <c r="F826">
        <f t="shared" si="87"/>
        <v>2012</v>
      </c>
      <c r="G826">
        <f t="shared" si="88"/>
        <v>4</v>
      </c>
      <c r="H826">
        <f t="shared" si="89"/>
        <v>5</v>
      </c>
      <c r="I826" t="str">
        <f t="shared" si="90"/>
        <v>12</v>
      </c>
    </row>
    <row r="827" spans="1:9" x14ac:dyDescent="0.25">
      <c r="A827" s="19">
        <v>41059</v>
      </c>
      <c r="B827" s="20">
        <v>0.99375000000000002</v>
      </c>
      <c r="C827" t="str">
        <f t="shared" si="84"/>
        <v>12</v>
      </c>
      <c r="D827" t="str">
        <f t="shared" si="85"/>
        <v>05</v>
      </c>
      <c r="E827" t="str">
        <f t="shared" si="86"/>
        <v>30</v>
      </c>
      <c r="F827">
        <f t="shared" si="87"/>
        <v>2012</v>
      </c>
      <c r="G827">
        <f t="shared" si="88"/>
        <v>5</v>
      </c>
      <c r="H827">
        <f t="shared" si="89"/>
        <v>30</v>
      </c>
      <c r="I827" t="str">
        <f t="shared" si="90"/>
        <v>12</v>
      </c>
    </row>
    <row r="828" spans="1:9" x14ac:dyDescent="0.25">
      <c r="A828" s="19">
        <v>42410</v>
      </c>
      <c r="B828" s="20">
        <v>2.013888888888889E-2</v>
      </c>
      <c r="C828" t="str">
        <f t="shared" si="84"/>
        <v>16</v>
      </c>
      <c r="D828" t="str">
        <f t="shared" si="85"/>
        <v>02</v>
      </c>
      <c r="E828" t="str">
        <f t="shared" si="86"/>
        <v>10</v>
      </c>
      <c r="F828">
        <f t="shared" si="87"/>
        <v>2016</v>
      </c>
      <c r="G828">
        <f t="shared" si="88"/>
        <v>2</v>
      </c>
      <c r="H828">
        <f t="shared" si="89"/>
        <v>10</v>
      </c>
      <c r="I828" t="str">
        <f t="shared" si="90"/>
        <v>16</v>
      </c>
    </row>
    <row r="829" spans="1:9" x14ac:dyDescent="0.25">
      <c r="A829" s="19">
        <v>42165</v>
      </c>
      <c r="B829" s="20">
        <v>0.97291666666666665</v>
      </c>
      <c r="C829" t="str">
        <f t="shared" si="84"/>
        <v>15</v>
      </c>
      <c r="D829" t="str">
        <f t="shared" si="85"/>
        <v>06</v>
      </c>
      <c r="E829" t="str">
        <f t="shared" si="86"/>
        <v>10</v>
      </c>
      <c r="F829">
        <f t="shared" si="87"/>
        <v>2015</v>
      </c>
      <c r="G829">
        <f t="shared" si="88"/>
        <v>6</v>
      </c>
      <c r="H829">
        <f t="shared" si="89"/>
        <v>10</v>
      </c>
      <c r="I829" t="str">
        <f t="shared" si="90"/>
        <v>15</v>
      </c>
    </row>
    <row r="830" spans="1:9" x14ac:dyDescent="0.25">
      <c r="A830" s="19">
        <v>41842</v>
      </c>
      <c r="B830" s="20">
        <v>1.3888888888888888E-2</v>
      </c>
      <c r="C830" t="str">
        <f t="shared" si="84"/>
        <v>14</v>
      </c>
      <c r="D830" t="str">
        <f t="shared" si="85"/>
        <v>07</v>
      </c>
      <c r="E830" t="str">
        <f t="shared" si="86"/>
        <v>22</v>
      </c>
      <c r="F830">
        <f t="shared" si="87"/>
        <v>2014</v>
      </c>
      <c r="G830">
        <f t="shared" si="88"/>
        <v>7</v>
      </c>
      <c r="H830">
        <f t="shared" si="89"/>
        <v>22</v>
      </c>
      <c r="I830" t="str">
        <f t="shared" si="90"/>
        <v>14</v>
      </c>
    </row>
    <row r="831" spans="1:9" x14ac:dyDescent="0.25">
      <c r="A831" s="19">
        <v>42355</v>
      </c>
      <c r="B831" s="20">
        <v>0.93888888888888888</v>
      </c>
      <c r="C831" t="str">
        <f t="shared" si="84"/>
        <v>15</v>
      </c>
      <c r="D831" t="str">
        <f t="shared" si="85"/>
        <v>12</v>
      </c>
      <c r="E831" t="str">
        <f t="shared" si="86"/>
        <v>17</v>
      </c>
      <c r="F831">
        <f t="shared" si="87"/>
        <v>2015</v>
      </c>
      <c r="G831">
        <f t="shared" si="88"/>
        <v>12</v>
      </c>
      <c r="H831">
        <f t="shared" si="89"/>
        <v>17</v>
      </c>
      <c r="I831" t="str">
        <f t="shared" si="90"/>
        <v>15</v>
      </c>
    </row>
    <row r="832" spans="1:9" x14ac:dyDescent="0.25">
      <c r="A832" s="19">
        <v>41817</v>
      </c>
      <c r="B832" s="20">
        <v>3.3333333333333333E-2</v>
      </c>
      <c r="C832" t="str">
        <f t="shared" si="84"/>
        <v>14</v>
      </c>
      <c r="D832" t="str">
        <f t="shared" si="85"/>
        <v>06</v>
      </c>
      <c r="E832" t="str">
        <f t="shared" si="86"/>
        <v>27</v>
      </c>
      <c r="F832">
        <f t="shared" si="87"/>
        <v>2014</v>
      </c>
      <c r="G832">
        <f t="shared" si="88"/>
        <v>6</v>
      </c>
      <c r="H832">
        <f t="shared" si="89"/>
        <v>27</v>
      </c>
      <c r="I832" t="str">
        <f t="shared" si="90"/>
        <v>14</v>
      </c>
    </row>
    <row r="833" spans="1:9" x14ac:dyDescent="0.25">
      <c r="A833" s="19">
        <v>42043</v>
      </c>
      <c r="B833" s="20">
        <v>0.95902777777777781</v>
      </c>
      <c r="C833" t="str">
        <f t="shared" si="84"/>
        <v>15</v>
      </c>
      <c r="D833" t="str">
        <f t="shared" si="85"/>
        <v>02</v>
      </c>
      <c r="E833" t="str">
        <f t="shared" si="86"/>
        <v>08</v>
      </c>
      <c r="F833">
        <f t="shared" si="87"/>
        <v>2015</v>
      </c>
      <c r="G833">
        <f t="shared" si="88"/>
        <v>2</v>
      </c>
      <c r="H833">
        <f t="shared" si="89"/>
        <v>8</v>
      </c>
      <c r="I833" t="str">
        <f t="shared" si="90"/>
        <v>15</v>
      </c>
    </row>
    <row r="834" spans="1:9" x14ac:dyDescent="0.25">
      <c r="A834" s="19">
        <v>41193</v>
      </c>
      <c r="B834" s="20">
        <v>0.99375000000000002</v>
      </c>
      <c r="C834" t="str">
        <f t="shared" si="84"/>
        <v>12</v>
      </c>
      <c r="D834" t="str">
        <f t="shared" si="85"/>
        <v>10</v>
      </c>
      <c r="E834" t="str">
        <f t="shared" si="86"/>
        <v>11</v>
      </c>
      <c r="F834">
        <f t="shared" si="87"/>
        <v>2012</v>
      </c>
      <c r="G834">
        <f t="shared" si="88"/>
        <v>10</v>
      </c>
      <c r="H834">
        <f t="shared" si="89"/>
        <v>11</v>
      </c>
      <c r="I834" t="str">
        <f t="shared" si="90"/>
        <v>12</v>
      </c>
    </row>
    <row r="835" spans="1:9" x14ac:dyDescent="0.25">
      <c r="A835" s="19">
        <v>42475</v>
      </c>
      <c r="B835" s="20">
        <v>0.94513888888888886</v>
      </c>
      <c r="C835" t="str">
        <f t="shared" ref="C835:C898" si="91">TEXT(A835,"YY")</f>
        <v>16</v>
      </c>
      <c r="D835" t="str">
        <f t="shared" ref="D835:D898" si="92">TEXT(A835,"mm")</f>
        <v>04</v>
      </c>
      <c r="E835" t="str">
        <f t="shared" ref="E835:E898" si="93">TEXT(A835,"dd")</f>
        <v>15</v>
      </c>
      <c r="F835">
        <f t="shared" ref="F835:F898" si="94">YEAR($A835)</f>
        <v>2016</v>
      </c>
      <c r="G835">
        <f t="shared" ref="G835:G898" si="95">MONTH($A835)</f>
        <v>4</v>
      </c>
      <c r="H835">
        <f t="shared" ref="H835:H898" si="96">DAY($A835)</f>
        <v>15</v>
      </c>
      <c r="I835" t="str">
        <f t="shared" ref="I835:I898" si="97">TEXT($A835,"YY")</f>
        <v>16</v>
      </c>
    </row>
    <row r="836" spans="1:9" x14ac:dyDescent="0.25">
      <c r="A836" s="19">
        <v>42517</v>
      </c>
      <c r="B836" s="20">
        <v>0.95277777777777772</v>
      </c>
      <c r="C836" t="str">
        <f t="shared" si="91"/>
        <v>16</v>
      </c>
      <c r="D836" t="str">
        <f t="shared" si="92"/>
        <v>05</v>
      </c>
      <c r="E836" t="str">
        <f t="shared" si="93"/>
        <v>27</v>
      </c>
      <c r="F836">
        <f t="shared" si="94"/>
        <v>2016</v>
      </c>
      <c r="G836">
        <f t="shared" si="95"/>
        <v>5</v>
      </c>
      <c r="H836">
        <f t="shared" si="96"/>
        <v>27</v>
      </c>
      <c r="I836" t="str">
        <f t="shared" si="97"/>
        <v>16</v>
      </c>
    </row>
    <row r="837" spans="1:9" x14ac:dyDescent="0.25">
      <c r="A837" s="19">
        <v>41943</v>
      </c>
      <c r="B837" s="20">
        <v>0.99722222222222223</v>
      </c>
      <c r="C837" t="str">
        <f t="shared" si="91"/>
        <v>14</v>
      </c>
      <c r="D837" t="str">
        <f t="shared" si="92"/>
        <v>10</v>
      </c>
      <c r="E837" t="str">
        <f t="shared" si="93"/>
        <v>31</v>
      </c>
      <c r="F837">
        <f t="shared" si="94"/>
        <v>2014</v>
      </c>
      <c r="G837">
        <f t="shared" si="95"/>
        <v>10</v>
      </c>
      <c r="H837">
        <f t="shared" si="96"/>
        <v>31</v>
      </c>
      <c r="I837" t="str">
        <f t="shared" si="97"/>
        <v>14</v>
      </c>
    </row>
    <row r="838" spans="1:9" x14ac:dyDescent="0.25">
      <c r="A838" s="19">
        <v>40954</v>
      </c>
      <c r="B838" s="20">
        <v>6.25E-2</v>
      </c>
      <c r="C838" t="str">
        <f t="shared" si="91"/>
        <v>12</v>
      </c>
      <c r="D838" t="str">
        <f t="shared" si="92"/>
        <v>02</v>
      </c>
      <c r="E838" t="str">
        <f t="shared" si="93"/>
        <v>15</v>
      </c>
      <c r="F838">
        <f t="shared" si="94"/>
        <v>2012</v>
      </c>
      <c r="G838">
        <f t="shared" si="95"/>
        <v>2</v>
      </c>
      <c r="H838">
        <f t="shared" si="96"/>
        <v>15</v>
      </c>
      <c r="I838" t="str">
        <f t="shared" si="97"/>
        <v>12</v>
      </c>
    </row>
    <row r="839" spans="1:9" x14ac:dyDescent="0.25">
      <c r="A839" s="19">
        <v>41575</v>
      </c>
      <c r="B839" s="20">
        <v>7.2916666666666671E-2</v>
      </c>
      <c r="C839" t="str">
        <f t="shared" si="91"/>
        <v>13</v>
      </c>
      <c r="D839" t="str">
        <f t="shared" si="92"/>
        <v>10</v>
      </c>
      <c r="E839" t="str">
        <f t="shared" si="93"/>
        <v>28</v>
      </c>
      <c r="F839">
        <f t="shared" si="94"/>
        <v>2013</v>
      </c>
      <c r="G839">
        <f t="shared" si="95"/>
        <v>10</v>
      </c>
      <c r="H839">
        <f t="shared" si="96"/>
        <v>28</v>
      </c>
      <c r="I839" t="str">
        <f t="shared" si="97"/>
        <v>13</v>
      </c>
    </row>
    <row r="840" spans="1:9" x14ac:dyDescent="0.25">
      <c r="A840" s="19">
        <v>40909</v>
      </c>
      <c r="B840" s="20">
        <v>0.12361111111111112</v>
      </c>
      <c r="C840" t="str">
        <f t="shared" si="91"/>
        <v>12</v>
      </c>
      <c r="D840" t="str">
        <f t="shared" si="92"/>
        <v>01</v>
      </c>
      <c r="E840" t="str">
        <f t="shared" si="93"/>
        <v>01</v>
      </c>
      <c r="F840">
        <f t="shared" si="94"/>
        <v>2012</v>
      </c>
      <c r="G840">
        <f t="shared" si="95"/>
        <v>1</v>
      </c>
      <c r="H840">
        <f t="shared" si="96"/>
        <v>1</v>
      </c>
      <c r="I840" t="str">
        <f t="shared" si="97"/>
        <v>12</v>
      </c>
    </row>
    <row r="841" spans="1:9" x14ac:dyDescent="0.25">
      <c r="A841" s="19">
        <v>41412</v>
      </c>
      <c r="B841" s="20">
        <v>8.2638888888888887E-2</v>
      </c>
      <c r="C841" t="str">
        <f t="shared" si="91"/>
        <v>13</v>
      </c>
      <c r="D841" t="str">
        <f t="shared" si="92"/>
        <v>05</v>
      </c>
      <c r="E841" t="str">
        <f t="shared" si="93"/>
        <v>18</v>
      </c>
      <c r="F841">
        <f t="shared" si="94"/>
        <v>2013</v>
      </c>
      <c r="G841">
        <f t="shared" si="95"/>
        <v>5</v>
      </c>
      <c r="H841">
        <f t="shared" si="96"/>
        <v>18</v>
      </c>
      <c r="I841" t="str">
        <f t="shared" si="97"/>
        <v>13</v>
      </c>
    </row>
    <row r="842" spans="1:9" x14ac:dyDescent="0.25">
      <c r="A842" s="19">
        <v>42218</v>
      </c>
      <c r="B842" s="20">
        <v>2.7083333333333334E-2</v>
      </c>
      <c r="C842" t="str">
        <f t="shared" si="91"/>
        <v>15</v>
      </c>
      <c r="D842" t="str">
        <f t="shared" si="92"/>
        <v>08</v>
      </c>
      <c r="E842" t="str">
        <f t="shared" si="93"/>
        <v>02</v>
      </c>
      <c r="F842">
        <f t="shared" si="94"/>
        <v>2015</v>
      </c>
      <c r="G842">
        <f t="shared" si="95"/>
        <v>8</v>
      </c>
      <c r="H842">
        <f t="shared" si="96"/>
        <v>2</v>
      </c>
      <c r="I842" t="str">
        <f t="shared" si="97"/>
        <v>15</v>
      </c>
    </row>
    <row r="843" spans="1:9" x14ac:dyDescent="0.25">
      <c r="A843" s="19">
        <v>41129</v>
      </c>
      <c r="B843" s="20">
        <v>8.3333333333333332E-3</v>
      </c>
      <c r="C843" t="str">
        <f t="shared" si="91"/>
        <v>12</v>
      </c>
      <c r="D843" t="str">
        <f t="shared" si="92"/>
        <v>08</v>
      </c>
      <c r="E843" t="str">
        <f t="shared" si="93"/>
        <v>08</v>
      </c>
      <c r="F843">
        <f t="shared" si="94"/>
        <v>2012</v>
      </c>
      <c r="G843">
        <f t="shared" si="95"/>
        <v>8</v>
      </c>
      <c r="H843">
        <f t="shared" si="96"/>
        <v>8</v>
      </c>
      <c r="I843" t="str">
        <f t="shared" si="97"/>
        <v>12</v>
      </c>
    </row>
    <row r="844" spans="1:9" x14ac:dyDescent="0.25">
      <c r="A844" s="19">
        <v>42576</v>
      </c>
      <c r="B844" s="20">
        <v>0.9770833333333333</v>
      </c>
      <c r="C844" t="str">
        <f t="shared" si="91"/>
        <v>16</v>
      </c>
      <c r="D844" t="str">
        <f t="shared" si="92"/>
        <v>07</v>
      </c>
      <c r="E844" t="str">
        <f t="shared" si="93"/>
        <v>25</v>
      </c>
      <c r="F844">
        <f t="shared" si="94"/>
        <v>2016</v>
      </c>
      <c r="G844">
        <f t="shared" si="95"/>
        <v>7</v>
      </c>
      <c r="H844">
        <f t="shared" si="96"/>
        <v>25</v>
      </c>
      <c r="I844" t="str">
        <f t="shared" si="97"/>
        <v>16</v>
      </c>
    </row>
    <row r="845" spans="1:9" x14ac:dyDescent="0.25">
      <c r="A845" s="19">
        <v>41395</v>
      </c>
      <c r="B845" s="20">
        <v>0.99583333333333335</v>
      </c>
      <c r="C845" t="str">
        <f t="shared" si="91"/>
        <v>13</v>
      </c>
      <c r="D845" t="str">
        <f t="shared" si="92"/>
        <v>05</v>
      </c>
      <c r="E845" t="str">
        <f t="shared" si="93"/>
        <v>01</v>
      </c>
      <c r="F845">
        <f t="shared" si="94"/>
        <v>2013</v>
      </c>
      <c r="G845">
        <f t="shared" si="95"/>
        <v>5</v>
      </c>
      <c r="H845">
        <f t="shared" si="96"/>
        <v>1</v>
      </c>
      <c r="I845" t="str">
        <f t="shared" si="97"/>
        <v>13</v>
      </c>
    </row>
    <row r="846" spans="1:9" x14ac:dyDescent="0.25">
      <c r="A846" s="19">
        <v>42355</v>
      </c>
      <c r="B846" s="20">
        <v>0.93819444444444444</v>
      </c>
      <c r="C846" t="str">
        <f t="shared" si="91"/>
        <v>15</v>
      </c>
      <c r="D846" t="str">
        <f t="shared" si="92"/>
        <v>12</v>
      </c>
      <c r="E846" t="str">
        <f t="shared" si="93"/>
        <v>17</v>
      </c>
      <c r="F846">
        <f t="shared" si="94"/>
        <v>2015</v>
      </c>
      <c r="G846">
        <f t="shared" si="95"/>
        <v>12</v>
      </c>
      <c r="H846">
        <f t="shared" si="96"/>
        <v>17</v>
      </c>
      <c r="I846" t="str">
        <f t="shared" si="97"/>
        <v>15</v>
      </c>
    </row>
    <row r="847" spans="1:9" x14ac:dyDescent="0.25">
      <c r="A847" s="19">
        <v>41184</v>
      </c>
      <c r="B847" s="20">
        <v>5.486111111111111E-2</v>
      </c>
      <c r="C847" t="str">
        <f t="shared" si="91"/>
        <v>12</v>
      </c>
      <c r="D847" t="str">
        <f t="shared" si="92"/>
        <v>10</v>
      </c>
      <c r="E847" t="str">
        <f t="shared" si="93"/>
        <v>02</v>
      </c>
      <c r="F847">
        <f t="shared" si="94"/>
        <v>2012</v>
      </c>
      <c r="G847">
        <f t="shared" si="95"/>
        <v>10</v>
      </c>
      <c r="H847">
        <f t="shared" si="96"/>
        <v>2</v>
      </c>
      <c r="I847" t="str">
        <f t="shared" si="97"/>
        <v>12</v>
      </c>
    </row>
    <row r="848" spans="1:9" x14ac:dyDescent="0.25">
      <c r="A848" s="19">
        <v>41171</v>
      </c>
      <c r="B848" s="20">
        <v>0.99861111111111112</v>
      </c>
      <c r="C848" t="str">
        <f t="shared" si="91"/>
        <v>12</v>
      </c>
      <c r="D848" t="str">
        <f t="shared" si="92"/>
        <v>09</v>
      </c>
      <c r="E848" t="str">
        <f t="shared" si="93"/>
        <v>19</v>
      </c>
      <c r="F848">
        <f t="shared" si="94"/>
        <v>2012</v>
      </c>
      <c r="G848">
        <f t="shared" si="95"/>
        <v>9</v>
      </c>
      <c r="H848">
        <f t="shared" si="96"/>
        <v>19</v>
      </c>
      <c r="I848" t="str">
        <f t="shared" si="97"/>
        <v>12</v>
      </c>
    </row>
    <row r="849" spans="1:9" x14ac:dyDescent="0.25">
      <c r="A849" s="19">
        <v>41501</v>
      </c>
      <c r="B849" s="20">
        <v>1.6666666666666666E-2</v>
      </c>
      <c r="C849" t="str">
        <f t="shared" si="91"/>
        <v>13</v>
      </c>
      <c r="D849" t="str">
        <f t="shared" si="92"/>
        <v>08</v>
      </c>
      <c r="E849" t="str">
        <f t="shared" si="93"/>
        <v>15</v>
      </c>
      <c r="F849">
        <f t="shared" si="94"/>
        <v>2013</v>
      </c>
      <c r="G849">
        <f t="shared" si="95"/>
        <v>8</v>
      </c>
      <c r="H849">
        <f t="shared" si="96"/>
        <v>15</v>
      </c>
      <c r="I849" t="str">
        <f t="shared" si="97"/>
        <v>13</v>
      </c>
    </row>
    <row r="850" spans="1:9" x14ac:dyDescent="0.25">
      <c r="A850" s="19">
        <v>41048</v>
      </c>
      <c r="B850" s="20">
        <v>0.9868055555555556</v>
      </c>
      <c r="C850" t="str">
        <f t="shared" si="91"/>
        <v>12</v>
      </c>
      <c r="D850" t="str">
        <f t="shared" si="92"/>
        <v>05</v>
      </c>
      <c r="E850" t="str">
        <f t="shared" si="93"/>
        <v>19</v>
      </c>
      <c r="F850">
        <f t="shared" si="94"/>
        <v>2012</v>
      </c>
      <c r="G850">
        <f t="shared" si="95"/>
        <v>5</v>
      </c>
      <c r="H850">
        <f t="shared" si="96"/>
        <v>19</v>
      </c>
      <c r="I850" t="str">
        <f t="shared" si="97"/>
        <v>12</v>
      </c>
    </row>
    <row r="851" spans="1:9" x14ac:dyDescent="0.25">
      <c r="A851" s="19">
        <v>41869</v>
      </c>
      <c r="B851" s="20">
        <v>5.347222222222222E-2</v>
      </c>
      <c r="C851" t="str">
        <f t="shared" si="91"/>
        <v>14</v>
      </c>
      <c r="D851" t="str">
        <f t="shared" si="92"/>
        <v>08</v>
      </c>
      <c r="E851" t="str">
        <f t="shared" si="93"/>
        <v>18</v>
      </c>
      <c r="F851">
        <f t="shared" si="94"/>
        <v>2014</v>
      </c>
      <c r="G851">
        <f t="shared" si="95"/>
        <v>8</v>
      </c>
      <c r="H851">
        <f t="shared" si="96"/>
        <v>18</v>
      </c>
      <c r="I851" t="str">
        <f t="shared" si="97"/>
        <v>14</v>
      </c>
    </row>
    <row r="852" spans="1:9" x14ac:dyDescent="0.25">
      <c r="A852" s="19">
        <v>41527</v>
      </c>
      <c r="B852" s="20">
        <v>5.2083333333333336E-2</v>
      </c>
      <c r="C852" t="str">
        <f t="shared" si="91"/>
        <v>13</v>
      </c>
      <c r="D852" t="str">
        <f t="shared" si="92"/>
        <v>09</v>
      </c>
      <c r="E852" t="str">
        <f t="shared" si="93"/>
        <v>10</v>
      </c>
      <c r="F852">
        <f t="shared" si="94"/>
        <v>2013</v>
      </c>
      <c r="G852">
        <f t="shared" si="95"/>
        <v>9</v>
      </c>
      <c r="H852">
        <f t="shared" si="96"/>
        <v>10</v>
      </c>
      <c r="I852" t="str">
        <f t="shared" si="97"/>
        <v>13</v>
      </c>
    </row>
    <row r="853" spans="1:9" x14ac:dyDescent="0.25">
      <c r="A853" s="19">
        <v>41180</v>
      </c>
      <c r="B853" s="20">
        <v>1.5972222222222221E-2</v>
      </c>
      <c r="C853" t="str">
        <f t="shared" si="91"/>
        <v>12</v>
      </c>
      <c r="D853" t="str">
        <f t="shared" si="92"/>
        <v>09</v>
      </c>
      <c r="E853" t="str">
        <f t="shared" si="93"/>
        <v>28</v>
      </c>
      <c r="F853">
        <f t="shared" si="94"/>
        <v>2012</v>
      </c>
      <c r="G853">
        <f t="shared" si="95"/>
        <v>9</v>
      </c>
      <c r="H853">
        <f t="shared" si="96"/>
        <v>28</v>
      </c>
      <c r="I853" t="str">
        <f t="shared" si="97"/>
        <v>12</v>
      </c>
    </row>
    <row r="854" spans="1:9" x14ac:dyDescent="0.25">
      <c r="A854" s="19">
        <v>42344</v>
      </c>
      <c r="B854" s="20">
        <v>0.98611111111111116</v>
      </c>
      <c r="C854" t="str">
        <f t="shared" si="91"/>
        <v>15</v>
      </c>
      <c r="D854" t="str">
        <f t="shared" si="92"/>
        <v>12</v>
      </c>
      <c r="E854" t="str">
        <f t="shared" si="93"/>
        <v>06</v>
      </c>
      <c r="F854">
        <f t="shared" si="94"/>
        <v>2015</v>
      </c>
      <c r="G854">
        <f t="shared" si="95"/>
        <v>12</v>
      </c>
      <c r="H854">
        <f t="shared" si="96"/>
        <v>6</v>
      </c>
      <c r="I854" t="str">
        <f t="shared" si="97"/>
        <v>15</v>
      </c>
    </row>
    <row r="855" spans="1:9" x14ac:dyDescent="0.25">
      <c r="A855" s="19">
        <v>41964</v>
      </c>
      <c r="B855" s="20">
        <v>0.96875</v>
      </c>
      <c r="C855" t="str">
        <f t="shared" si="91"/>
        <v>14</v>
      </c>
      <c r="D855" t="str">
        <f t="shared" si="92"/>
        <v>11</v>
      </c>
      <c r="E855" t="str">
        <f t="shared" si="93"/>
        <v>21</v>
      </c>
      <c r="F855">
        <f t="shared" si="94"/>
        <v>2014</v>
      </c>
      <c r="G855">
        <f t="shared" si="95"/>
        <v>11</v>
      </c>
      <c r="H855">
        <f t="shared" si="96"/>
        <v>21</v>
      </c>
      <c r="I855" t="str">
        <f t="shared" si="97"/>
        <v>14</v>
      </c>
    </row>
    <row r="856" spans="1:9" x14ac:dyDescent="0.25">
      <c r="A856" s="19">
        <v>41579</v>
      </c>
      <c r="B856" s="20">
        <v>0.98333333333333328</v>
      </c>
      <c r="C856" t="str">
        <f t="shared" si="91"/>
        <v>13</v>
      </c>
      <c r="D856" t="str">
        <f t="shared" si="92"/>
        <v>11</v>
      </c>
      <c r="E856" t="str">
        <f t="shared" si="93"/>
        <v>01</v>
      </c>
      <c r="F856">
        <f t="shared" si="94"/>
        <v>2013</v>
      </c>
      <c r="G856">
        <f t="shared" si="95"/>
        <v>11</v>
      </c>
      <c r="H856">
        <f t="shared" si="96"/>
        <v>1</v>
      </c>
      <c r="I856" t="str">
        <f t="shared" si="97"/>
        <v>13</v>
      </c>
    </row>
    <row r="857" spans="1:9" x14ac:dyDescent="0.25">
      <c r="A857" s="19">
        <v>41445</v>
      </c>
      <c r="B857" s="20">
        <v>6.8750000000000006E-2</v>
      </c>
      <c r="C857" t="str">
        <f t="shared" si="91"/>
        <v>13</v>
      </c>
      <c r="D857" t="str">
        <f t="shared" si="92"/>
        <v>06</v>
      </c>
      <c r="E857" t="str">
        <f t="shared" si="93"/>
        <v>20</v>
      </c>
      <c r="F857">
        <f t="shared" si="94"/>
        <v>2013</v>
      </c>
      <c r="G857">
        <f t="shared" si="95"/>
        <v>6</v>
      </c>
      <c r="H857">
        <f t="shared" si="96"/>
        <v>20</v>
      </c>
      <c r="I857" t="str">
        <f t="shared" si="97"/>
        <v>13</v>
      </c>
    </row>
    <row r="858" spans="1:9" x14ac:dyDescent="0.25">
      <c r="A858" s="19">
        <v>42035</v>
      </c>
      <c r="B858" s="20">
        <v>5.8333333333333334E-2</v>
      </c>
      <c r="C858" t="str">
        <f t="shared" si="91"/>
        <v>15</v>
      </c>
      <c r="D858" t="str">
        <f t="shared" si="92"/>
        <v>01</v>
      </c>
      <c r="E858" t="str">
        <f t="shared" si="93"/>
        <v>31</v>
      </c>
      <c r="F858">
        <f t="shared" si="94"/>
        <v>2015</v>
      </c>
      <c r="G858">
        <f t="shared" si="95"/>
        <v>1</v>
      </c>
      <c r="H858">
        <f t="shared" si="96"/>
        <v>31</v>
      </c>
      <c r="I858" t="str">
        <f t="shared" si="97"/>
        <v>15</v>
      </c>
    </row>
    <row r="859" spans="1:9" x14ac:dyDescent="0.25">
      <c r="A859" s="19">
        <v>41605</v>
      </c>
      <c r="B859" s="20">
        <v>1.5277777777777777E-2</v>
      </c>
      <c r="C859" t="str">
        <f t="shared" si="91"/>
        <v>13</v>
      </c>
      <c r="D859" t="str">
        <f t="shared" si="92"/>
        <v>11</v>
      </c>
      <c r="E859" t="str">
        <f t="shared" si="93"/>
        <v>27</v>
      </c>
      <c r="F859">
        <f t="shared" si="94"/>
        <v>2013</v>
      </c>
      <c r="G859">
        <f t="shared" si="95"/>
        <v>11</v>
      </c>
      <c r="H859">
        <f t="shared" si="96"/>
        <v>27</v>
      </c>
      <c r="I859" t="str">
        <f t="shared" si="97"/>
        <v>13</v>
      </c>
    </row>
    <row r="860" spans="1:9" x14ac:dyDescent="0.25">
      <c r="A860" s="19">
        <v>41494</v>
      </c>
      <c r="B860" s="20">
        <v>4.583333333333333E-2</v>
      </c>
      <c r="C860" t="str">
        <f t="shared" si="91"/>
        <v>13</v>
      </c>
      <c r="D860" t="str">
        <f t="shared" si="92"/>
        <v>08</v>
      </c>
      <c r="E860" t="str">
        <f t="shared" si="93"/>
        <v>08</v>
      </c>
      <c r="F860">
        <f t="shared" si="94"/>
        <v>2013</v>
      </c>
      <c r="G860">
        <f t="shared" si="95"/>
        <v>8</v>
      </c>
      <c r="H860">
        <f t="shared" si="96"/>
        <v>8</v>
      </c>
      <c r="I860" t="str">
        <f t="shared" si="97"/>
        <v>13</v>
      </c>
    </row>
    <row r="861" spans="1:9" x14ac:dyDescent="0.25">
      <c r="A861" s="19">
        <v>41214</v>
      </c>
      <c r="B861" s="20">
        <v>3.3333333333333333E-2</v>
      </c>
      <c r="C861" t="str">
        <f t="shared" si="91"/>
        <v>12</v>
      </c>
      <c r="D861" t="str">
        <f t="shared" si="92"/>
        <v>11</v>
      </c>
      <c r="E861" t="str">
        <f t="shared" si="93"/>
        <v>01</v>
      </c>
      <c r="F861">
        <f t="shared" si="94"/>
        <v>2012</v>
      </c>
      <c r="G861">
        <f t="shared" si="95"/>
        <v>11</v>
      </c>
      <c r="H861">
        <f t="shared" si="96"/>
        <v>1</v>
      </c>
      <c r="I861" t="str">
        <f t="shared" si="97"/>
        <v>12</v>
      </c>
    </row>
    <row r="862" spans="1:9" x14ac:dyDescent="0.25">
      <c r="A862" s="19">
        <v>42273</v>
      </c>
      <c r="B862" s="20">
        <v>8.9583333333333334E-2</v>
      </c>
      <c r="C862" t="str">
        <f t="shared" si="91"/>
        <v>15</v>
      </c>
      <c r="D862" t="str">
        <f t="shared" si="92"/>
        <v>09</v>
      </c>
      <c r="E862" t="str">
        <f t="shared" si="93"/>
        <v>26</v>
      </c>
      <c r="F862">
        <f t="shared" si="94"/>
        <v>2015</v>
      </c>
      <c r="G862">
        <f t="shared" si="95"/>
        <v>9</v>
      </c>
      <c r="H862">
        <f t="shared" si="96"/>
        <v>26</v>
      </c>
      <c r="I862" t="str">
        <f t="shared" si="97"/>
        <v>15</v>
      </c>
    </row>
    <row r="863" spans="1:9" x14ac:dyDescent="0.25">
      <c r="A863" s="19">
        <v>42684</v>
      </c>
      <c r="B863" s="20">
        <v>0.95277777777777772</v>
      </c>
      <c r="C863" t="str">
        <f t="shared" si="91"/>
        <v>16</v>
      </c>
      <c r="D863" t="str">
        <f t="shared" si="92"/>
        <v>11</v>
      </c>
      <c r="E863" t="str">
        <f t="shared" si="93"/>
        <v>10</v>
      </c>
      <c r="F863">
        <f t="shared" si="94"/>
        <v>2016</v>
      </c>
      <c r="G863">
        <f t="shared" si="95"/>
        <v>11</v>
      </c>
      <c r="H863">
        <f t="shared" si="96"/>
        <v>10</v>
      </c>
      <c r="I863" t="str">
        <f t="shared" si="97"/>
        <v>16</v>
      </c>
    </row>
    <row r="864" spans="1:9" x14ac:dyDescent="0.25">
      <c r="A864" s="19">
        <v>42692</v>
      </c>
      <c r="B864" s="20">
        <v>0.95347222222222228</v>
      </c>
      <c r="C864" t="str">
        <f t="shared" si="91"/>
        <v>16</v>
      </c>
      <c r="D864" t="str">
        <f t="shared" si="92"/>
        <v>11</v>
      </c>
      <c r="E864" t="str">
        <f t="shared" si="93"/>
        <v>18</v>
      </c>
      <c r="F864">
        <f t="shared" si="94"/>
        <v>2016</v>
      </c>
      <c r="G864">
        <f t="shared" si="95"/>
        <v>11</v>
      </c>
      <c r="H864">
        <f t="shared" si="96"/>
        <v>18</v>
      </c>
      <c r="I864" t="str">
        <f t="shared" si="97"/>
        <v>16</v>
      </c>
    </row>
    <row r="865" spans="1:9" x14ac:dyDescent="0.25">
      <c r="A865" s="19">
        <v>41699</v>
      </c>
      <c r="B865" s="20">
        <v>0.97777777777777775</v>
      </c>
      <c r="C865" t="str">
        <f t="shared" si="91"/>
        <v>14</v>
      </c>
      <c r="D865" t="str">
        <f t="shared" si="92"/>
        <v>03</v>
      </c>
      <c r="E865" t="str">
        <f t="shared" si="93"/>
        <v>01</v>
      </c>
      <c r="F865">
        <f t="shared" si="94"/>
        <v>2014</v>
      </c>
      <c r="G865">
        <f t="shared" si="95"/>
        <v>3</v>
      </c>
      <c r="H865">
        <f t="shared" si="96"/>
        <v>1</v>
      </c>
      <c r="I865" t="str">
        <f t="shared" si="97"/>
        <v>14</v>
      </c>
    </row>
    <row r="866" spans="1:9" x14ac:dyDescent="0.25">
      <c r="A866" s="19">
        <v>41096</v>
      </c>
      <c r="B866" s="20">
        <v>0.99236111111111114</v>
      </c>
      <c r="C866" t="str">
        <f t="shared" si="91"/>
        <v>12</v>
      </c>
      <c r="D866" t="str">
        <f t="shared" si="92"/>
        <v>07</v>
      </c>
      <c r="E866" t="str">
        <f t="shared" si="93"/>
        <v>06</v>
      </c>
      <c r="F866">
        <f t="shared" si="94"/>
        <v>2012</v>
      </c>
      <c r="G866">
        <f t="shared" si="95"/>
        <v>7</v>
      </c>
      <c r="H866">
        <f t="shared" si="96"/>
        <v>6</v>
      </c>
      <c r="I866" t="str">
        <f t="shared" si="97"/>
        <v>12</v>
      </c>
    </row>
    <row r="867" spans="1:9" x14ac:dyDescent="0.25">
      <c r="A867" s="19">
        <v>41188</v>
      </c>
      <c r="B867" s="20">
        <v>2.5000000000000001E-2</v>
      </c>
      <c r="C867" t="str">
        <f t="shared" si="91"/>
        <v>12</v>
      </c>
      <c r="D867" t="str">
        <f t="shared" si="92"/>
        <v>10</v>
      </c>
      <c r="E867" t="str">
        <f t="shared" si="93"/>
        <v>06</v>
      </c>
      <c r="F867">
        <f t="shared" si="94"/>
        <v>2012</v>
      </c>
      <c r="G867">
        <f t="shared" si="95"/>
        <v>10</v>
      </c>
      <c r="H867">
        <f t="shared" si="96"/>
        <v>6</v>
      </c>
      <c r="I867" t="str">
        <f t="shared" si="97"/>
        <v>12</v>
      </c>
    </row>
    <row r="868" spans="1:9" x14ac:dyDescent="0.25">
      <c r="A868" s="19">
        <v>42409</v>
      </c>
      <c r="B868" s="20">
        <v>1.6666666666666666E-2</v>
      </c>
      <c r="C868" t="str">
        <f t="shared" si="91"/>
        <v>16</v>
      </c>
      <c r="D868" t="str">
        <f t="shared" si="92"/>
        <v>02</v>
      </c>
      <c r="E868" t="str">
        <f t="shared" si="93"/>
        <v>09</v>
      </c>
      <c r="F868">
        <f t="shared" si="94"/>
        <v>2016</v>
      </c>
      <c r="G868">
        <f t="shared" si="95"/>
        <v>2</v>
      </c>
      <c r="H868">
        <f t="shared" si="96"/>
        <v>9</v>
      </c>
      <c r="I868" t="str">
        <f t="shared" si="97"/>
        <v>16</v>
      </c>
    </row>
    <row r="869" spans="1:9" x14ac:dyDescent="0.25">
      <c r="A869" s="19">
        <v>41633</v>
      </c>
      <c r="B869" s="20">
        <v>6.5972222222222224E-2</v>
      </c>
      <c r="C869" t="str">
        <f t="shared" si="91"/>
        <v>13</v>
      </c>
      <c r="D869" t="str">
        <f t="shared" si="92"/>
        <v>12</v>
      </c>
      <c r="E869" t="str">
        <f t="shared" si="93"/>
        <v>25</v>
      </c>
      <c r="F869">
        <f t="shared" si="94"/>
        <v>2013</v>
      </c>
      <c r="G869">
        <f t="shared" si="95"/>
        <v>12</v>
      </c>
      <c r="H869">
        <f t="shared" si="96"/>
        <v>25</v>
      </c>
      <c r="I869" t="str">
        <f t="shared" si="97"/>
        <v>13</v>
      </c>
    </row>
    <row r="870" spans="1:9" x14ac:dyDescent="0.25">
      <c r="A870" s="19">
        <v>42022</v>
      </c>
      <c r="B870" s="20">
        <v>0.98472222222222228</v>
      </c>
      <c r="C870" t="str">
        <f t="shared" si="91"/>
        <v>15</v>
      </c>
      <c r="D870" t="str">
        <f t="shared" si="92"/>
        <v>01</v>
      </c>
      <c r="E870" t="str">
        <f t="shared" si="93"/>
        <v>18</v>
      </c>
      <c r="F870">
        <f t="shared" si="94"/>
        <v>2015</v>
      </c>
      <c r="G870">
        <f t="shared" si="95"/>
        <v>1</v>
      </c>
      <c r="H870">
        <f t="shared" si="96"/>
        <v>18</v>
      </c>
      <c r="I870" t="str">
        <f t="shared" si="97"/>
        <v>15</v>
      </c>
    </row>
    <row r="871" spans="1:9" x14ac:dyDescent="0.25">
      <c r="A871" s="19">
        <v>42232</v>
      </c>
      <c r="B871" s="20">
        <v>7.013888888888889E-2</v>
      </c>
      <c r="C871" t="str">
        <f t="shared" si="91"/>
        <v>15</v>
      </c>
      <c r="D871" t="str">
        <f t="shared" si="92"/>
        <v>08</v>
      </c>
      <c r="E871" t="str">
        <f t="shared" si="93"/>
        <v>16</v>
      </c>
      <c r="F871">
        <f t="shared" si="94"/>
        <v>2015</v>
      </c>
      <c r="G871">
        <f t="shared" si="95"/>
        <v>8</v>
      </c>
      <c r="H871">
        <f t="shared" si="96"/>
        <v>16</v>
      </c>
      <c r="I871" t="str">
        <f t="shared" si="97"/>
        <v>15</v>
      </c>
    </row>
    <row r="872" spans="1:9" x14ac:dyDescent="0.25">
      <c r="A872" s="19">
        <v>41679</v>
      </c>
      <c r="B872" s="20">
        <v>6.805555555555555E-2</v>
      </c>
      <c r="C872" t="str">
        <f t="shared" si="91"/>
        <v>14</v>
      </c>
      <c r="D872" t="str">
        <f t="shared" si="92"/>
        <v>02</v>
      </c>
      <c r="E872" t="str">
        <f t="shared" si="93"/>
        <v>09</v>
      </c>
      <c r="F872">
        <f t="shared" si="94"/>
        <v>2014</v>
      </c>
      <c r="G872">
        <f t="shared" si="95"/>
        <v>2</v>
      </c>
      <c r="H872">
        <f t="shared" si="96"/>
        <v>9</v>
      </c>
      <c r="I872" t="str">
        <f t="shared" si="97"/>
        <v>14</v>
      </c>
    </row>
    <row r="873" spans="1:9" x14ac:dyDescent="0.25">
      <c r="A873" s="19">
        <v>41518</v>
      </c>
      <c r="B873" s="20">
        <v>7.6388888888888895E-2</v>
      </c>
      <c r="C873" t="str">
        <f t="shared" si="91"/>
        <v>13</v>
      </c>
      <c r="D873" t="str">
        <f t="shared" si="92"/>
        <v>09</v>
      </c>
      <c r="E873" t="str">
        <f t="shared" si="93"/>
        <v>01</v>
      </c>
      <c r="F873">
        <f t="shared" si="94"/>
        <v>2013</v>
      </c>
      <c r="G873">
        <f t="shared" si="95"/>
        <v>9</v>
      </c>
      <c r="H873">
        <f t="shared" si="96"/>
        <v>1</v>
      </c>
      <c r="I873" t="str">
        <f t="shared" si="97"/>
        <v>13</v>
      </c>
    </row>
    <row r="874" spans="1:9" x14ac:dyDescent="0.25">
      <c r="A874" s="19">
        <v>41676</v>
      </c>
      <c r="B874" s="20">
        <v>1.8055555555555554E-2</v>
      </c>
      <c r="C874" t="str">
        <f t="shared" si="91"/>
        <v>14</v>
      </c>
      <c r="D874" t="str">
        <f t="shared" si="92"/>
        <v>02</v>
      </c>
      <c r="E874" t="str">
        <f t="shared" si="93"/>
        <v>06</v>
      </c>
      <c r="F874">
        <f t="shared" si="94"/>
        <v>2014</v>
      </c>
      <c r="G874">
        <f t="shared" si="95"/>
        <v>2</v>
      </c>
      <c r="H874">
        <f t="shared" si="96"/>
        <v>6</v>
      </c>
      <c r="I874" t="str">
        <f t="shared" si="97"/>
        <v>14</v>
      </c>
    </row>
    <row r="875" spans="1:9" x14ac:dyDescent="0.25">
      <c r="A875" s="19">
        <v>40985</v>
      </c>
      <c r="B875" s="20">
        <v>2.9166666666666667E-2</v>
      </c>
      <c r="C875" t="str">
        <f t="shared" si="91"/>
        <v>12</v>
      </c>
      <c r="D875" t="str">
        <f t="shared" si="92"/>
        <v>03</v>
      </c>
      <c r="E875" t="str">
        <f t="shared" si="93"/>
        <v>17</v>
      </c>
      <c r="F875">
        <f t="shared" si="94"/>
        <v>2012</v>
      </c>
      <c r="G875">
        <f t="shared" si="95"/>
        <v>3</v>
      </c>
      <c r="H875">
        <f t="shared" si="96"/>
        <v>17</v>
      </c>
      <c r="I875" t="str">
        <f t="shared" si="97"/>
        <v>12</v>
      </c>
    </row>
    <row r="876" spans="1:9" x14ac:dyDescent="0.25">
      <c r="A876" s="19">
        <v>41152</v>
      </c>
      <c r="B876" s="20">
        <v>1.8749999999999999E-2</v>
      </c>
      <c r="C876" t="str">
        <f t="shared" si="91"/>
        <v>12</v>
      </c>
      <c r="D876" t="str">
        <f t="shared" si="92"/>
        <v>08</v>
      </c>
      <c r="E876" t="str">
        <f t="shared" si="93"/>
        <v>31</v>
      </c>
      <c r="F876">
        <f t="shared" si="94"/>
        <v>2012</v>
      </c>
      <c r="G876">
        <f t="shared" si="95"/>
        <v>8</v>
      </c>
      <c r="H876">
        <f t="shared" si="96"/>
        <v>31</v>
      </c>
      <c r="I876" t="str">
        <f t="shared" si="97"/>
        <v>12</v>
      </c>
    </row>
    <row r="877" spans="1:9" x14ac:dyDescent="0.25">
      <c r="A877" s="19">
        <v>42568</v>
      </c>
      <c r="B877" s="20">
        <v>0.97013888888888888</v>
      </c>
      <c r="C877" t="str">
        <f t="shared" si="91"/>
        <v>16</v>
      </c>
      <c r="D877" t="str">
        <f t="shared" si="92"/>
        <v>07</v>
      </c>
      <c r="E877" t="str">
        <f t="shared" si="93"/>
        <v>17</v>
      </c>
      <c r="F877">
        <f t="shared" si="94"/>
        <v>2016</v>
      </c>
      <c r="G877">
        <f t="shared" si="95"/>
        <v>7</v>
      </c>
      <c r="H877">
        <f t="shared" si="96"/>
        <v>17</v>
      </c>
      <c r="I877" t="str">
        <f t="shared" si="97"/>
        <v>16</v>
      </c>
    </row>
    <row r="878" spans="1:9" x14ac:dyDescent="0.25">
      <c r="A878" s="19">
        <v>41511</v>
      </c>
      <c r="B878" s="20">
        <v>1.3888888888888888E-2</v>
      </c>
      <c r="C878" t="str">
        <f t="shared" si="91"/>
        <v>13</v>
      </c>
      <c r="D878" t="str">
        <f t="shared" si="92"/>
        <v>08</v>
      </c>
      <c r="E878" t="str">
        <f t="shared" si="93"/>
        <v>25</v>
      </c>
      <c r="F878">
        <f t="shared" si="94"/>
        <v>2013</v>
      </c>
      <c r="G878">
        <f t="shared" si="95"/>
        <v>8</v>
      </c>
      <c r="H878">
        <f t="shared" si="96"/>
        <v>25</v>
      </c>
      <c r="I878" t="str">
        <f t="shared" si="97"/>
        <v>13</v>
      </c>
    </row>
    <row r="879" spans="1:9" x14ac:dyDescent="0.25">
      <c r="A879" s="19">
        <v>41638</v>
      </c>
      <c r="B879" s="20">
        <v>0.99583333333333335</v>
      </c>
      <c r="C879" t="str">
        <f t="shared" si="91"/>
        <v>13</v>
      </c>
      <c r="D879" t="str">
        <f t="shared" si="92"/>
        <v>12</v>
      </c>
      <c r="E879" t="str">
        <f t="shared" si="93"/>
        <v>30</v>
      </c>
      <c r="F879">
        <f t="shared" si="94"/>
        <v>2013</v>
      </c>
      <c r="G879">
        <f t="shared" si="95"/>
        <v>12</v>
      </c>
      <c r="H879">
        <f t="shared" si="96"/>
        <v>30</v>
      </c>
      <c r="I879" t="str">
        <f t="shared" si="97"/>
        <v>13</v>
      </c>
    </row>
    <row r="880" spans="1:9" x14ac:dyDescent="0.25">
      <c r="A880" s="19">
        <v>42230</v>
      </c>
      <c r="B880" s="20">
        <v>0.96527777777777779</v>
      </c>
      <c r="C880" t="str">
        <f t="shared" si="91"/>
        <v>15</v>
      </c>
      <c r="D880" t="str">
        <f t="shared" si="92"/>
        <v>08</v>
      </c>
      <c r="E880" t="str">
        <f t="shared" si="93"/>
        <v>14</v>
      </c>
      <c r="F880">
        <f t="shared" si="94"/>
        <v>2015</v>
      </c>
      <c r="G880">
        <f t="shared" si="95"/>
        <v>8</v>
      </c>
      <c r="H880">
        <f t="shared" si="96"/>
        <v>14</v>
      </c>
      <c r="I880" t="str">
        <f t="shared" si="97"/>
        <v>15</v>
      </c>
    </row>
    <row r="881" spans="1:9" x14ac:dyDescent="0.25">
      <c r="A881" s="19">
        <v>42380</v>
      </c>
      <c r="B881" s="20">
        <v>0.94444444444444442</v>
      </c>
      <c r="C881" t="str">
        <f t="shared" si="91"/>
        <v>16</v>
      </c>
      <c r="D881" t="str">
        <f t="shared" si="92"/>
        <v>01</v>
      </c>
      <c r="E881" t="str">
        <f t="shared" si="93"/>
        <v>11</v>
      </c>
      <c r="F881">
        <f t="shared" si="94"/>
        <v>2016</v>
      </c>
      <c r="G881">
        <f t="shared" si="95"/>
        <v>1</v>
      </c>
      <c r="H881">
        <f t="shared" si="96"/>
        <v>11</v>
      </c>
      <c r="I881" t="str">
        <f t="shared" si="97"/>
        <v>16</v>
      </c>
    </row>
    <row r="882" spans="1:9" x14ac:dyDescent="0.25">
      <c r="A882" s="19">
        <v>41387</v>
      </c>
      <c r="B882" s="20">
        <v>3.888888888888889E-2</v>
      </c>
      <c r="C882" t="str">
        <f t="shared" si="91"/>
        <v>13</v>
      </c>
      <c r="D882" t="str">
        <f t="shared" si="92"/>
        <v>04</v>
      </c>
      <c r="E882" t="str">
        <f t="shared" si="93"/>
        <v>23</v>
      </c>
      <c r="F882">
        <f t="shared" si="94"/>
        <v>2013</v>
      </c>
      <c r="G882">
        <f t="shared" si="95"/>
        <v>4</v>
      </c>
      <c r="H882">
        <f t="shared" si="96"/>
        <v>23</v>
      </c>
      <c r="I882" t="str">
        <f t="shared" si="97"/>
        <v>13</v>
      </c>
    </row>
    <row r="883" spans="1:9" x14ac:dyDescent="0.25">
      <c r="A883" s="19">
        <v>41608</v>
      </c>
      <c r="B883" s="20">
        <v>6.25E-2</v>
      </c>
      <c r="C883" t="str">
        <f t="shared" si="91"/>
        <v>13</v>
      </c>
      <c r="D883" t="str">
        <f t="shared" si="92"/>
        <v>11</v>
      </c>
      <c r="E883" t="str">
        <f t="shared" si="93"/>
        <v>30</v>
      </c>
      <c r="F883">
        <f t="shared" si="94"/>
        <v>2013</v>
      </c>
      <c r="G883">
        <f t="shared" si="95"/>
        <v>11</v>
      </c>
      <c r="H883">
        <f t="shared" si="96"/>
        <v>30</v>
      </c>
      <c r="I883" t="str">
        <f t="shared" si="97"/>
        <v>13</v>
      </c>
    </row>
    <row r="884" spans="1:9" x14ac:dyDescent="0.25">
      <c r="A884" s="19">
        <v>40999</v>
      </c>
      <c r="B884" s="20">
        <v>1.9444444444444445E-2</v>
      </c>
      <c r="C884" t="str">
        <f t="shared" si="91"/>
        <v>12</v>
      </c>
      <c r="D884" t="str">
        <f t="shared" si="92"/>
        <v>03</v>
      </c>
      <c r="E884" t="str">
        <f t="shared" si="93"/>
        <v>31</v>
      </c>
      <c r="F884">
        <f t="shared" si="94"/>
        <v>2012</v>
      </c>
      <c r="G884">
        <f t="shared" si="95"/>
        <v>3</v>
      </c>
      <c r="H884">
        <f t="shared" si="96"/>
        <v>31</v>
      </c>
      <c r="I884" t="str">
        <f t="shared" si="97"/>
        <v>12</v>
      </c>
    </row>
    <row r="885" spans="1:9" x14ac:dyDescent="0.25">
      <c r="A885" s="19">
        <v>40945</v>
      </c>
      <c r="B885" s="20">
        <v>0.99444444444444446</v>
      </c>
      <c r="C885" t="str">
        <f t="shared" si="91"/>
        <v>12</v>
      </c>
      <c r="D885" t="str">
        <f t="shared" si="92"/>
        <v>02</v>
      </c>
      <c r="E885" t="str">
        <f t="shared" si="93"/>
        <v>06</v>
      </c>
      <c r="F885">
        <f t="shared" si="94"/>
        <v>2012</v>
      </c>
      <c r="G885">
        <f t="shared" si="95"/>
        <v>2</v>
      </c>
      <c r="H885">
        <f t="shared" si="96"/>
        <v>6</v>
      </c>
      <c r="I885" t="str">
        <f t="shared" si="97"/>
        <v>12</v>
      </c>
    </row>
    <row r="886" spans="1:9" x14ac:dyDescent="0.25">
      <c r="A886" s="19">
        <v>41388</v>
      </c>
      <c r="B886" s="20">
        <v>7.1527777777777773E-2</v>
      </c>
      <c r="C886" t="str">
        <f t="shared" si="91"/>
        <v>13</v>
      </c>
      <c r="D886" t="str">
        <f t="shared" si="92"/>
        <v>04</v>
      </c>
      <c r="E886" t="str">
        <f t="shared" si="93"/>
        <v>24</v>
      </c>
      <c r="F886">
        <f t="shared" si="94"/>
        <v>2013</v>
      </c>
      <c r="G886">
        <f t="shared" si="95"/>
        <v>4</v>
      </c>
      <c r="H886">
        <f t="shared" si="96"/>
        <v>24</v>
      </c>
      <c r="I886" t="str">
        <f t="shared" si="97"/>
        <v>13</v>
      </c>
    </row>
    <row r="887" spans="1:9" x14ac:dyDescent="0.25">
      <c r="A887" s="19">
        <v>41981</v>
      </c>
      <c r="B887" s="20">
        <v>1.4583333333333334E-2</v>
      </c>
      <c r="C887" t="str">
        <f t="shared" si="91"/>
        <v>14</v>
      </c>
      <c r="D887" t="str">
        <f t="shared" si="92"/>
        <v>12</v>
      </c>
      <c r="E887" t="str">
        <f t="shared" si="93"/>
        <v>08</v>
      </c>
      <c r="F887">
        <f t="shared" si="94"/>
        <v>2014</v>
      </c>
      <c r="G887">
        <f t="shared" si="95"/>
        <v>12</v>
      </c>
      <c r="H887">
        <f t="shared" si="96"/>
        <v>8</v>
      </c>
      <c r="I887" t="str">
        <f t="shared" si="97"/>
        <v>14</v>
      </c>
    </row>
    <row r="888" spans="1:9" x14ac:dyDescent="0.25">
      <c r="A888" s="19">
        <v>41613</v>
      </c>
      <c r="B888" s="20">
        <v>2.6388888888888889E-2</v>
      </c>
      <c r="C888" t="str">
        <f t="shared" si="91"/>
        <v>13</v>
      </c>
      <c r="D888" t="str">
        <f t="shared" si="92"/>
        <v>12</v>
      </c>
      <c r="E888" t="str">
        <f t="shared" si="93"/>
        <v>05</v>
      </c>
      <c r="F888">
        <f t="shared" si="94"/>
        <v>2013</v>
      </c>
      <c r="G888">
        <f t="shared" si="95"/>
        <v>12</v>
      </c>
      <c r="H888">
        <f t="shared" si="96"/>
        <v>5</v>
      </c>
      <c r="I888" t="str">
        <f t="shared" si="97"/>
        <v>13</v>
      </c>
    </row>
    <row r="889" spans="1:9" x14ac:dyDescent="0.25">
      <c r="A889" s="19">
        <v>42238</v>
      </c>
      <c r="B889" s="20">
        <v>4.7222222222222221E-2</v>
      </c>
      <c r="C889" t="str">
        <f t="shared" si="91"/>
        <v>15</v>
      </c>
      <c r="D889" t="str">
        <f t="shared" si="92"/>
        <v>08</v>
      </c>
      <c r="E889" t="str">
        <f t="shared" si="93"/>
        <v>22</v>
      </c>
      <c r="F889">
        <f t="shared" si="94"/>
        <v>2015</v>
      </c>
      <c r="G889">
        <f t="shared" si="95"/>
        <v>8</v>
      </c>
      <c r="H889">
        <f t="shared" si="96"/>
        <v>22</v>
      </c>
      <c r="I889" t="str">
        <f t="shared" si="97"/>
        <v>15</v>
      </c>
    </row>
    <row r="890" spans="1:9" x14ac:dyDescent="0.25">
      <c r="A890" s="19">
        <v>42159</v>
      </c>
      <c r="B890" s="20">
        <v>6.6666666666666666E-2</v>
      </c>
      <c r="C890" t="str">
        <f t="shared" si="91"/>
        <v>15</v>
      </c>
      <c r="D890" t="str">
        <f t="shared" si="92"/>
        <v>06</v>
      </c>
      <c r="E890" t="str">
        <f t="shared" si="93"/>
        <v>04</v>
      </c>
      <c r="F890">
        <f t="shared" si="94"/>
        <v>2015</v>
      </c>
      <c r="G890">
        <f t="shared" si="95"/>
        <v>6</v>
      </c>
      <c r="H890">
        <f t="shared" si="96"/>
        <v>4</v>
      </c>
      <c r="I890" t="str">
        <f t="shared" si="97"/>
        <v>15</v>
      </c>
    </row>
    <row r="891" spans="1:9" x14ac:dyDescent="0.25">
      <c r="A891" s="19">
        <v>42286</v>
      </c>
      <c r="B891" s="20">
        <v>7.5694444444444439E-2</v>
      </c>
      <c r="C891" t="str">
        <f t="shared" si="91"/>
        <v>15</v>
      </c>
      <c r="D891" t="str">
        <f t="shared" si="92"/>
        <v>10</v>
      </c>
      <c r="E891" t="str">
        <f t="shared" si="93"/>
        <v>09</v>
      </c>
      <c r="F891">
        <f t="shared" si="94"/>
        <v>2015</v>
      </c>
      <c r="G891">
        <f t="shared" si="95"/>
        <v>10</v>
      </c>
      <c r="H891">
        <f t="shared" si="96"/>
        <v>9</v>
      </c>
      <c r="I891" t="str">
        <f t="shared" si="97"/>
        <v>15</v>
      </c>
    </row>
    <row r="892" spans="1:9" x14ac:dyDescent="0.25">
      <c r="A892" s="19">
        <v>41571</v>
      </c>
      <c r="B892" s="20">
        <v>2.361111111111111E-2</v>
      </c>
      <c r="C892" t="str">
        <f t="shared" si="91"/>
        <v>13</v>
      </c>
      <c r="D892" t="str">
        <f t="shared" si="92"/>
        <v>10</v>
      </c>
      <c r="E892" t="str">
        <f t="shared" si="93"/>
        <v>24</v>
      </c>
      <c r="F892">
        <f t="shared" si="94"/>
        <v>2013</v>
      </c>
      <c r="G892">
        <f t="shared" si="95"/>
        <v>10</v>
      </c>
      <c r="H892">
        <f t="shared" si="96"/>
        <v>24</v>
      </c>
      <c r="I892" t="str">
        <f t="shared" si="97"/>
        <v>13</v>
      </c>
    </row>
    <row r="893" spans="1:9" x14ac:dyDescent="0.25">
      <c r="A893" s="19">
        <v>42517</v>
      </c>
      <c r="B893" s="20">
        <v>0.96805555555555556</v>
      </c>
      <c r="C893" t="str">
        <f t="shared" si="91"/>
        <v>16</v>
      </c>
      <c r="D893" t="str">
        <f t="shared" si="92"/>
        <v>05</v>
      </c>
      <c r="E893" t="str">
        <f t="shared" si="93"/>
        <v>27</v>
      </c>
      <c r="F893">
        <f t="shared" si="94"/>
        <v>2016</v>
      </c>
      <c r="G893">
        <f t="shared" si="95"/>
        <v>5</v>
      </c>
      <c r="H893">
        <f t="shared" si="96"/>
        <v>27</v>
      </c>
      <c r="I893" t="str">
        <f t="shared" si="97"/>
        <v>16</v>
      </c>
    </row>
    <row r="894" spans="1:9" x14ac:dyDescent="0.25">
      <c r="A894" s="19">
        <v>42752</v>
      </c>
      <c r="B894" s="20">
        <v>6.9444444444444448E-2</v>
      </c>
      <c r="C894" t="str">
        <f t="shared" si="91"/>
        <v>17</v>
      </c>
      <c r="D894" t="str">
        <f t="shared" si="92"/>
        <v>01</v>
      </c>
      <c r="E894" t="str">
        <f t="shared" si="93"/>
        <v>17</v>
      </c>
      <c r="F894">
        <f t="shared" si="94"/>
        <v>2017</v>
      </c>
      <c r="G894">
        <f t="shared" si="95"/>
        <v>1</v>
      </c>
      <c r="H894">
        <f t="shared" si="96"/>
        <v>17</v>
      </c>
      <c r="I894" t="str">
        <f t="shared" si="97"/>
        <v>17</v>
      </c>
    </row>
    <row r="895" spans="1:9" x14ac:dyDescent="0.25">
      <c r="A895" s="19">
        <v>41455</v>
      </c>
      <c r="B895" s="20">
        <v>7.6388888888888895E-2</v>
      </c>
      <c r="C895" t="str">
        <f t="shared" si="91"/>
        <v>13</v>
      </c>
      <c r="D895" t="str">
        <f t="shared" si="92"/>
        <v>06</v>
      </c>
      <c r="E895" t="str">
        <f t="shared" si="93"/>
        <v>30</v>
      </c>
      <c r="F895">
        <f t="shared" si="94"/>
        <v>2013</v>
      </c>
      <c r="G895">
        <f t="shared" si="95"/>
        <v>6</v>
      </c>
      <c r="H895">
        <f t="shared" si="96"/>
        <v>30</v>
      </c>
      <c r="I895" t="str">
        <f t="shared" si="97"/>
        <v>13</v>
      </c>
    </row>
    <row r="896" spans="1:9" x14ac:dyDescent="0.25">
      <c r="A896" s="19">
        <v>41210</v>
      </c>
      <c r="B896" s="20">
        <v>2.7777777777777776E-2</v>
      </c>
      <c r="C896" t="str">
        <f t="shared" si="91"/>
        <v>12</v>
      </c>
      <c r="D896" t="str">
        <f t="shared" si="92"/>
        <v>10</v>
      </c>
      <c r="E896" t="str">
        <f t="shared" si="93"/>
        <v>28</v>
      </c>
      <c r="F896">
        <f t="shared" si="94"/>
        <v>2012</v>
      </c>
      <c r="G896">
        <f t="shared" si="95"/>
        <v>10</v>
      </c>
      <c r="H896">
        <f t="shared" si="96"/>
        <v>28</v>
      </c>
      <c r="I896" t="str">
        <f t="shared" si="97"/>
        <v>12</v>
      </c>
    </row>
    <row r="897" spans="1:9" x14ac:dyDescent="0.25">
      <c r="A897" s="19">
        <v>41520</v>
      </c>
      <c r="B897" s="20">
        <v>3.5416666666666666E-2</v>
      </c>
      <c r="C897" t="str">
        <f t="shared" si="91"/>
        <v>13</v>
      </c>
      <c r="D897" t="str">
        <f t="shared" si="92"/>
        <v>09</v>
      </c>
      <c r="E897" t="str">
        <f t="shared" si="93"/>
        <v>03</v>
      </c>
      <c r="F897">
        <f t="shared" si="94"/>
        <v>2013</v>
      </c>
      <c r="G897">
        <f t="shared" si="95"/>
        <v>9</v>
      </c>
      <c r="H897">
        <f t="shared" si="96"/>
        <v>3</v>
      </c>
      <c r="I897" t="str">
        <f t="shared" si="97"/>
        <v>13</v>
      </c>
    </row>
    <row r="898" spans="1:9" x14ac:dyDescent="0.25">
      <c r="A898" s="19">
        <v>41509</v>
      </c>
      <c r="B898" s="20">
        <v>5.0694444444444445E-2</v>
      </c>
      <c r="C898" t="str">
        <f t="shared" si="91"/>
        <v>13</v>
      </c>
      <c r="D898" t="str">
        <f t="shared" si="92"/>
        <v>08</v>
      </c>
      <c r="E898" t="str">
        <f t="shared" si="93"/>
        <v>23</v>
      </c>
      <c r="F898">
        <f t="shared" si="94"/>
        <v>2013</v>
      </c>
      <c r="G898">
        <f t="shared" si="95"/>
        <v>8</v>
      </c>
      <c r="H898">
        <f t="shared" si="96"/>
        <v>23</v>
      </c>
      <c r="I898" t="str">
        <f t="shared" si="97"/>
        <v>13</v>
      </c>
    </row>
    <row r="899" spans="1:9" x14ac:dyDescent="0.25">
      <c r="A899" s="19">
        <v>41712</v>
      </c>
      <c r="B899" s="20">
        <v>0.97569444444444442</v>
      </c>
      <c r="C899" t="str">
        <f t="shared" ref="C899:C962" si="98">TEXT(A899,"YY")</f>
        <v>14</v>
      </c>
      <c r="D899" t="str">
        <f t="shared" ref="D899:D962" si="99">TEXT(A899,"mm")</f>
        <v>03</v>
      </c>
      <c r="E899" t="str">
        <f t="shared" ref="E899:E962" si="100">TEXT(A899,"dd")</f>
        <v>14</v>
      </c>
      <c r="F899">
        <f t="shared" ref="F899:F962" si="101">YEAR($A899)</f>
        <v>2014</v>
      </c>
      <c r="G899">
        <f t="shared" ref="G899:G962" si="102">MONTH($A899)</f>
        <v>3</v>
      </c>
      <c r="H899">
        <f t="shared" ref="H899:H962" si="103">DAY($A899)</f>
        <v>14</v>
      </c>
      <c r="I899" t="str">
        <f t="shared" ref="I899:I962" si="104">TEXT($A899,"YY")</f>
        <v>14</v>
      </c>
    </row>
    <row r="900" spans="1:9" x14ac:dyDescent="0.25">
      <c r="A900" s="19">
        <v>42093</v>
      </c>
      <c r="B900" s="20">
        <v>4.8611111111111112E-3</v>
      </c>
      <c r="C900" t="str">
        <f t="shared" si="98"/>
        <v>15</v>
      </c>
      <c r="D900" t="str">
        <f t="shared" si="99"/>
        <v>03</v>
      </c>
      <c r="E900" t="str">
        <f t="shared" si="100"/>
        <v>30</v>
      </c>
      <c r="F900">
        <f t="shared" si="101"/>
        <v>2015</v>
      </c>
      <c r="G900">
        <f t="shared" si="102"/>
        <v>3</v>
      </c>
      <c r="H900">
        <f t="shared" si="103"/>
        <v>30</v>
      </c>
      <c r="I900" t="str">
        <f t="shared" si="104"/>
        <v>15</v>
      </c>
    </row>
    <row r="901" spans="1:9" x14ac:dyDescent="0.25">
      <c r="A901" s="19">
        <v>41288</v>
      </c>
      <c r="B901" s="20">
        <v>6.805555555555555E-2</v>
      </c>
      <c r="C901" t="str">
        <f t="shared" si="98"/>
        <v>13</v>
      </c>
      <c r="D901" t="str">
        <f t="shared" si="99"/>
        <v>01</v>
      </c>
      <c r="E901" t="str">
        <f t="shared" si="100"/>
        <v>14</v>
      </c>
      <c r="F901">
        <f t="shared" si="101"/>
        <v>2013</v>
      </c>
      <c r="G901">
        <f t="shared" si="102"/>
        <v>1</v>
      </c>
      <c r="H901">
        <f t="shared" si="103"/>
        <v>14</v>
      </c>
      <c r="I901" t="str">
        <f t="shared" si="104"/>
        <v>13</v>
      </c>
    </row>
    <row r="902" spans="1:9" x14ac:dyDescent="0.25">
      <c r="A902" s="19">
        <v>42242</v>
      </c>
      <c r="B902" s="20">
        <v>0.96944444444444444</v>
      </c>
      <c r="C902" t="str">
        <f t="shared" si="98"/>
        <v>15</v>
      </c>
      <c r="D902" t="str">
        <f t="shared" si="99"/>
        <v>08</v>
      </c>
      <c r="E902" t="str">
        <f t="shared" si="100"/>
        <v>26</v>
      </c>
      <c r="F902">
        <f t="shared" si="101"/>
        <v>2015</v>
      </c>
      <c r="G902">
        <f t="shared" si="102"/>
        <v>8</v>
      </c>
      <c r="H902">
        <f t="shared" si="103"/>
        <v>26</v>
      </c>
      <c r="I902" t="str">
        <f t="shared" si="104"/>
        <v>15</v>
      </c>
    </row>
    <row r="903" spans="1:9" x14ac:dyDescent="0.25">
      <c r="A903" s="19">
        <v>41622</v>
      </c>
      <c r="B903" s="20">
        <v>0.99097222222222225</v>
      </c>
      <c r="C903" t="str">
        <f t="shared" si="98"/>
        <v>13</v>
      </c>
      <c r="D903" t="str">
        <f t="shared" si="99"/>
        <v>12</v>
      </c>
      <c r="E903" t="str">
        <f t="shared" si="100"/>
        <v>14</v>
      </c>
      <c r="F903">
        <f t="shared" si="101"/>
        <v>2013</v>
      </c>
      <c r="G903">
        <f t="shared" si="102"/>
        <v>12</v>
      </c>
      <c r="H903">
        <f t="shared" si="103"/>
        <v>14</v>
      </c>
      <c r="I903" t="str">
        <f t="shared" si="104"/>
        <v>13</v>
      </c>
    </row>
    <row r="904" spans="1:9" x14ac:dyDescent="0.25">
      <c r="A904" s="19">
        <v>41836</v>
      </c>
      <c r="B904" s="20">
        <v>0.99791666666666667</v>
      </c>
      <c r="C904" t="str">
        <f t="shared" si="98"/>
        <v>14</v>
      </c>
      <c r="D904" t="str">
        <f t="shared" si="99"/>
        <v>07</v>
      </c>
      <c r="E904" t="str">
        <f t="shared" si="100"/>
        <v>16</v>
      </c>
      <c r="F904">
        <f t="shared" si="101"/>
        <v>2014</v>
      </c>
      <c r="G904">
        <f t="shared" si="102"/>
        <v>7</v>
      </c>
      <c r="H904">
        <f t="shared" si="103"/>
        <v>16</v>
      </c>
      <c r="I904" t="str">
        <f t="shared" si="104"/>
        <v>14</v>
      </c>
    </row>
    <row r="905" spans="1:9" x14ac:dyDescent="0.25">
      <c r="A905" s="19">
        <v>41098</v>
      </c>
      <c r="B905" s="20">
        <v>8.7499999999999994E-2</v>
      </c>
      <c r="C905" t="str">
        <f t="shared" si="98"/>
        <v>12</v>
      </c>
      <c r="D905" t="str">
        <f t="shared" si="99"/>
        <v>07</v>
      </c>
      <c r="E905" t="str">
        <f t="shared" si="100"/>
        <v>08</v>
      </c>
      <c r="F905">
        <f t="shared" si="101"/>
        <v>2012</v>
      </c>
      <c r="G905">
        <f t="shared" si="102"/>
        <v>7</v>
      </c>
      <c r="H905">
        <f t="shared" si="103"/>
        <v>8</v>
      </c>
      <c r="I905" t="str">
        <f t="shared" si="104"/>
        <v>12</v>
      </c>
    </row>
    <row r="906" spans="1:9" x14ac:dyDescent="0.25">
      <c r="A906" s="19">
        <v>41040</v>
      </c>
      <c r="B906" s="20">
        <v>8.1250000000000003E-2</v>
      </c>
      <c r="C906" t="str">
        <f t="shared" si="98"/>
        <v>12</v>
      </c>
      <c r="D906" t="str">
        <f t="shared" si="99"/>
        <v>05</v>
      </c>
      <c r="E906" t="str">
        <f t="shared" si="100"/>
        <v>11</v>
      </c>
      <c r="F906">
        <f t="shared" si="101"/>
        <v>2012</v>
      </c>
      <c r="G906">
        <f t="shared" si="102"/>
        <v>5</v>
      </c>
      <c r="H906">
        <f t="shared" si="103"/>
        <v>11</v>
      </c>
      <c r="I906" t="str">
        <f t="shared" si="104"/>
        <v>12</v>
      </c>
    </row>
    <row r="907" spans="1:9" x14ac:dyDescent="0.25">
      <c r="A907" s="19">
        <v>42569</v>
      </c>
      <c r="B907" s="20">
        <v>0.94374999999999998</v>
      </c>
      <c r="C907" t="str">
        <f t="shared" si="98"/>
        <v>16</v>
      </c>
      <c r="D907" t="str">
        <f t="shared" si="99"/>
        <v>07</v>
      </c>
      <c r="E907" t="str">
        <f t="shared" si="100"/>
        <v>18</v>
      </c>
      <c r="F907">
        <f t="shared" si="101"/>
        <v>2016</v>
      </c>
      <c r="G907">
        <f t="shared" si="102"/>
        <v>7</v>
      </c>
      <c r="H907">
        <f t="shared" si="103"/>
        <v>18</v>
      </c>
      <c r="I907" t="str">
        <f t="shared" si="104"/>
        <v>16</v>
      </c>
    </row>
    <row r="908" spans="1:9" x14ac:dyDescent="0.25">
      <c r="A908" s="19">
        <v>41310</v>
      </c>
      <c r="B908" s="20">
        <v>6.7361111111111108E-2</v>
      </c>
      <c r="C908" t="str">
        <f t="shared" si="98"/>
        <v>13</v>
      </c>
      <c r="D908" t="str">
        <f t="shared" si="99"/>
        <v>02</v>
      </c>
      <c r="E908" t="str">
        <f t="shared" si="100"/>
        <v>05</v>
      </c>
      <c r="F908">
        <f t="shared" si="101"/>
        <v>2013</v>
      </c>
      <c r="G908">
        <f t="shared" si="102"/>
        <v>2</v>
      </c>
      <c r="H908">
        <f t="shared" si="103"/>
        <v>5</v>
      </c>
      <c r="I908" t="str">
        <f t="shared" si="104"/>
        <v>13</v>
      </c>
    </row>
    <row r="909" spans="1:9" x14ac:dyDescent="0.25">
      <c r="A909" s="19">
        <v>41586</v>
      </c>
      <c r="B909" s="20">
        <v>3.6805555555555557E-2</v>
      </c>
      <c r="C909" t="str">
        <f t="shared" si="98"/>
        <v>13</v>
      </c>
      <c r="D909" t="str">
        <f t="shared" si="99"/>
        <v>11</v>
      </c>
      <c r="E909" t="str">
        <f t="shared" si="100"/>
        <v>08</v>
      </c>
      <c r="F909">
        <f t="shared" si="101"/>
        <v>2013</v>
      </c>
      <c r="G909">
        <f t="shared" si="102"/>
        <v>11</v>
      </c>
      <c r="H909">
        <f t="shared" si="103"/>
        <v>8</v>
      </c>
      <c r="I909" t="str">
        <f t="shared" si="104"/>
        <v>13</v>
      </c>
    </row>
    <row r="910" spans="1:9" x14ac:dyDescent="0.25">
      <c r="A910" s="19">
        <v>41133</v>
      </c>
      <c r="B910" s="20">
        <v>7.1527777777777773E-2</v>
      </c>
      <c r="C910" t="str">
        <f t="shared" si="98"/>
        <v>12</v>
      </c>
      <c r="D910" t="str">
        <f t="shared" si="99"/>
        <v>08</v>
      </c>
      <c r="E910" t="str">
        <f t="shared" si="100"/>
        <v>12</v>
      </c>
      <c r="F910">
        <f t="shared" si="101"/>
        <v>2012</v>
      </c>
      <c r="G910">
        <f t="shared" si="102"/>
        <v>8</v>
      </c>
      <c r="H910">
        <f t="shared" si="103"/>
        <v>12</v>
      </c>
      <c r="I910" t="str">
        <f t="shared" si="104"/>
        <v>12</v>
      </c>
    </row>
    <row r="911" spans="1:9" x14ac:dyDescent="0.25">
      <c r="A911" s="19">
        <v>41695</v>
      </c>
      <c r="B911" s="20">
        <v>0.99444444444444446</v>
      </c>
      <c r="C911" t="str">
        <f t="shared" si="98"/>
        <v>14</v>
      </c>
      <c r="D911" t="str">
        <f t="shared" si="99"/>
        <v>02</v>
      </c>
      <c r="E911" t="str">
        <f t="shared" si="100"/>
        <v>25</v>
      </c>
      <c r="F911">
        <f t="shared" si="101"/>
        <v>2014</v>
      </c>
      <c r="G911">
        <f t="shared" si="102"/>
        <v>2</v>
      </c>
      <c r="H911">
        <f t="shared" si="103"/>
        <v>25</v>
      </c>
      <c r="I911" t="str">
        <f t="shared" si="104"/>
        <v>14</v>
      </c>
    </row>
    <row r="912" spans="1:9" x14ac:dyDescent="0.25">
      <c r="A912" s="19">
        <v>41261</v>
      </c>
      <c r="B912" s="20">
        <v>0.97638888888888886</v>
      </c>
      <c r="C912" t="str">
        <f t="shared" si="98"/>
        <v>12</v>
      </c>
      <c r="D912" t="str">
        <f t="shared" si="99"/>
        <v>12</v>
      </c>
      <c r="E912" t="str">
        <f t="shared" si="100"/>
        <v>18</v>
      </c>
      <c r="F912">
        <f t="shared" si="101"/>
        <v>2012</v>
      </c>
      <c r="G912">
        <f t="shared" si="102"/>
        <v>12</v>
      </c>
      <c r="H912">
        <f t="shared" si="103"/>
        <v>18</v>
      </c>
      <c r="I912" t="str">
        <f t="shared" si="104"/>
        <v>12</v>
      </c>
    </row>
    <row r="913" spans="1:9" x14ac:dyDescent="0.25">
      <c r="A913" s="19">
        <v>41871</v>
      </c>
      <c r="B913" s="20">
        <v>4.2361111111111113E-2</v>
      </c>
      <c r="C913" t="str">
        <f t="shared" si="98"/>
        <v>14</v>
      </c>
      <c r="D913" t="str">
        <f t="shared" si="99"/>
        <v>08</v>
      </c>
      <c r="E913" t="str">
        <f t="shared" si="100"/>
        <v>20</v>
      </c>
      <c r="F913">
        <f t="shared" si="101"/>
        <v>2014</v>
      </c>
      <c r="G913">
        <f t="shared" si="102"/>
        <v>8</v>
      </c>
      <c r="H913">
        <f t="shared" si="103"/>
        <v>20</v>
      </c>
      <c r="I913" t="str">
        <f t="shared" si="104"/>
        <v>14</v>
      </c>
    </row>
    <row r="914" spans="1:9" x14ac:dyDescent="0.25">
      <c r="A914" s="19">
        <v>41392</v>
      </c>
      <c r="B914" s="20">
        <v>4.8611111111111112E-2</v>
      </c>
      <c r="C914" t="str">
        <f t="shared" si="98"/>
        <v>13</v>
      </c>
      <c r="D914" t="str">
        <f t="shared" si="99"/>
        <v>04</v>
      </c>
      <c r="E914" t="str">
        <f t="shared" si="100"/>
        <v>28</v>
      </c>
      <c r="F914">
        <f t="shared" si="101"/>
        <v>2013</v>
      </c>
      <c r="G914">
        <f t="shared" si="102"/>
        <v>4</v>
      </c>
      <c r="H914">
        <f t="shared" si="103"/>
        <v>28</v>
      </c>
      <c r="I914" t="str">
        <f t="shared" si="104"/>
        <v>13</v>
      </c>
    </row>
    <row r="915" spans="1:9" x14ac:dyDescent="0.25">
      <c r="A915" s="19">
        <v>41531</v>
      </c>
      <c r="B915" s="20">
        <v>2.5694444444444443E-2</v>
      </c>
      <c r="C915" t="str">
        <f t="shared" si="98"/>
        <v>13</v>
      </c>
      <c r="D915" t="str">
        <f t="shared" si="99"/>
        <v>09</v>
      </c>
      <c r="E915" t="str">
        <f t="shared" si="100"/>
        <v>14</v>
      </c>
      <c r="F915">
        <f t="shared" si="101"/>
        <v>2013</v>
      </c>
      <c r="G915">
        <f t="shared" si="102"/>
        <v>9</v>
      </c>
      <c r="H915">
        <f t="shared" si="103"/>
        <v>14</v>
      </c>
      <c r="I915" t="str">
        <f t="shared" si="104"/>
        <v>13</v>
      </c>
    </row>
    <row r="916" spans="1:9" x14ac:dyDescent="0.25">
      <c r="A916" s="19">
        <v>41390</v>
      </c>
      <c r="B916" s="20">
        <v>7.6388888888888886E-3</v>
      </c>
      <c r="C916" t="str">
        <f t="shared" si="98"/>
        <v>13</v>
      </c>
      <c r="D916" t="str">
        <f t="shared" si="99"/>
        <v>04</v>
      </c>
      <c r="E916" t="str">
        <f t="shared" si="100"/>
        <v>26</v>
      </c>
      <c r="F916">
        <f t="shared" si="101"/>
        <v>2013</v>
      </c>
      <c r="G916">
        <f t="shared" si="102"/>
        <v>4</v>
      </c>
      <c r="H916">
        <f t="shared" si="103"/>
        <v>26</v>
      </c>
      <c r="I916" t="str">
        <f t="shared" si="104"/>
        <v>13</v>
      </c>
    </row>
    <row r="917" spans="1:9" x14ac:dyDescent="0.25">
      <c r="A917" s="19">
        <v>41762</v>
      </c>
      <c r="B917" s="20">
        <v>4.791666666666667E-2</v>
      </c>
      <c r="C917" t="str">
        <f t="shared" si="98"/>
        <v>14</v>
      </c>
      <c r="D917" t="str">
        <f t="shared" si="99"/>
        <v>05</v>
      </c>
      <c r="E917" t="str">
        <f t="shared" si="100"/>
        <v>03</v>
      </c>
      <c r="F917">
        <f t="shared" si="101"/>
        <v>2014</v>
      </c>
      <c r="G917">
        <f t="shared" si="102"/>
        <v>5</v>
      </c>
      <c r="H917">
        <f t="shared" si="103"/>
        <v>3</v>
      </c>
      <c r="I917" t="str">
        <f t="shared" si="104"/>
        <v>14</v>
      </c>
    </row>
    <row r="918" spans="1:9" x14ac:dyDescent="0.25">
      <c r="A918" s="19">
        <v>41057</v>
      </c>
      <c r="B918" s="20">
        <v>5.1388888888888887E-2</v>
      </c>
      <c r="C918" t="str">
        <f t="shared" si="98"/>
        <v>12</v>
      </c>
      <c r="D918" t="str">
        <f t="shared" si="99"/>
        <v>05</v>
      </c>
      <c r="E918" t="str">
        <f t="shared" si="100"/>
        <v>28</v>
      </c>
      <c r="F918">
        <f t="shared" si="101"/>
        <v>2012</v>
      </c>
      <c r="G918">
        <f t="shared" si="102"/>
        <v>5</v>
      </c>
      <c r="H918">
        <f t="shared" si="103"/>
        <v>28</v>
      </c>
      <c r="I918" t="str">
        <f t="shared" si="104"/>
        <v>12</v>
      </c>
    </row>
    <row r="919" spans="1:9" x14ac:dyDescent="0.25">
      <c r="A919" s="19">
        <v>41284</v>
      </c>
      <c r="B919" s="20">
        <v>6.9444444444444447E-4</v>
      </c>
      <c r="C919" t="str">
        <f t="shared" si="98"/>
        <v>13</v>
      </c>
      <c r="D919" t="str">
        <f t="shared" si="99"/>
        <v>01</v>
      </c>
      <c r="E919" t="str">
        <f t="shared" si="100"/>
        <v>10</v>
      </c>
      <c r="F919">
        <f t="shared" si="101"/>
        <v>2013</v>
      </c>
      <c r="G919">
        <f t="shared" si="102"/>
        <v>1</v>
      </c>
      <c r="H919">
        <f t="shared" si="103"/>
        <v>10</v>
      </c>
      <c r="I919" t="str">
        <f t="shared" si="104"/>
        <v>13</v>
      </c>
    </row>
    <row r="920" spans="1:9" x14ac:dyDescent="0.25">
      <c r="A920" s="19">
        <v>41924</v>
      </c>
      <c r="B920" s="20">
        <v>4.1666666666666666E-3</v>
      </c>
      <c r="C920" t="str">
        <f t="shared" si="98"/>
        <v>14</v>
      </c>
      <c r="D920" t="str">
        <f t="shared" si="99"/>
        <v>10</v>
      </c>
      <c r="E920" t="str">
        <f t="shared" si="100"/>
        <v>12</v>
      </c>
      <c r="F920">
        <f t="shared" si="101"/>
        <v>2014</v>
      </c>
      <c r="G920">
        <f t="shared" si="102"/>
        <v>10</v>
      </c>
      <c r="H920">
        <f t="shared" si="103"/>
        <v>12</v>
      </c>
      <c r="I920" t="str">
        <f t="shared" si="104"/>
        <v>14</v>
      </c>
    </row>
    <row r="921" spans="1:9" x14ac:dyDescent="0.25">
      <c r="A921" s="19">
        <v>41281</v>
      </c>
      <c r="B921" s="20">
        <v>4.1666666666666666E-3</v>
      </c>
      <c r="C921" t="str">
        <f t="shared" si="98"/>
        <v>13</v>
      </c>
      <c r="D921" t="str">
        <f t="shared" si="99"/>
        <v>01</v>
      </c>
      <c r="E921" t="str">
        <f t="shared" si="100"/>
        <v>07</v>
      </c>
      <c r="F921">
        <f t="shared" si="101"/>
        <v>2013</v>
      </c>
      <c r="G921">
        <f t="shared" si="102"/>
        <v>1</v>
      </c>
      <c r="H921">
        <f t="shared" si="103"/>
        <v>7</v>
      </c>
      <c r="I921" t="str">
        <f t="shared" si="104"/>
        <v>13</v>
      </c>
    </row>
    <row r="922" spans="1:9" x14ac:dyDescent="0.25">
      <c r="A922" s="19">
        <v>41790</v>
      </c>
      <c r="B922" s="20">
        <v>3.472222222222222E-3</v>
      </c>
      <c r="C922" t="str">
        <f t="shared" si="98"/>
        <v>14</v>
      </c>
      <c r="D922" t="str">
        <f t="shared" si="99"/>
        <v>05</v>
      </c>
      <c r="E922" t="str">
        <f t="shared" si="100"/>
        <v>31</v>
      </c>
      <c r="F922">
        <f t="shared" si="101"/>
        <v>2014</v>
      </c>
      <c r="G922">
        <f t="shared" si="102"/>
        <v>5</v>
      </c>
      <c r="H922">
        <f t="shared" si="103"/>
        <v>31</v>
      </c>
      <c r="I922" t="str">
        <f t="shared" si="104"/>
        <v>14</v>
      </c>
    </row>
    <row r="923" spans="1:9" x14ac:dyDescent="0.25">
      <c r="A923" s="19">
        <v>41757</v>
      </c>
      <c r="B923" s="20">
        <v>0.99930555555555556</v>
      </c>
      <c r="C923" t="str">
        <f t="shared" si="98"/>
        <v>14</v>
      </c>
      <c r="D923" t="str">
        <f t="shared" si="99"/>
        <v>04</v>
      </c>
      <c r="E923" t="str">
        <f t="shared" si="100"/>
        <v>28</v>
      </c>
      <c r="F923">
        <f t="shared" si="101"/>
        <v>2014</v>
      </c>
      <c r="G923">
        <f t="shared" si="102"/>
        <v>4</v>
      </c>
      <c r="H923">
        <f t="shared" si="103"/>
        <v>28</v>
      </c>
      <c r="I923" t="str">
        <f t="shared" si="104"/>
        <v>14</v>
      </c>
    </row>
    <row r="924" spans="1:9" x14ac:dyDescent="0.25">
      <c r="A924" s="19">
        <v>41224</v>
      </c>
      <c r="B924" s="20">
        <v>0.96805555555555556</v>
      </c>
      <c r="C924" t="str">
        <f t="shared" si="98"/>
        <v>12</v>
      </c>
      <c r="D924" t="str">
        <f t="shared" si="99"/>
        <v>11</v>
      </c>
      <c r="E924" t="str">
        <f t="shared" si="100"/>
        <v>11</v>
      </c>
      <c r="F924">
        <f t="shared" si="101"/>
        <v>2012</v>
      </c>
      <c r="G924">
        <f t="shared" si="102"/>
        <v>11</v>
      </c>
      <c r="H924">
        <f t="shared" si="103"/>
        <v>11</v>
      </c>
      <c r="I924" t="str">
        <f t="shared" si="104"/>
        <v>12</v>
      </c>
    </row>
    <row r="925" spans="1:9" x14ac:dyDescent="0.25">
      <c r="A925" s="19">
        <v>41922</v>
      </c>
      <c r="B925" s="20">
        <v>7.013888888888889E-2</v>
      </c>
      <c r="C925" t="str">
        <f t="shared" si="98"/>
        <v>14</v>
      </c>
      <c r="D925" t="str">
        <f t="shared" si="99"/>
        <v>10</v>
      </c>
      <c r="E925" t="str">
        <f t="shared" si="100"/>
        <v>10</v>
      </c>
      <c r="F925">
        <f t="shared" si="101"/>
        <v>2014</v>
      </c>
      <c r="G925">
        <f t="shared" si="102"/>
        <v>10</v>
      </c>
      <c r="H925">
        <f t="shared" si="103"/>
        <v>10</v>
      </c>
      <c r="I925" t="str">
        <f t="shared" si="104"/>
        <v>14</v>
      </c>
    </row>
    <row r="926" spans="1:9" x14ac:dyDescent="0.25">
      <c r="A926" s="19">
        <v>42329</v>
      </c>
      <c r="B926" s="20">
        <v>2.0833333333333333E-3</v>
      </c>
      <c r="C926" t="str">
        <f t="shared" si="98"/>
        <v>15</v>
      </c>
      <c r="D926" t="str">
        <f t="shared" si="99"/>
        <v>11</v>
      </c>
      <c r="E926" t="str">
        <f t="shared" si="100"/>
        <v>21</v>
      </c>
      <c r="F926">
        <f t="shared" si="101"/>
        <v>2015</v>
      </c>
      <c r="G926">
        <f t="shared" si="102"/>
        <v>11</v>
      </c>
      <c r="H926">
        <f t="shared" si="103"/>
        <v>21</v>
      </c>
      <c r="I926" t="str">
        <f t="shared" si="104"/>
        <v>15</v>
      </c>
    </row>
    <row r="927" spans="1:9" x14ac:dyDescent="0.25">
      <c r="A927" s="19">
        <v>41898</v>
      </c>
      <c r="B927" s="20">
        <v>4.4444444444444446E-2</v>
      </c>
      <c r="C927" t="str">
        <f t="shared" si="98"/>
        <v>14</v>
      </c>
      <c r="D927" t="str">
        <f t="shared" si="99"/>
        <v>09</v>
      </c>
      <c r="E927" t="str">
        <f t="shared" si="100"/>
        <v>16</v>
      </c>
      <c r="F927">
        <f t="shared" si="101"/>
        <v>2014</v>
      </c>
      <c r="G927">
        <f t="shared" si="102"/>
        <v>9</v>
      </c>
      <c r="H927">
        <f t="shared" si="103"/>
        <v>16</v>
      </c>
      <c r="I927" t="str">
        <f t="shared" si="104"/>
        <v>14</v>
      </c>
    </row>
    <row r="928" spans="1:9" x14ac:dyDescent="0.25">
      <c r="A928" s="19">
        <v>41026</v>
      </c>
      <c r="B928" s="20">
        <v>0.99583333333333335</v>
      </c>
      <c r="C928" t="str">
        <f t="shared" si="98"/>
        <v>12</v>
      </c>
      <c r="D928" t="str">
        <f t="shared" si="99"/>
        <v>04</v>
      </c>
      <c r="E928" t="str">
        <f t="shared" si="100"/>
        <v>27</v>
      </c>
      <c r="F928">
        <f t="shared" si="101"/>
        <v>2012</v>
      </c>
      <c r="G928">
        <f t="shared" si="102"/>
        <v>4</v>
      </c>
      <c r="H928">
        <f t="shared" si="103"/>
        <v>27</v>
      </c>
      <c r="I928" t="str">
        <f t="shared" si="104"/>
        <v>12</v>
      </c>
    </row>
    <row r="929" spans="1:9" x14ac:dyDescent="0.25">
      <c r="A929" s="19">
        <v>41772</v>
      </c>
      <c r="B929" s="20">
        <v>1.8055555555555554E-2</v>
      </c>
      <c r="C929" t="str">
        <f t="shared" si="98"/>
        <v>14</v>
      </c>
      <c r="D929" t="str">
        <f t="shared" si="99"/>
        <v>05</v>
      </c>
      <c r="E929" t="str">
        <f t="shared" si="100"/>
        <v>13</v>
      </c>
      <c r="F929">
        <f t="shared" si="101"/>
        <v>2014</v>
      </c>
      <c r="G929">
        <f t="shared" si="102"/>
        <v>5</v>
      </c>
      <c r="H929">
        <f t="shared" si="103"/>
        <v>13</v>
      </c>
      <c r="I929" t="str">
        <f t="shared" si="104"/>
        <v>14</v>
      </c>
    </row>
    <row r="930" spans="1:9" x14ac:dyDescent="0.25">
      <c r="A930" s="19">
        <v>41463</v>
      </c>
      <c r="B930" s="20">
        <v>0.97569444444444442</v>
      </c>
      <c r="C930" t="str">
        <f t="shared" si="98"/>
        <v>13</v>
      </c>
      <c r="D930" t="str">
        <f t="shared" si="99"/>
        <v>07</v>
      </c>
      <c r="E930" t="str">
        <f t="shared" si="100"/>
        <v>08</v>
      </c>
      <c r="F930">
        <f t="shared" si="101"/>
        <v>2013</v>
      </c>
      <c r="G930">
        <f t="shared" si="102"/>
        <v>7</v>
      </c>
      <c r="H930">
        <f t="shared" si="103"/>
        <v>8</v>
      </c>
      <c r="I930" t="str">
        <f t="shared" si="104"/>
        <v>13</v>
      </c>
    </row>
    <row r="931" spans="1:9" x14ac:dyDescent="0.25">
      <c r="A931" s="19">
        <v>41233</v>
      </c>
      <c r="B931" s="20">
        <v>6.5972222222222224E-2</v>
      </c>
      <c r="C931" t="str">
        <f t="shared" si="98"/>
        <v>12</v>
      </c>
      <c r="D931" t="str">
        <f t="shared" si="99"/>
        <v>11</v>
      </c>
      <c r="E931" t="str">
        <f t="shared" si="100"/>
        <v>20</v>
      </c>
      <c r="F931">
        <f t="shared" si="101"/>
        <v>2012</v>
      </c>
      <c r="G931">
        <f t="shared" si="102"/>
        <v>11</v>
      </c>
      <c r="H931">
        <f t="shared" si="103"/>
        <v>20</v>
      </c>
      <c r="I931" t="str">
        <f t="shared" si="104"/>
        <v>12</v>
      </c>
    </row>
    <row r="932" spans="1:9" x14ac:dyDescent="0.25">
      <c r="A932" s="19">
        <v>41212</v>
      </c>
      <c r="B932" s="20">
        <v>3.6805555555555557E-2</v>
      </c>
      <c r="C932" t="str">
        <f t="shared" si="98"/>
        <v>12</v>
      </c>
      <c r="D932" t="str">
        <f t="shared" si="99"/>
        <v>10</v>
      </c>
      <c r="E932" t="str">
        <f t="shared" si="100"/>
        <v>30</v>
      </c>
      <c r="F932">
        <f t="shared" si="101"/>
        <v>2012</v>
      </c>
      <c r="G932">
        <f t="shared" si="102"/>
        <v>10</v>
      </c>
      <c r="H932">
        <f t="shared" si="103"/>
        <v>30</v>
      </c>
      <c r="I932" t="str">
        <f t="shared" si="104"/>
        <v>12</v>
      </c>
    </row>
    <row r="933" spans="1:9" x14ac:dyDescent="0.25">
      <c r="A933" s="19">
        <v>40919</v>
      </c>
      <c r="B933" s="20">
        <v>5.6944444444444443E-2</v>
      </c>
      <c r="C933" t="str">
        <f t="shared" si="98"/>
        <v>12</v>
      </c>
      <c r="D933" t="str">
        <f t="shared" si="99"/>
        <v>01</v>
      </c>
      <c r="E933" t="str">
        <f t="shared" si="100"/>
        <v>11</v>
      </c>
      <c r="F933">
        <f t="shared" si="101"/>
        <v>2012</v>
      </c>
      <c r="G933">
        <f t="shared" si="102"/>
        <v>1</v>
      </c>
      <c r="H933">
        <f t="shared" si="103"/>
        <v>11</v>
      </c>
      <c r="I933" t="str">
        <f t="shared" si="104"/>
        <v>12</v>
      </c>
    </row>
    <row r="934" spans="1:9" x14ac:dyDescent="0.25">
      <c r="A934" s="19">
        <v>41349</v>
      </c>
      <c r="B934" s="20">
        <v>5.1388888888888887E-2</v>
      </c>
      <c r="C934" t="str">
        <f t="shared" si="98"/>
        <v>13</v>
      </c>
      <c r="D934" t="str">
        <f t="shared" si="99"/>
        <v>03</v>
      </c>
      <c r="E934" t="str">
        <f t="shared" si="100"/>
        <v>16</v>
      </c>
      <c r="F934">
        <f t="shared" si="101"/>
        <v>2013</v>
      </c>
      <c r="G934">
        <f t="shared" si="102"/>
        <v>3</v>
      </c>
      <c r="H934">
        <f t="shared" si="103"/>
        <v>16</v>
      </c>
      <c r="I934" t="str">
        <f t="shared" si="104"/>
        <v>13</v>
      </c>
    </row>
    <row r="935" spans="1:9" x14ac:dyDescent="0.25">
      <c r="A935" s="19">
        <v>41792</v>
      </c>
      <c r="B935" s="20">
        <v>2.5000000000000001E-2</v>
      </c>
      <c r="C935" t="str">
        <f t="shared" si="98"/>
        <v>14</v>
      </c>
      <c r="D935" t="str">
        <f t="shared" si="99"/>
        <v>06</v>
      </c>
      <c r="E935" t="str">
        <f t="shared" si="100"/>
        <v>02</v>
      </c>
      <c r="F935">
        <f t="shared" si="101"/>
        <v>2014</v>
      </c>
      <c r="G935">
        <f t="shared" si="102"/>
        <v>6</v>
      </c>
      <c r="H935">
        <f t="shared" si="103"/>
        <v>2</v>
      </c>
      <c r="I935" t="str">
        <f t="shared" si="104"/>
        <v>14</v>
      </c>
    </row>
    <row r="936" spans="1:9" x14ac:dyDescent="0.25">
      <c r="A936" s="19">
        <v>42397</v>
      </c>
      <c r="B936" s="20">
        <v>2.8472222222222222E-2</v>
      </c>
      <c r="C936" t="str">
        <f t="shared" si="98"/>
        <v>16</v>
      </c>
      <c r="D936" t="str">
        <f t="shared" si="99"/>
        <v>01</v>
      </c>
      <c r="E936" t="str">
        <f t="shared" si="100"/>
        <v>28</v>
      </c>
      <c r="F936">
        <f t="shared" si="101"/>
        <v>2016</v>
      </c>
      <c r="G936">
        <f t="shared" si="102"/>
        <v>1</v>
      </c>
      <c r="H936">
        <f t="shared" si="103"/>
        <v>28</v>
      </c>
      <c r="I936" t="str">
        <f t="shared" si="104"/>
        <v>16</v>
      </c>
    </row>
    <row r="937" spans="1:9" x14ac:dyDescent="0.25">
      <c r="A937" s="19">
        <v>41617</v>
      </c>
      <c r="B937" s="20">
        <v>6.5972222222222224E-2</v>
      </c>
      <c r="C937" t="str">
        <f t="shared" si="98"/>
        <v>13</v>
      </c>
      <c r="D937" t="str">
        <f t="shared" si="99"/>
        <v>12</v>
      </c>
      <c r="E937" t="str">
        <f t="shared" si="100"/>
        <v>09</v>
      </c>
      <c r="F937">
        <f t="shared" si="101"/>
        <v>2013</v>
      </c>
      <c r="G937">
        <f t="shared" si="102"/>
        <v>12</v>
      </c>
      <c r="H937">
        <f t="shared" si="103"/>
        <v>9</v>
      </c>
      <c r="I937" t="str">
        <f t="shared" si="104"/>
        <v>13</v>
      </c>
    </row>
    <row r="938" spans="1:9" x14ac:dyDescent="0.25">
      <c r="A938" s="19">
        <v>41541</v>
      </c>
      <c r="B938" s="20">
        <v>5.7638888888888892E-2</v>
      </c>
      <c r="C938" t="str">
        <f t="shared" si="98"/>
        <v>13</v>
      </c>
      <c r="D938" t="str">
        <f t="shared" si="99"/>
        <v>09</v>
      </c>
      <c r="E938" t="str">
        <f t="shared" si="100"/>
        <v>24</v>
      </c>
      <c r="F938">
        <f t="shared" si="101"/>
        <v>2013</v>
      </c>
      <c r="G938">
        <f t="shared" si="102"/>
        <v>9</v>
      </c>
      <c r="H938">
        <f t="shared" si="103"/>
        <v>24</v>
      </c>
      <c r="I938" t="str">
        <f t="shared" si="104"/>
        <v>13</v>
      </c>
    </row>
    <row r="939" spans="1:9" x14ac:dyDescent="0.25">
      <c r="A939" s="19">
        <v>41505</v>
      </c>
      <c r="B939" s="20">
        <v>2.0833333333333333E-3</v>
      </c>
      <c r="C939" t="str">
        <f t="shared" si="98"/>
        <v>13</v>
      </c>
      <c r="D939" t="str">
        <f t="shared" si="99"/>
        <v>08</v>
      </c>
      <c r="E939" t="str">
        <f t="shared" si="100"/>
        <v>19</v>
      </c>
      <c r="F939">
        <f t="shared" si="101"/>
        <v>2013</v>
      </c>
      <c r="G939">
        <f t="shared" si="102"/>
        <v>8</v>
      </c>
      <c r="H939">
        <f t="shared" si="103"/>
        <v>19</v>
      </c>
      <c r="I939" t="str">
        <f t="shared" si="104"/>
        <v>13</v>
      </c>
    </row>
    <row r="940" spans="1:9" x14ac:dyDescent="0.25">
      <c r="A940" s="19">
        <v>41606</v>
      </c>
      <c r="B940" s="20">
        <v>7.4305555555555555E-2</v>
      </c>
      <c r="C940" t="str">
        <f t="shared" si="98"/>
        <v>13</v>
      </c>
      <c r="D940" t="str">
        <f t="shared" si="99"/>
        <v>11</v>
      </c>
      <c r="E940" t="str">
        <f t="shared" si="100"/>
        <v>28</v>
      </c>
      <c r="F940">
        <f t="shared" si="101"/>
        <v>2013</v>
      </c>
      <c r="G940">
        <f t="shared" si="102"/>
        <v>11</v>
      </c>
      <c r="H940">
        <f t="shared" si="103"/>
        <v>28</v>
      </c>
      <c r="I940" t="str">
        <f t="shared" si="104"/>
        <v>13</v>
      </c>
    </row>
    <row r="941" spans="1:9" x14ac:dyDescent="0.25">
      <c r="A941" s="19">
        <v>41953</v>
      </c>
      <c r="B941" s="20">
        <v>7.3611111111111113E-2</v>
      </c>
      <c r="C941" t="str">
        <f t="shared" si="98"/>
        <v>14</v>
      </c>
      <c r="D941" t="str">
        <f t="shared" si="99"/>
        <v>11</v>
      </c>
      <c r="E941" t="str">
        <f t="shared" si="100"/>
        <v>10</v>
      </c>
      <c r="F941">
        <f t="shared" si="101"/>
        <v>2014</v>
      </c>
      <c r="G941">
        <f t="shared" si="102"/>
        <v>11</v>
      </c>
      <c r="H941">
        <f t="shared" si="103"/>
        <v>10</v>
      </c>
      <c r="I941" t="str">
        <f t="shared" si="104"/>
        <v>14</v>
      </c>
    </row>
    <row r="942" spans="1:9" x14ac:dyDescent="0.25">
      <c r="A942" s="19">
        <v>41375</v>
      </c>
      <c r="B942" s="20">
        <v>5.8333333333333334E-2</v>
      </c>
      <c r="C942" t="str">
        <f t="shared" si="98"/>
        <v>13</v>
      </c>
      <c r="D942" t="str">
        <f t="shared" si="99"/>
        <v>04</v>
      </c>
      <c r="E942" t="str">
        <f t="shared" si="100"/>
        <v>11</v>
      </c>
      <c r="F942">
        <f t="shared" si="101"/>
        <v>2013</v>
      </c>
      <c r="G942">
        <f t="shared" si="102"/>
        <v>4</v>
      </c>
      <c r="H942">
        <f t="shared" si="103"/>
        <v>11</v>
      </c>
      <c r="I942" t="str">
        <f t="shared" si="104"/>
        <v>13</v>
      </c>
    </row>
    <row r="943" spans="1:9" x14ac:dyDescent="0.25">
      <c r="A943" s="19">
        <v>41645</v>
      </c>
      <c r="B943" s="20">
        <v>2.7777777777777776E-2</v>
      </c>
      <c r="C943" t="str">
        <f t="shared" si="98"/>
        <v>14</v>
      </c>
      <c r="D943" t="str">
        <f t="shared" si="99"/>
        <v>01</v>
      </c>
      <c r="E943" t="str">
        <f t="shared" si="100"/>
        <v>06</v>
      </c>
      <c r="F943">
        <f t="shared" si="101"/>
        <v>2014</v>
      </c>
      <c r="G943">
        <f t="shared" si="102"/>
        <v>1</v>
      </c>
      <c r="H943">
        <f t="shared" si="103"/>
        <v>6</v>
      </c>
      <c r="I943" t="str">
        <f t="shared" si="104"/>
        <v>14</v>
      </c>
    </row>
    <row r="944" spans="1:9" x14ac:dyDescent="0.25">
      <c r="A944" s="19">
        <v>41259</v>
      </c>
      <c r="B944" s="20">
        <v>0.97152777777777777</v>
      </c>
      <c r="C944" t="str">
        <f t="shared" si="98"/>
        <v>12</v>
      </c>
      <c r="D944" t="str">
        <f t="shared" si="99"/>
        <v>12</v>
      </c>
      <c r="E944" t="str">
        <f t="shared" si="100"/>
        <v>16</v>
      </c>
      <c r="F944">
        <f t="shared" si="101"/>
        <v>2012</v>
      </c>
      <c r="G944">
        <f t="shared" si="102"/>
        <v>12</v>
      </c>
      <c r="H944">
        <f t="shared" si="103"/>
        <v>16</v>
      </c>
      <c r="I944" t="str">
        <f t="shared" si="104"/>
        <v>12</v>
      </c>
    </row>
    <row r="945" spans="1:9" x14ac:dyDescent="0.25">
      <c r="A945" s="19">
        <v>42145</v>
      </c>
      <c r="B945" s="20">
        <v>7.0833333333333331E-2</v>
      </c>
      <c r="C945" t="str">
        <f t="shared" si="98"/>
        <v>15</v>
      </c>
      <c r="D945" t="str">
        <f t="shared" si="99"/>
        <v>05</v>
      </c>
      <c r="E945" t="str">
        <f t="shared" si="100"/>
        <v>21</v>
      </c>
      <c r="F945">
        <f t="shared" si="101"/>
        <v>2015</v>
      </c>
      <c r="G945">
        <f t="shared" si="102"/>
        <v>5</v>
      </c>
      <c r="H945">
        <f t="shared" si="103"/>
        <v>21</v>
      </c>
      <c r="I945" t="str">
        <f t="shared" si="104"/>
        <v>15</v>
      </c>
    </row>
    <row r="946" spans="1:9" x14ac:dyDescent="0.25">
      <c r="A946" s="19">
        <v>42145</v>
      </c>
      <c r="B946" s="20">
        <v>0.96597222222222223</v>
      </c>
      <c r="C946" t="str">
        <f t="shared" si="98"/>
        <v>15</v>
      </c>
      <c r="D946" t="str">
        <f t="shared" si="99"/>
        <v>05</v>
      </c>
      <c r="E946" t="str">
        <f t="shared" si="100"/>
        <v>21</v>
      </c>
      <c r="F946">
        <f t="shared" si="101"/>
        <v>2015</v>
      </c>
      <c r="G946">
        <f t="shared" si="102"/>
        <v>5</v>
      </c>
      <c r="H946">
        <f t="shared" si="103"/>
        <v>21</v>
      </c>
      <c r="I946" t="str">
        <f t="shared" si="104"/>
        <v>15</v>
      </c>
    </row>
    <row r="947" spans="1:9" x14ac:dyDescent="0.25">
      <c r="A947" s="19">
        <v>41540</v>
      </c>
      <c r="B947" s="20">
        <v>6.3194444444444442E-2</v>
      </c>
      <c r="C947" t="str">
        <f t="shared" si="98"/>
        <v>13</v>
      </c>
      <c r="D947" t="str">
        <f t="shared" si="99"/>
        <v>09</v>
      </c>
      <c r="E947" t="str">
        <f t="shared" si="100"/>
        <v>23</v>
      </c>
      <c r="F947">
        <f t="shared" si="101"/>
        <v>2013</v>
      </c>
      <c r="G947">
        <f t="shared" si="102"/>
        <v>9</v>
      </c>
      <c r="H947">
        <f t="shared" si="103"/>
        <v>23</v>
      </c>
      <c r="I947" t="str">
        <f t="shared" si="104"/>
        <v>13</v>
      </c>
    </row>
    <row r="948" spans="1:9" x14ac:dyDescent="0.25">
      <c r="A948" s="19">
        <v>41397</v>
      </c>
      <c r="B948" s="20">
        <v>1.1111111111111112E-2</v>
      </c>
      <c r="C948" t="str">
        <f t="shared" si="98"/>
        <v>13</v>
      </c>
      <c r="D948" t="str">
        <f t="shared" si="99"/>
        <v>05</v>
      </c>
      <c r="E948" t="str">
        <f t="shared" si="100"/>
        <v>03</v>
      </c>
      <c r="F948">
        <f t="shared" si="101"/>
        <v>2013</v>
      </c>
      <c r="G948">
        <f t="shared" si="102"/>
        <v>5</v>
      </c>
      <c r="H948">
        <f t="shared" si="103"/>
        <v>3</v>
      </c>
      <c r="I948" t="str">
        <f t="shared" si="104"/>
        <v>13</v>
      </c>
    </row>
    <row r="949" spans="1:9" x14ac:dyDescent="0.25">
      <c r="A949" s="19">
        <v>40995</v>
      </c>
      <c r="B949" s="20">
        <v>3.888888888888889E-2</v>
      </c>
      <c r="C949" t="str">
        <f t="shared" si="98"/>
        <v>12</v>
      </c>
      <c r="D949" t="str">
        <f t="shared" si="99"/>
        <v>03</v>
      </c>
      <c r="E949" t="str">
        <f t="shared" si="100"/>
        <v>27</v>
      </c>
      <c r="F949">
        <f t="shared" si="101"/>
        <v>2012</v>
      </c>
      <c r="G949">
        <f t="shared" si="102"/>
        <v>3</v>
      </c>
      <c r="H949">
        <f t="shared" si="103"/>
        <v>27</v>
      </c>
      <c r="I949" t="str">
        <f t="shared" si="104"/>
        <v>12</v>
      </c>
    </row>
    <row r="950" spans="1:9" x14ac:dyDescent="0.25">
      <c r="A950" s="19">
        <v>41633</v>
      </c>
      <c r="B950" s="20">
        <v>2.9166666666666667E-2</v>
      </c>
      <c r="C950" t="str">
        <f t="shared" si="98"/>
        <v>13</v>
      </c>
      <c r="D950" t="str">
        <f t="shared" si="99"/>
        <v>12</v>
      </c>
      <c r="E950" t="str">
        <f t="shared" si="100"/>
        <v>25</v>
      </c>
      <c r="F950">
        <f t="shared" si="101"/>
        <v>2013</v>
      </c>
      <c r="G950">
        <f t="shared" si="102"/>
        <v>12</v>
      </c>
      <c r="H950">
        <f t="shared" si="103"/>
        <v>25</v>
      </c>
      <c r="I950" t="str">
        <f t="shared" si="104"/>
        <v>13</v>
      </c>
    </row>
    <row r="951" spans="1:9" x14ac:dyDescent="0.25">
      <c r="A951" s="19">
        <v>41381</v>
      </c>
      <c r="B951" s="20">
        <v>0.99930555555555556</v>
      </c>
      <c r="C951" t="str">
        <f t="shared" si="98"/>
        <v>13</v>
      </c>
      <c r="D951" t="str">
        <f t="shared" si="99"/>
        <v>04</v>
      </c>
      <c r="E951" t="str">
        <f t="shared" si="100"/>
        <v>17</v>
      </c>
      <c r="F951">
        <f t="shared" si="101"/>
        <v>2013</v>
      </c>
      <c r="G951">
        <f t="shared" si="102"/>
        <v>4</v>
      </c>
      <c r="H951">
        <f t="shared" si="103"/>
        <v>17</v>
      </c>
      <c r="I951" t="str">
        <f t="shared" si="104"/>
        <v>13</v>
      </c>
    </row>
    <row r="952" spans="1:9" x14ac:dyDescent="0.25">
      <c r="A952" s="19">
        <v>41275</v>
      </c>
      <c r="B952" s="20">
        <v>3.0555555555555555E-2</v>
      </c>
      <c r="C952" t="str">
        <f t="shared" si="98"/>
        <v>13</v>
      </c>
      <c r="D952" t="str">
        <f t="shared" si="99"/>
        <v>01</v>
      </c>
      <c r="E952" t="str">
        <f t="shared" si="100"/>
        <v>01</v>
      </c>
      <c r="F952">
        <f t="shared" si="101"/>
        <v>2013</v>
      </c>
      <c r="G952">
        <f t="shared" si="102"/>
        <v>1</v>
      </c>
      <c r="H952">
        <f t="shared" si="103"/>
        <v>1</v>
      </c>
      <c r="I952" t="str">
        <f t="shared" si="104"/>
        <v>13</v>
      </c>
    </row>
    <row r="953" spans="1:9" x14ac:dyDescent="0.25">
      <c r="A953" s="19">
        <v>41810</v>
      </c>
      <c r="B953" s="20">
        <v>5.5555555555555552E-2</v>
      </c>
      <c r="C953" t="str">
        <f t="shared" si="98"/>
        <v>14</v>
      </c>
      <c r="D953" t="str">
        <f t="shared" si="99"/>
        <v>06</v>
      </c>
      <c r="E953" t="str">
        <f t="shared" si="100"/>
        <v>20</v>
      </c>
      <c r="F953">
        <f t="shared" si="101"/>
        <v>2014</v>
      </c>
      <c r="G953">
        <f t="shared" si="102"/>
        <v>6</v>
      </c>
      <c r="H953">
        <f t="shared" si="103"/>
        <v>20</v>
      </c>
      <c r="I953" t="str">
        <f t="shared" si="104"/>
        <v>14</v>
      </c>
    </row>
    <row r="954" spans="1:9" x14ac:dyDescent="0.25">
      <c r="A954" s="19">
        <v>41970</v>
      </c>
      <c r="B954" s="20">
        <v>0.9819444444444444</v>
      </c>
      <c r="C954" t="str">
        <f t="shared" si="98"/>
        <v>14</v>
      </c>
      <c r="D954" t="str">
        <f t="shared" si="99"/>
        <v>11</v>
      </c>
      <c r="E954" t="str">
        <f t="shared" si="100"/>
        <v>27</v>
      </c>
      <c r="F954">
        <f t="shared" si="101"/>
        <v>2014</v>
      </c>
      <c r="G954">
        <f t="shared" si="102"/>
        <v>11</v>
      </c>
      <c r="H954">
        <f t="shared" si="103"/>
        <v>27</v>
      </c>
      <c r="I954" t="str">
        <f t="shared" si="104"/>
        <v>14</v>
      </c>
    </row>
    <row r="955" spans="1:9" x14ac:dyDescent="0.25">
      <c r="A955" s="19">
        <v>42123</v>
      </c>
      <c r="B955" s="20">
        <v>3.125E-2</v>
      </c>
      <c r="C955" t="str">
        <f t="shared" si="98"/>
        <v>15</v>
      </c>
      <c r="D955" t="str">
        <f t="shared" si="99"/>
        <v>04</v>
      </c>
      <c r="E955" t="str">
        <f t="shared" si="100"/>
        <v>29</v>
      </c>
      <c r="F955">
        <f t="shared" si="101"/>
        <v>2015</v>
      </c>
      <c r="G955">
        <f t="shared" si="102"/>
        <v>4</v>
      </c>
      <c r="H955">
        <f t="shared" si="103"/>
        <v>29</v>
      </c>
      <c r="I955" t="str">
        <f t="shared" si="104"/>
        <v>15</v>
      </c>
    </row>
    <row r="956" spans="1:9" x14ac:dyDescent="0.25">
      <c r="A956" s="19">
        <v>42244</v>
      </c>
      <c r="B956" s="20">
        <v>4.9305555555555554E-2</v>
      </c>
      <c r="C956" t="str">
        <f t="shared" si="98"/>
        <v>15</v>
      </c>
      <c r="D956" t="str">
        <f t="shared" si="99"/>
        <v>08</v>
      </c>
      <c r="E956" t="str">
        <f t="shared" si="100"/>
        <v>28</v>
      </c>
      <c r="F956">
        <f t="shared" si="101"/>
        <v>2015</v>
      </c>
      <c r="G956">
        <f t="shared" si="102"/>
        <v>8</v>
      </c>
      <c r="H956">
        <f t="shared" si="103"/>
        <v>28</v>
      </c>
      <c r="I956" t="str">
        <f t="shared" si="104"/>
        <v>15</v>
      </c>
    </row>
    <row r="957" spans="1:9" x14ac:dyDescent="0.25">
      <c r="A957" s="19">
        <v>41530</v>
      </c>
      <c r="B957" s="20">
        <v>0.99097222222222225</v>
      </c>
      <c r="C957" t="str">
        <f t="shared" si="98"/>
        <v>13</v>
      </c>
      <c r="D957" t="str">
        <f t="shared" si="99"/>
        <v>09</v>
      </c>
      <c r="E957" t="str">
        <f t="shared" si="100"/>
        <v>13</v>
      </c>
      <c r="F957">
        <f t="shared" si="101"/>
        <v>2013</v>
      </c>
      <c r="G957">
        <f t="shared" si="102"/>
        <v>9</v>
      </c>
      <c r="H957">
        <f t="shared" si="103"/>
        <v>13</v>
      </c>
      <c r="I957" t="str">
        <f t="shared" si="104"/>
        <v>13</v>
      </c>
    </row>
    <row r="958" spans="1:9" x14ac:dyDescent="0.25">
      <c r="A958" s="19">
        <v>41429</v>
      </c>
      <c r="B958" s="20">
        <v>1.3888888888888888E-2</v>
      </c>
      <c r="C958" t="str">
        <f t="shared" si="98"/>
        <v>13</v>
      </c>
      <c r="D958" t="str">
        <f t="shared" si="99"/>
        <v>06</v>
      </c>
      <c r="E958" t="str">
        <f t="shared" si="100"/>
        <v>04</v>
      </c>
      <c r="F958">
        <f t="shared" si="101"/>
        <v>2013</v>
      </c>
      <c r="G958">
        <f t="shared" si="102"/>
        <v>6</v>
      </c>
      <c r="H958">
        <f t="shared" si="103"/>
        <v>4</v>
      </c>
      <c r="I958" t="str">
        <f t="shared" si="104"/>
        <v>13</v>
      </c>
    </row>
    <row r="959" spans="1:9" x14ac:dyDescent="0.25">
      <c r="A959" s="19">
        <v>42041</v>
      </c>
      <c r="B959" s="20">
        <v>5.486111111111111E-2</v>
      </c>
      <c r="C959" t="str">
        <f t="shared" si="98"/>
        <v>15</v>
      </c>
      <c r="D959" t="str">
        <f t="shared" si="99"/>
        <v>02</v>
      </c>
      <c r="E959" t="str">
        <f t="shared" si="100"/>
        <v>06</v>
      </c>
      <c r="F959">
        <f t="shared" si="101"/>
        <v>2015</v>
      </c>
      <c r="G959">
        <f t="shared" si="102"/>
        <v>2</v>
      </c>
      <c r="H959">
        <f t="shared" si="103"/>
        <v>6</v>
      </c>
      <c r="I959" t="str">
        <f t="shared" si="104"/>
        <v>15</v>
      </c>
    </row>
    <row r="960" spans="1:9" x14ac:dyDescent="0.25">
      <c r="A960" s="19">
        <v>41586</v>
      </c>
      <c r="B960" s="20">
        <v>0.98958333333333337</v>
      </c>
      <c r="C960" t="str">
        <f t="shared" si="98"/>
        <v>13</v>
      </c>
      <c r="D960" t="str">
        <f t="shared" si="99"/>
        <v>11</v>
      </c>
      <c r="E960" t="str">
        <f t="shared" si="100"/>
        <v>08</v>
      </c>
      <c r="F960">
        <f t="shared" si="101"/>
        <v>2013</v>
      </c>
      <c r="G960">
        <f t="shared" si="102"/>
        <v>11</v>
      </c>
      <c r="H960">
        <f t="shared" si="103"/>
        <v>8</v>
      </c>
      <c r="I960" t="str">
        <f t="shared" si="104"/>
        <v>13</v>
      </c>
    </row>
    <row r="961" spans="1:9" x14ac:dyDescent="0.25">
      <c r="A961" s="19">
        <v>41582</v>
      </c>
      <c r="B961" s="20">
        <v>4.583333333333333E-2</v>
      </c>
      <c r="C961" t="str">
        <f t="shared" si="98"/>
        <v>13</v>
      </c>
      <c r="D961" t="str">
        <f t="shared" si="99"/>
        <v>11</v>
      </c>
      <c r="E961" t="str">
        <f t="shared" si="100"/>
        <v>04</v>
      </c>
      <c r="F961">
        <f t="shared" si="101"/>
        <v>2013</v>
      </c>
      <c r="G961">
        <f t="shared" si="102"/>
        <v>11</v>
      </c>
      <c r="H961">
        <f t="shared" si="103"/>
        <v>4</v>
      </c>
      <c r="I961" t="str">
        <f t="shared" si="104"/>
        <v>13</v>
      </c>
    </row>
    <row r="962" spans="1:9" x14ac:dyDescent="0.25">
      <c r="A962" s="19">
        <v>42044</v>
      </c>
      <c r="B962" s="20">
        <v>2.7777777777777779E-3</v>
      </c>
      <c r="C962" t="str">
        <f t="shared" si="98"/>
        <v>15</v>
      </c>
      <c r="D962" t="str">
        <f t="shared" si="99"/>
        <v>02</v>
      </c>
      <c r="E962" t="str">
        <f t="shared" si="100"/>
        <v>09</v>
      </c>
      <c r="F962">
        <f t="shared" si="101"/>
        <v>2015</v>
      </c>
      <c r="G962">
        <f t="shared" si="102"/>
        <v>2</v>
      </c>
      <c r="H962">
        <f t="shared" si="103"/>
        <v>9</v>
      </c>
      <c r="I962" t="str">
        <f t="shared" si="104"/>
        <v>15</v>
      </c>
    </row>
    <row r="963" spans="1:9" x14ac:dyDescent="0.25">
      <c r="A963" s="19">
        <v>41462</v>
      </c>
      <c r="B963" s="20">
        <v>1.8055555555555554E-2</v>
      </c>
      <c r="C963" t="str">
        <f t="shared" ref="C963:C1026" si="105">TEXT(A963,"YY")</f>
        <v>13</v>
      </c>
      <c r="D963" t="str">
        <f t="shared" ref="D963:D1026" si="106">TEXT(A963,"mm")</f>
        <v>07</v>
      </c>
      <c r="E963" t="str">
        <f t="shared" ref="E963:E1026" si="107">TEXT(A963,"dd")</f>
        <v>07</v>
      </c>
      <c r="F963">
        <f t="shared" ref="F963:F1026" si="108">YEAR($A963)</f>
        <v>2013</v>
      </c>
      <c r="G963">
        <f t="shared" ref="G963:G1026" si="109">MONTH($A963)</f>
        <v>7</v>
      </c>
      <c r="H963">
        <f t="shared" ref="H963:H1026" si="110">DAY($A963)</f>
        <v>7</v>
      </c>
      <c r="I963" t="str">
        <f t="shared" ref="I963:I1026" si="111">TEXT($A963,"YY")</f>
        <v>13</v>
      </c>
    </row>
    <row r="964" spans="1:9" x14ac:dyDescent="0.25">
      <c r="A964" s="19">
        <v>41555</v>
      </c>
      <c r="B964" s="20">
        <v>6.1111111111111109E-2</v>
      </c>
      <c r="C964" t="str">
        <f t="shared" si="105"/>
        <v>13</v>
      </c>
      <c r="D964" t="str">
        <f t="shared" si="106"/>
        <v>10</v>
      </c>
      <c r="E964" t="str">
        <f t="shared" si="107"/>
        <v>08</v>
      </c>
      <c r="F964">
        <f t="shared" si="108"/>
        <v>2013</v>
      </c>
      <c r="G964">
        <f t="shared" si="109"/>
        <v>10</v>
      </c>
      <c r="H964">
        <f t="shared" si="110"/>
        <v>8</v>
      </c>
      <c r="I964" t="str">
        <f t="shared" si="111"/>
        <v>13</v>
      </c>
    </row>
    <row r="965" spans="1:9" x14ac:dyDescent="0.25">
      <c r="A965" s="19">
        <v>42344</v>
      </c>
      <c r="B965" s="20">
        <v>0.94236111111111109</v>
      </c>
      <c r="C965" t="str">
        <f t="shared" si="105"/>
        <v>15</v>
      </c>
      <c r="D965" t="str">
        <f t="shared" si="106"/>
        <v>12</v>
      </c>
      <c r="E965" t="str">
        <f t="shared" si="107"/>
        <v>06</v>
      </c>
      <c r="F965">
        <f t="shared" si="108"/>
        <v>2015</v>
      </c>
      <c r="G965">
        <f t="shared" si="109"/>
        <v>12</v>
      </c>
      <c r="H965">
        <f t="shared" si="110"/>
        <v>6</v>
      </c>
      <c r="I965" t="str">
        <f t="shared" si="111"/>
        <v>15</v>
      </c>
    </row>
    <row r="966" spans="1:9" x14ac:dyDescent="0.25">
      <c r="A966" s="19">
        <v>42032</v>
      </c>
      <c r="B966" s="20">
        <v>0.98124999999999996</v>
      </c>
      <c r="C966" t="str">
        <f t="shared" si="105"/>
        <v>15</v>
      </c>
      <c r="D966" t="str">
        <f t="shared" si="106"/>
        <v>01</v>
      </c>
      <c r="E966" t="str">
        <f t="shared" si="107"/>
        <v>28</v>
      </c>
      <c r="F966">
        <f t="shared" si="108"/>
        <v>2015</v>
      </c>
      <c r="G966">
        <f t="shared" si="109"/>
        <v>1</v>
      </c>
      <c r="H966">
        <f t="shared" si="110"/>
        <v>28</v>
      </c>
      <c r="I966" t="str">
        <f t="shared" si="111"/>
        <v>15</v>
      </c>
    </row>
    <row r="967" spans="1:9" x14ac:dyDescent="0.25">
      <c r="A967" s="19">
        <v>41239</v>
      </c>
      <c r="B967" s="20">
        <v>6.0416666666666667E-2</v>
      </c>
      <c r="C967" t="str">
        <f t="shared" si="105"/>
        <v>12</v>
      </c>
      <c r="D967" t="str">
        <f t="shared" si="106"/>
        <v>11</v>
      </c>
      <c r="E967" t="str">
        <f t="shared" si="107"/>
        <v>26</v>
      </c>
      <c r="F967">
        <f t="shared" si="108"/>
        <v>2012</v>
      </c>
      <c r="G967">
        <f t="shared" si="109"/>
        <v>11</v>
      </c>
      <c r="H967">
        <f t="shared" si="110"/>
        <v>26</v>
      </c>
      <c r="I967" t="str">
        <f t="shared" si="111"/>
        <v>12</v>
      </c>
    </row>
    <row r="968" spans="1:9" x14ac:dyDescent="0.25">
      <c r="A968" s="19">
        <v>42581</v>
      </c>
      <c r="B968" s="20">
        <v>1.6666666666666666E-2</v>
      </c>
      <c r="C968" t="str">
        <f t="shared" si="105"/>
        <v>16</v>
      </c>
      <c r="D968" t="str">
        <f t="shared" si="106"/>
        <v>07</v>
      </c>
      <c r="E968" t="str">
        <f t="shared" si="107"/>
        <v>30</v>
      </c>
      <c r="F968">
        <f t="shared" si="108"/>
        <v>2016</v>
      </c>
      <c r="G968">
        <f t="shared" si="109"/>
        <v>7</v>
      </c>
      <c r="H968">
        <f t="shared" si="110"/>
        <v>30</v>
      </c>
      <c r="I968" t="str">
        <f t="shared" si="111"/>
        <v>16</v>
      </c>
    </row>
    <row r="969" spans="1:9" x14ac:dyDescent="0.25">
      <c r="A969" s="19">
        <v>40937</v>
      </c>
      <c r="B969" s="20">
        <v>0.98124999999999996</v>
      </c>
      <c r="C969" t="str">
        <f t="shared" si="105"/>
        <v>12</v>
      </c>
      <c r="D969" t="str">
        <f t="shared" si="106"/>
        <v>01</v>
      </c>
      <c r="E969" t="str">
        <f t="shared" si="107"/>
        <v>29</v>
      </c>
      <c r="F969">
        <f t="shared" si="108"/>
        <v>2012</v>
      </c>
      <c r="G969">
        <f t="shared" si="109"/>
        <v>1</v>
      </c>
      <c r="H969">
        <f t="shared" si="110"/>
        <v>29</v>
      </c>
      <c r="I969" t="str">
        <f t="shared" si="111"/>
        <v>12</v>
      </c>
    </row>
    <row r="970" spans="1:9" x14ac:dyDescent="0.25">
      <c r="A970" s="19">
        <v>41422</v>
      </c>
      <c r="B970" s="20">
        <v>7.9861111111111105E-2</v>
      </c>
      <c r="C970" t="str">
        <f t="shared" si="105"/>
        <v>13</v>
      </c>
      <c r="D970" t="str">
        <f t="shared" si="106"/>
        <v>05</v>
      </c>
      <c r="E970" t="str">
        <f t="shared" si="107"/>
        <v>28</v>
      </c>
      <c r="F970">
        <f t="shared" si="108"/>
        <v>2013</v>
      </c>
      <c r="G970">
        <f t="shared" si="109"/>
        <v>5</v>
      </c>
      <c r="H970">
        <f t="shared" si="110"/>
        <v>28</v>
      </c>
      <c r="I970" t="str">
        <f t="shared" si="111"/>
        <v>13</v>
      </c>
    </row>
    <row r="971" spans="1:9" x14ac:dyDescent="0.25">
      <c r="A971" s="19">
        <v>41479</v>
      </c>
      <c r="B971" s="20">
        <v>0.98958333333333337</v>
      </c>
      <c r="C971" t="str">
        <f t="shared" si="105"/>
        <v>13</v>
      </c>
      <c r="D971" t="str">
        <f t="shared" si="106"/>
        <v>07</v>
      </c>
      <c r="E971" t="str">
        <f t="shared" si="107"/>
        <v>24</v>
      </c>
      <c r="F971">
        <f t="shared" si="108"/>
        <v>2013</v>
      </c>
      <c r="G971">
        <f t="shared" si="109"/>
        <v>7</v>
      </c>
      <c r="H971">
        <f t="shared" si="110"/>
        <v>24</v>
      </c>
      <c r="I971" t="str">
        <f t="shared" si="111"/>
        <v>13</v>
      </c>
    </row>
    <row r="972" spans="1:9" x14ac:dyDescent="0.25">
      <c r="A972" s="19">
        <v>41334</v>
      </c>
      <c r="B972" s="20">
        <v>0.98333333333333328</v>
      </c>
      <c r="C972" t="str">
        <f t="shared" si="105"/>
        <v>13</v>
      </c>
      <c r="D972" t="str">
        <f t="shared" si="106"/>
        <v>03</v>
      </c>
      <c r="E972" t="str">
        <f t="shared" si="107"/>
        <v>01</v>
      </c>
      <c r="F972">
        <f t="shared" si="108"/>
        <v>2013</v>
      </c>
      <c r="G972">
        <f t="shared" si="109"/>
        <v>3</v>
      </c>
      <c r="H972">
        <f t="shared" si="110"/>
        <v>1</v>
      </c>
      <c r="I972" t="str">
        <f t="shared" si="111"/>
        <v>13</v>
      </c>
    </row>
    <row r="973" spans="1:9" x14ac:dyDescent="0.25">
      <c r="A973" s="19">
        <v>41775</v>
      </c>
      <c r="B973" s="20">
        <v>6.2500000000000003E-3</v>
      </c>
      <c r="C973" t="str">
        <f t="shared" si="105"/>
        <v>14</v>
      </c>
      <c r="D973" t="str">
        <f t="shared" si="106"/>
        <v>05</v>
      </c>
      <c r="E973" t="str">
        <f t="shared" si="107"/>
        <v>16</v>
      </c>
      <c r="F973">
        <f t="shared" si="108"/>
        <v>2014</v>
      </c>
      <c r="G973">
        <f t="shared" si="109"/>
        <v>5</v>
      </c>
      <c r="H973">
        <f t="shared" si="110"/>
        <v>16</v>
      </c>
      <c r="I973" t="str">
        <f t="shared" si="111"/>
        <v>14</v>
      </c>
    </row>
    <row r="974" spans="1:9" x14ac:dyDescent="0.25">
      <c r="A974" s="19">
        <v>41649</v>
      </c>
      <c r="B974" s="20">
        <v>0.99027777777777781</v>
      </c>
      <c r="C974" t="str">
        <f t="shared" si="105"/>
        <v>14</v>
      </c>
      <c r="D974" t="str">
        <f t="shared" si="106"/>
        <v>01</v>
      </c>
      <c r="E974" t="str">
        <f t="shared" si="107"/>
        <v>10</v>
      </c>
      <c r="F974">
        <f t="shared" si="108"/>
        <v>2014</v>
      </c>
      <c r="G974">
        <f t="shared" si="109"/>
        <v>1</v>
      </c>
      <c r="H974">
        <f t="shared" si="110"/>
        <v>10</v>
      </c>
      <c r="I974" t="str">
        <f t="shared" si="111"/>
        <v>14</v>
      </c>
    </row>
    <row r="975" spans="1:9" x14ac:dyDescent="0.25">
      <c r="A975" s="19">
        <v>42408</v>
      </c>
      <c r="B975" s="20">
        <v>6.7361111111111108E-2</v>
      </c>
      <c r="C975" t="str">
        <f t="shared" si="105"/>
        <v>16</v>
      </c>
      <c r="D975" t="str">
        <f t="shared" si="106"/>
        <v>02</v>
      </c>
      <c r="E975" t="str">
        <f t="shared" si="107"/>
        <v>08</v>
      </c>
      <c r="F975">
        <f t="shared" si="108"/>
        <v>2016</v>
      </c>
      <c r="G975">
        <f t="shared" si="109"/>
        <v>2</v>
      </c>
      <c r="H975">
        <f t="shared" si="110"/>
        <v>8</v>
      </c>
      <c r="I975" t="str">
        <f t="shared" si="111"/>
        <v>16</v>
      </c>
    </row>
    <row r="976" spans="1:9" x14ac:dyDescent="0.25">
      <c r="A976" s="19">
        <v>41311</v>
      </c>
      <c r="B976" s="20">
        <v>2.7777777777777776E-2</v>
      </c>
      <c r="C976" t="str">
        <f t="shared" si="105"/>
        <v>13</v>
      </c>
      <c r="D976" t="str">
        <f t="shared" si="106"/>
        <v>02</v>
      </c>
      <c r="E976" t="str">
        <f t="shared" si="107"/>
        <v>06</v>
      </c>
      <c r="F976">
        <f t="shared" si="108"/>
        <v>2013</v>
      </c>
      <c r="G976">
        <f t="shared" si="109"/>
        <v>2</v>
      </c>
      <c r="H976">
        <f t="shared" si="110"/>
        <v>6</v>
      </c>
      <c r="I976" t="str">
        <f t="shared" si="111"/>
        <v>13</v>
      </c>
    </row>
    <row r="977" spans="1:9" x14ac:dyDescent="0.25">
      <c r="A977" s="19">
        <v>41554</v>
      </c>
      <c r="B977" s="20">
        <v>3.7499999999999999E-2</v>
      </c>
      <c r="C977" t="str">
        <f t="shared" si="105"/>
        <v>13</v>
      </c>
      <c r="D977" t="str">
        <f t="shared" si="106"/>
        <v>10</v>
      </c>
      <c r="E977" t="str">
        <f t="shared" si="107"/>
        <v>07</v>
      </c>
      <c r="F977">
        <f t="shared" si="108"/>
        <v>2013</v>
      </c>
      <c r="G977">
        <f t="shared" si="109"/>
        <v>10</v>
      </c>
      <c r="H977">
        <f t="shared" si="110"/>
        <v>7</v>
      </c>
      <c r="I977" t="str">
        <f t="shared" si="111"/>
        <v>13</v>
      </c>
    </row>
    <row r="978" spans="1:9" x14ac:dyDescent="0.25">
      <c r="A978" s="19">
        <v>41533</v>
      </c>
      <c r="B978" s="20">
        <v>0.98124999999999996</v>
      </c>
      <c r="C978" t="str">
        <f t="shared" si="105"/>
        <v>13</v>
      </c>
      <c r="D978" t="str">
        <f t="shared" si="106"/>
        <v>09</v>
      </c>
      <c r="E978" t="str">
        <f t="shared" si="107"/>
        <v>16</v>
      </c>
      <c r="F978">
        <f t="shared" si="108"/>
        <v>2013</v>
      </c>
      <c r="G978">
        <f t="shared" si="109"/>
        <v>9</v>
      </c>
      <c r="H978">
        <f t="shared" si="110"/>
        <v>16</v>
      </c>
      <c r="I978" t="str">
        <f t="shared" si="111"/>
        <v>13</v>
      </c>
    </row>
    <row r="979" spans="1:9" x14ac:dyDescent="0.25">
      <c r="A979" s="19">
        <v>41507</v>
      </c>
      <c r="B979" s="20">
        <v>0.98124999999999996</v>
      </c>
      <c r="C979" t="str">
        <f t="shared" si="105"/>
        <v>13</v>
      </c>
      <c r="D979" t="str">
        <f t="shared" si="106"/>
        <v>08</v>
      </c>
      <c r="E979" t="str">
        <f t="shared" si="107"/>
        <v>21</v>
      </c>
      <c r="F979">
        <f t="shared" si="108"/>
        <v>2013</v>
      </c>
      <c r="G979">
        <f t="shared" si="109"/>
        <v>8</v>
      </c>
      <c r="H979">
        <f t="shared" si="110"/>
        <v>21</v>
      </c>
      <c r="I979" t="str">
        <f t="shared" si="111"/>
        <v>13</v>
      </c>
    </row>
    <row r="980" spans="1:9" x14ac:dyDescent="0.25">
      <c r="A980" s="19">
        <v>41278</v>
      </c>
      <c r="B980" s="20">
        <v>3.3333333333333333E-2</v>
      </c>
      <c r="C980" t="str">
        <f t="shared" si="105"/>
        <v>13</v>
      </c>
      <c r="D980" t="str">
        <f t="shared" si="106"/>
        <v>01</v>
      </c>
      <c r="E980" t="str">
        <f t="shared" si="107"/>
        <v>04</v>
      </c>
      <c r="F980">
        <f t="shared" si="108"/>
        <v>2013</v>
      </c>
      <c r="G980">
        <f t="shared" si="109"/>
        <v>1</v>
      </c>
      <c r="H980">
        <f t="shared" si="110"/>
        <v>4</v>
      </c>
      <c r="I980" t="str">
        <f t="shared" si="111"/>
        <v>13</v>
      </c>
    </row>
    <row r="981" spans="1:9" x14ac:dyDescent="0.25">
      <c r="A981" s="19">
        <v>41597</v>
      </c>
      <c r="B981" s="20">
        <v>2.6388888888888889E-2</v>
      </c>
      <c r="C981" t="str">
        <f t="shared" si="105"/>
        <v>13</v>
      </c>
      <c r="D981" t="str">
        <f t="shared" si="106"/>
        <v>11</v>
      </c>
      <c r="E981" t="str">
        <f t="shared" si="107"/>
        <v>19</v>
      </c>
      <c r="F981">
        <f t="shared" si="108"/>
        <v>2013</v>
      </c>
      <c r="G981">
        <f t="shared" si="109"/>
        <v>11</v>
      </c>
      <c r="H981">
        <f t="shared" si="110"/>
        <v>19</v>
      </c>
      <c r="I981" t="str">
        <f t="shared" si="111"/>
        <v>13</v>
      </c>
    </row>
    <row r="982" spans="1:9" x14ac:dyDescent="0.25">
      <c r="A982" s="19">
        <v>41349</v>
      </c>
      <c r="B982" s="20">
        <v>2.9166666666666667E-2</v>
      </c>
      <c r="C982" t="str">
        <f t="shared" si="105"/>
        <v>13</v>
      </c>
      <c r="D982" t="str">
        <f t="shared" si="106"/>
        <v>03</v>
      </c>
      <c r="E982" t="str">
        <f t="shared" si="107"/>
        <v>16</v>
      </c>
      <c r="F982">
        <f t="shared" si="108"/>
        <v>2013</v>
      </c>
      <c r="G982">
        <f t="shared" si="109"/>
        <v>3</v>
      </c>
      <c r="H982">
        <f t="shared" si="110"/>
        <v>16</v>
      </c>
      <c r="I982" t="str">
        <f t="shared" si="111"/>
        <v>13</v>
      </c>
    </row>
    <row r="983" spans="1:9" x14ac:dyDescent="0.25">
      <c r="A983" s="19">
        <v>41038</v>
      </c>
      <c r="B983" s="20">
        <v>2.5694444444444443E-2</v>
      </c>
      <c r="C983" t="str">
        <f t="shared" si="105"/>
        <v>12</v>
      </c>
      <c r="D983" t="str">
        <f t="shared" si="106"/>
        <v>05</v>
      </c>
      <c r="E983" t="str">
        <f t="shared" si="107"/>
        <v>09</v>
      </c>
      <c r="F983">
        <f t="shared" si="108"/>
        <v>2012</v>
      </c>
      <c r="G983">
        <f t="shared" si="109"/>
        <v>5</v>
      </c>
      <c r="H983">
        <f t="shared" si="110"/>
        <v>9</v>
      </c>
      <c r="I983" t="str">
        <f t="shared" si="111"/>
        <v>12</v>
      </c>
    </row>
    <row r="984" spans="1:9" x14ac:dyDescent="0.25">
      <c r="A984" s="19">
        <v>41542</v>
      </c>
      <c r="B984" s="20">
        <v>3.7499999999999999E-2</v>
      </c>
      <c r="C984" t="str">
        <f t="shared" si="105"/>
        <v>13</v>
      </c>
      <c r="D984" t="str">
        <f t="shared" si="106"/>
        <v>09</v>
      </c>
      <c r="E984" t="str">
        <f t="shared" si="107"/>
        <v>25</v>
      </c>
      <c r="F984">
        <f t="shared" si="108"/>
        <v>2013</v>
      </c>
      <c r="G984">
        <f t="shared" si="109"/>
        <v>9</v>
      </c>
      <c r="H984">
        <f t="shared" si="110"/>
        <v>25</v>
      </c>
      <c r="I984" t="str">
        <f t="shared" si="111"/>
        <v>13</v>
      </c>
    </row>
    <row r="985" spans="1:9" x14ac:dyDescent="0.25">
      <c r="A985" s="19">
        <v>42646</v>
      </c>
      <c r="B985" s="20">
        <v>0.97638888888888886</v>
      </c>
      <c r="C985" t="str">
        <f t="shared" si="105"/>
        <v>16</v>
      </c>
      <c r="D985" t="str">
        <f t="shared" si="106"/>
        <v>10</v>
      </c>
      <c r="E985" t="str">
        <f t="shared" si="107"/>
        <v>03</v>
      </c>
      <c r="F985">
        <f t="shared" si="108"/>
        <v>2016</v>
      </c>
      <c r="G985">
        <f t="shared" si="109"/>
        <v>10</v>
      </c>
      <c r="H985">
        <f t="shared" si="110"/>
        <v>3</v>
      </c>
      <c r="I985" t="str">
        <f t="shared" si="111"/>
        <v>16</v>
      </c>
    </row>
    <row r="986" spans="1:9" x14ac:dyDescent="0.25">
      <c r="A986" s="19">
        <v>41606</v>
      </c>
      <c r="B986" s="20">
        <v>1.8055555555555554E-2</v>
      </c>
      <c r="C986" t="str">
        <f t="shared" si="105"/>
        <v>13</v>
      </c>
      <c r="D986" t="str">
        <f t="shared" si="106"/>
        <v>11</v>
      </c>
      <c r="E986" t="str">
        <f t="shared" si="107"/>
        <v>28</v>
      </c>
      <c r="F986">
        <f t="shared" si="108"/>
        <v>2013</v>
      </c>
      <c r="G986">
        <f t="shared" si="109"/>
        <v>11</v>
      </c>
      <c r="H986">
        <f t="shared" si="110"/>
        <v>28</v>
      </c>
      <c r="I986" t="str">
        <f t="shared" si="111"/>
        <v>13</v>
      </c>
    </row>
    <row r="987" spans="1:9" x14ac:dyDescent="0.25">
      <c r="A987" s="19">
        <v>42387</v>
      </c>
      <c r="B987" s="20">
        <v>0.98541666666666672</v>
      </c>
      <c r="C987" t="str">
        <f t="shared" si="105"/>
        <v>16</v>
      </c>
      <c r="D987" t="str">
        <f t="shared" si="106"/>
        <v>01</v>
      </c>
      <c r="E987" t="str">
        <f t="shared" si="107"/>
        <v>18</v>
      </c>
      <c r="F987">
        <f t="shared" si="108"/>
        <v>2016</v>
      </c>
      <c r="G987">
        <f t="shared" si="109"/>
        <v>1</v>
      </c>
      <c r="H987">
        <f t="shared" si="110"/>
        <v>18</v>
      </c>
      <c r="I987" t="str">
        <f t="shared" si="111"/>
        <v>16</v>
      </c>
    </row>
    <row r="988" spans="1:9" x14ac:dyDescent="0.25">
      <c r="A988" s="19">
        <v>41427</v>
      </c>
      <c r="B988" s="20">
        <v>1.2500000000000001E-2</v>
      </c>
      <c r="C988" t="str">
        <f t="shared" si="105"/>
        <v>13</v>
      </c>
      <c r="D988" t="str">
        <f t="shared" si="106"/>
        <v>06</v>
      </c>
      <c r="E988" t="str">
        <f t="shared" si="107"/>
        <v>02</v>
      </c>
      <c r="F988">
        <f t="shared" si="108"/>
        <v>2013</v>
      </c>
      <c r="G988">
        <f t="shared" si="109"/>
        <v>6</v>
      </c>
      <c r="H988">
        <f t="shared" si="110"/>
        <v>2</v>
      </c>
      <c r="I988" t="str">
        <f t="shared" si="111"/>
        <v>13</v>
      </c>
    </row>
    <row r="989" spans="1:9" x14ac:dyDescent="0.25">
      <c r="A989" s="19">
        <v>41261</v>
      </c>
      <c r="B989" s="20">
        <v>0.9868055555555556</v>
      </c>
      <c r="C989" t="str">
        <f t="shared" si="105"/>
        <v>12</v>
      </c>
      <c r="D989" t="str">
        <f t="shared" si="106"/>
        <v>12</v>
      </c>
      <c r="E989" t="str">
        <f t="shared" si="107"/>
        <v>18</v>
      </c>
      <c r="F989">
        <f t="shared" si="108"/>
        <v>2012</v>
      </c>
      <c r="G989">
        <f t="shared" si="109"/>
        <v>12</v>
      </c>
      <c r="H989">
        <f t="shared" si="110"/>
        <v>18</v>
      </c>
      <c r="I989" t="str">
        <f t="shared" si="111"/>
        <v>12</v>
      </c>
    </row>
    <row r="990" spans="1:9" x14ac:dyDescent="0.25">
      <c r="A990" s="19">
        <v>41508</v>
      </c>
      <c r="B990" s="20">
        <v>0.96527777777777779</v>
      </c>
      <c r="C990" t="str">
        <f t="shared" si="105"/>
        <v>13</v>
      </c>
      <c r="D990" t="str">
        <f t="shared" si="106"/>
        <v>08</v>
      </c>
      <c r="E990" t="str">
        <f t="shared" si="107"/>
        <v>22</v>
      </c>
      <c r="F990">
        <f t="shared" si="108"/>
        <v>2013</v>
      </c>
      <c r="G990">
        <f t="shared" si="109"/>
        <v>8</v>
      </c>
      <c r="H990">
        <f t="shared" si="110"/>
        <v>22</v>
      </c>
      <c r="I990" t="str">
        <f t="shared" si="111"/>
        <v>13</v>
      </c>
    </row>
    <row r="991" spans="1:9" x14ac:dyDescent="0.25">
      <c r="A991" s="19">
        <v>42699</v>
      </c>
      <c r="B991" s="20">
        <v>1.0416666666666666E-2</v>
      </c>
      <c r="C991" t="str">
        <f t="shared" si="105"/>
        <v>16</v>
      </c>
      <c r="D991" t="str">
        <f t="shared" si="106"/>
        <v>11</v>
      </c>
      <c r="E991" t="str">
        <f t="shared" si="107"/>
        <v>25</v>
      </c>
      <c r="F991">
        <f t="shared" si="108"/>
        <v>2016</v>
      </c>
      <c r="G991">
        <f t="shared" si="109"/>
        <v>11</v>
      </c>
      <c r="H991">
        <f t="shared" si="110"/>
        <v>25</v>
      </c>
      <c r="I991" t="str">
        <f t="shared" si="111"/>
        <v>16</v>
      </c>
    </row>
    <row r="992" spans="1:9" x14ac:dyDescent="0.25">
      <c r="A992" s="19">
        <v>41989</v>
      </c>
      <c r="B992" s="20">
        <v>1.0416666666666666E-2</v>
      </c>
      <c r="C992" t="str">
        <f t="shared" si="105"/>
        <v>14</v>
      </c>
      <c r="D992" t="str">
        <f t="shared" si="106"/>
        <v>12</v>
      </c>
      <c r="E992" t="str">
        <f t="shared" si="107"/>
        <v>16</v>
      </c>
      <c r="F992">
        <f t="shared" si="108"/>
        <v>2014</v>
      </c>
      <c r="G992">
        <f t="shared" si="109"/>
        <v>12</v>
      </c>
      <c r="H992">
        <f t="shared" si="110"/>
        <v>16</v>
      </c>
      <c r="I992" t="str">
        <f t="shared" si="111"/>
        <v>14</v>
      </c>
    </row>
    <row r="993" spans="1:9" x14ac:dyDescent="0.25">
      <c r="A993" s="19">
        <v>42612</v>
      </c>
      <c r="B993" s="20">
        <v>5.5555555555555552E-2</v>
      </c>
      <c r="C993" t="str">
        <f t="shared" si="105"/>
        <v>16</v>
      </c>
      <c r="D993" t="str">
        <f t="shared" si="106"/>
        <v>08</v>
      </c>
      <c r="E993" t="str">
        <f t="shared" si="107"/>
        <v>30</v>
      </c>
      <c r="F993">
        <f t="shared" si="108"/>
        <v>2016</v>
      </c>
      <c r="G993">
        <f t="shared" si="109"/>
        <v>8</v>
      </c>
      <c r="H993">
        <f t="shared" si="110"/>
        <v>30</v>
      </c>
      <c r="I993" t="str">
        <f t="shared" si="111"/>
        <v>16</v>
      </c>
    </row>
    <row r="994" spans="1:9" x14ac:dyDescent="0.25">
      <c r="A994" s="19">
        <v>41857</v>
      </c>
      <c r="B994" s="20">
        <v>5.347222222222222E-2</v>
      </c>
      <c r="C994" t="str">
        <f t="shared" si="105"/>
        <v>14</v>
      </c>
      <c r="D994" t="str">
        <f t="shared" si="106"/>
        <v>08</v>
      </c>
      <c r="E994" t="str">
        <f t="shared" si="107"/>
        <v>06</v>
      </c>
      <c r="F994">
        <f t="shared" si="108"/>
        <v>2014</v>
      </c>
      <c r="G994">
        <f t="shared" si="109"/>
        <v>8</v>
      </c>
      <c r="H994">
        <f t="shared" si="110"/>
        <v>6</v>
      </c>
      <c r="I994" t="str">
        <f t="shared" si="111"/>
        <v>14</v>
      </c>
    </row>
    <row r="995" spans="1:9" x14ac:dyDescent="0.25">
      <c r="A995" s="19">
        <v>42208</v>
      </c>
      <c r="B995" s="20">
        <v>0.95972222222222225</v>
      </c>
      <c r="C995" t="str">
        <f t="shared" si="105"/>
        <v>15</v>
      </c>
      <c r="D995" t="str">
        <f t="shared" si="106"/>
        <v>07</v>
      </c>
      <c r="E995" t="str">
        <f t="shared" si="107"/>
        <v>23</v>
      </c>
      <c r="F995">
        <f t="shared" si="108"/>
        <v>2015</v>
      </c>
      <c r="G995">
        <f t="shared" si="109"/>
        <v>7</v>
      </c>
      <c r="H995">
        <f t="shared" si="110"/>
        <v>23</v>
      </c>
      <c r="I995" t="str">
        <f t="shared" si="111"/>
        <v>15</v>
      </c>
    </row>
    <row r="996" spans="1:9" x14ac:dyDescent="0.25">
      <c r="A996" s="19">
        <v>41645</v>
      </c>
      <c r="B996" s="20">
        <v>6.9444444444444447E-4</v>
      </c>
      <c r="C996" t="str">
        <f t="shared" si="105"/>
        <v>14</v>
      </c>
      <c r="D996" t="str">
        <f t="shared" si="106"/>
        <v>01</v>
      </c>
      <c r="E996" t="str">
        <f t="shared" si="107"/>
        <v>06</v>
      </c>
      <c r="F996">
        <f t="shared" si="108"/>
        <v>2014</v>
      </c>
      <c r="G996">
        <f t="shared" si="109"/>
        <v>1</v>
      </c>
      <c r="H996">
        <f t="shared" si="110"/>
        <v>6</v>
      </c>
      <c r="I996" t="str">
        <f t="shared" si="111"/>
        <v>14</v>
      </c>
    </row>
    <row r="997" spans="1:9" x14ac:dyDescent="0.25">
      <c r="A997" s="19">
        <v>40984</v>
      </c>
      <c r="B997" s="20">
        <v>3.4722222222222224E-2</v>
      </c>
      <c r="C997" t="str">
        <f t="shared" si="105"/>
        <v>12</v>
      </c>
      <c r="D997" t="str">
        <f t="shared" si="106"/>
        <v>03</v>
      </c>
      <c r="E997" t="str">
        <f t="shared" si="107"/>
        <v>16</v>
      </c>
      <c r="F997">
        <f t="shared" si="108"/>
        <v>2012</v>
      </c>
      <c r="G997">
        <f t="shared" si="109"/>
        <v>3</v>
      </c>
      <c r="H997">
        <f t="shared" si="110"/>
        <v>16</v>
      </c>
      <c r="I997" t="str">
        <f t="shared" si="111"/>
        <v>12</v>
      </c>
    </row>
    <row r="998" spans="1:9" x14ac:dyDescent="0.25">
      <c r="A998" s="19">
        <v>41662</v>
      </c>
      <c r="B998" s="20">
        <v>0.96805555555555556</v>
      </c>
      <c r="C998" t="str">
        <f t="shared" si="105"/>
        <v>14</v>
      </c>
      <c r="D998" t="str">
        <f t="shared" si="106"/>
        <v>01</v>
      </c>
      <c r="E998" t="str">
        <f t="shared" si="107"/>
        <v>23</v>
      </c>
      <c r="F998">
        <f t="shared" si="108"/>
        <v>2014</v>
      </c>
      <c r="G998">
        <f t="shared" si="109"/>
        <v>1</v>
      </c>
      <c r="H998">
        <f t="shared" si="110"/>
        <v>23</v>
      </c>
      <c r="I998" t="str">
        <f t="shared" si="111"/>
        <v>14</v>
      </c>
    </row>
    <row r="999" spans="1:9" x14ac:dyDescent="0.25">
      <c r="A999" s="19">
        <v>41197</v>
      </c>
      <c r="B999" s="20">
        <v>0.98402777777777772</v>
      </c>
      <c r="C999" t="str">
        <f t="shared" si="105"/>
        <v>12</v>
      </c>
      <c r="D999" t="str">
        <f t="shared" si="106"/>
        <v>10</v>
      </c>
      <c r="E999" t="str">
        <f t="shared" si="107"/>
        <v>15</v>
      </c>
      <c r="F999">
        <f t="shared" si="108"/>
        <v>2012</v>
      </c>
      <c r="G999">
        <f t="shared" si="109"/>
        <v>10</v>
      </c>
      <c r="H999">
        <f t="shared" si="110"/>
        <v>15</v>
      </c>
      <c r="I999" t="str">
        <f t="shared" si="111"/>
        <v>12</v>
      </c>
    </row>
    <row r="1000" spans="1:9" x14ac:dyDescent="0.25">
      <c r="A1000" s="19">
        <v>41081</v>
      </c>
      <c r="B1000" s="20">
        <v>0.9819444444444444</v>
      </c>
      <c r="C1000" t="str">
        <f t="shared" si="105"/>
        <v>12</v>
      </c>
      <c r="D1000" t="str">
        <f t="shared" si="106"/>
        <v>06</v>
      </c>
      <c r="E1000" t="str">
        <f t="shared" si="107"/>
        <v>21</v>
      </c>
      <c r="F1000">
        <f t="shared" si="108"/>
        <v>2012</v>
      </c>
      <c r="G1000">
        <f t="shared" si="109"/>
        <v>6</v>
      </c>
      <c r="H1000">
        <f t="shared" si="110"/>
        <v>21</v>
      </c>
      <c r="I1000" t="str">
        <f t="shared" si="111"/>
        <v>12</v>
      </c>
    </row>
    <row r="1001" spans="1:9" x14ac:dyDescent="0.25">
      <c r="A1001" s="19">
        <v>41809</v>
      </c>
      <c r="B1001" s="20">
        <v>0.97569444444444442</v>
      </c>
      <c r="C1001" t="str">
        <f t="shared" si="105"/>
        <v>14</v>
      </c>
      <c r="D1001" t="str">
        <f t="shared" si="106"/>
        <v>06</v>
      </c>
      <c r="E1001" t="str">
        <f t="shared" si="107"/>
        <v>19</v>
      </c>
      <c r="F1001">
        <f t="shared" si="108"/>
        <v>2014</v>
      </c>
      <c r="G1001">
        <f t="shared" si="109"/>
        <v>6</v>
      </c>
      <c r="H1001">
        <f t="shared" si="110"/>
        <v>19</v>
      </c>
      <c r="I1001" t="str">
        <f t="shared" si="111"/>
        <v>14</v>
      </c>
    </row>
    <row r="1002" spans="1:9" x14ac:dyDescent="0.25">
      <c r="A1002" s="19">
        <v>41800</v>
      </c>
      <c r="B1002" s="20">
        <v>3.4722222222222224E-2</v>
      </c>
      <c r="C1002" t="str">
        <f t="shared" si="105"/>
        <v>14</v>
      </c>
      <c r="D1002" t="str">
        <f t="shared" si="106"/>
        <v>06</v>
      </c>
      <c r="E1002" t="str">
        <f t="shared" si="107"/>
        <v>10</v>
      </c>
      <c r="F1002">
        <f t="shared" si="108"/>
        <v>2014</v>
      </c>
      <c r="G1002">
        <f t="shared" si="109"/>
        <v>6</v>
      </c>
      <c r="H1002">
        <f t="shared" si="110"/>
        <v>10</v>
      </c>
      <c r="I1002" t="str">
        <f t="shared" si="111"/>
        <v>14</v>
      </c>
    </row>
    <row r="1003" spans="1:9" x14ac:dyDescent="0.25">
      <c r="A1003" s="19">
        <v>41889</v>
      </c>
      <c r="B1003" s="20">
        <v>0.98611111111111116</v>
      </c>
      <c r="C1003" t="str">
        <f t="shared" si="105"/>
        <v>14</v>
      </c>
      <c r="D1003" t="str">
        <f t="shared" si="106"/>
        <v>09</v>
      </c>
      <c r="E1003" t="str">
        <f t="shared" si="107"/>
        <v>07</v>
      </c>
      <c r="F1003">
        <f t="shared" si="108"/>
        <v>2014</v>
      </c>
      <c r="G1003">
        <f t="shared" si="109"/>
        <v>9</v>
      </c>
      <c r="H1003">
        <f t="shared" si="110"/>
        <v>7</v>
      </c>
      <c r="I1003" t="str">
        <f t="shared" si="111"/>
        <v>14</v>
      </c>
    </row>
    <row r="1004" spans="1:9" x14ac:dyDescent="0.25">
      <c r="A1004" s="19">
        <v>41296</v>
      </c>
      <c r="B1004" s="20">
        <v>1.4583333333333334E-2</v>
      </c>
      <c r="C1004" t="str">
        <f t="shared" si="105"/>
        <v>13</v>
      </c>
      <c r="D1004" t="str">
        <f t="shared" si="106"/>
        <v>01</v>
      </c>
      <c r="E1004" t="str">
        <f t="shared" si="107"/>
        <v>22</v>
      </c>
      <c r="F1004">
        <f t="shared" si="108"/>
        <v>2013</v>
      </c>
      <c r="G1004">
        <f t="shared" si="109"/>
        <v>1</v>
      </c>
      <c r="H1004">
        <f t="shared" si="110"/>
        <v>22</v>
      </c>
      <c r="I1004" t="str">
        <f t="shared" si="111"/>
        <v>13</v>
      </c>
    </row>
    <row r="1005" spans="1:9" x14ac:dyDescent="0.25">
      <c r="A1005" s="19">
        <v>41982</v>
      </c>
      <c r="B1005" s="20">
        <v>2.1527777777777778E-2</v>
      </c>
      <c r="C1005" t="str">
        <f t="shared" si="105"/>
        <v>14</v>
      </c>
      <c r="D1005" t="str">
        <f t="shared" si="106"/>
        <v>12</v>
      </c>
      <c r="E1005" t="str">
        <f t="shared" si="107"/>
        <v>09</v>
      </c>
      <c r="F1005">
        <f t="shared" si="108"/>
        <v>2014</v>
      </c>
      <c r="G1005">
        <f t="shared" si="109"/>
        <v>12</v>
      </c>
      <c r="H1005">
        <f t="shared" si="110"/>
        <v>9</v>
      </c>
      <c r="I1005" t="str">
        <f t="shared" si="111"/>
        <v>14</v>
      </c>
    </row>
    <row r="1006" spans="1:9" x14ac:dyDescent="0.25">
      <c r="A1006" s="19">
        <v>41649</v>
      </c>
      <c r="B1006" s="20">
        <v>0.96597222222222223</v>
      </c>
      <c r="C1006" t="str">
        <f t="shared" si="105"/>
        <v>14</v>
      </c>
      <c r="D1006" t="str">
        <f t="shared" si="106"/>
        <v>01</v>
      </c>
      <c r="E1006" t="str">
        <f t="shared" si="107"/>
        <v>10</v>
      </c>
      <c r="F1006">
        <f t="shared" si="108"/>
        <v>2014</v>
      </c>
      <c r="G1006">
        <f t="shared" si="109"/>
        <v>1</v>
      </c>
      <c r="H1006">
        <f t="shared" si="110"/>
        <v>10</v>
      </c>
      <c r="I1006" t="str">
        <f t="shared" si="111"/>
        <v>14</v>
      </c>
    </row>
    <row r="1007" spans="1:9" x14ac:dyDescent="0.25">
      <c r="A1007" s="19">
        <v>42453</v>
      </c>
      <c r="B1007" s="20">
        <v>0.95277777777777772</v>
      </c>
      <c r="C1007" t="str">
        <f t="shared" si="105"/>
        <v>16</v>
      </c>
      <c r="D1007" t="str">
        <f t="shared" si="106"/>
        <v>03</v>
      </c>
      <c r="E1007" t="str">
        <f t="shared" si="107"/>
        <v>24</v>
      </c>
      <c r="F1007">
        <f t="shared" si="108"/>
        <v>2016</v>
      </c>
      <c r="G1007">
        <f t="shared" si="109"/>
        <v>3</v>
      </c>
      <c r="H1007">
        <f t="shared" si="110"/>
        <v>24</v>
      </c>
      <c r="I1007" t="str">
        <f t="shared" si="111"/>
        <v>16</v>
      </c>
    </row>
    <row r="1008" spans="1:9" x14ac:dyDescent="0.25">
      <c r="A1008" s="19">
        <v>41775</v>
      </c>
      <c r="B1008" s="20">
        <v>1.5972222222222221E-2</v>
      </c>
      <c r="C1008" t="str">
        <f t="shared" si="105"/>
        <v>14</v>
      </c>
      <c r="D1008" t="str">
        <f t="shared" si="106"/>
        <v>05</v>
      </c>
      <c r="E1008" t="str">
        <f t="shared" si="107"/>
        <v>16</v>
      </c>
      <c r="F1008">
        <f t="shared" si="108"/>
        <v>2014</v>
      </c>
      <c r="G1008">
        <f t="shared" si="109"/>
        <v>5</v>
      </c>
      <c r="H1008">
        <f t="shared" si="110"/>
        <v>16</v>
      </c>
      <c r="I1008" t="str">
        <f t="shared" si="111"/>
        <v>14</v>
      </c>
    </row>
    <row r="1009" spans="1:9" x14ac:dyDescent="0.25">
      <c r="A1009" s="19">
        <v>41365</v>
      </c>
      <c r="B1009" s="20">
        <v>4.8611111111111112E-2</v>
      </c>
      <c r="C1009" t="str">
        <f t="shared" si="105"/>
        <v>13</v>
      </c>
      <c r="D1009" t="str">
        <f t="shared" si="106"/>
        <v>04</v>
      </c>
      <c r="E1009" t="str">
        <f t="shared" si="107"/>
        <v>01</v>
      </c>
      <c r="F1009">
        <f t="shared" si="108"/>
        <v>2013</v>
      </c>
      <c r="G1009">
        <f t="shared" si="109"/>
        <v>4</v>
      </c>
      <c r="H1009">
        <f t="shared" si="110"/>
        <v>1</v>
      </c>
      <c r="I1009" t="str">
        <f t="shared" si="111"/>
        <v>13</v>
      </c>
    </row>
    <row r="1010" spans="1:9" x14ac:dyDescent="0.25">
      <c r="A1010" s="19">
        <v>42153</v>
      </c>
      <c r="B1010" s="20">
        <v>5.5555555555555552E-2</v>
      </c>
      <c r="C1010" t="str">
        <f t="shared" si="105"/>
        <v>15</v>
      </c>
      <c r="D1010" t="str">
        <f t="shared" si="106"/>
        <v>05</v>
      </c>
      <c r="E1010" t="str">
        <f t="shared" si="107"/>
        <v>29</v>
      </c>
      <c r="F1010">
        <f t="shared" si="108"/>
        <v>2015</v>
      </c>
      <c r="G1010">
        <f t="shared" si="109"/>
        <v>5</v>
      </c>
      <c r="H1010">
        <f t="shared" si="110"/>
        <v>29</v>
      </c>
      <c r="I1010" t="str">
        <f t="shared" si="111"/>
        <v>15</v>
      </c>
    </row>
    <row r="1011" spans="1:9" x14ac:dyDescent="0.25">
      <c r="A1011" s="19">
        <v>41252</v>
      </c>
      <c r="B1011" s="20">
        <v>0.99027777777777781</v>
      </c>
      <c r="C1011" t="str">
        <f t="shared" si="105"/>
        <v>12</v>
      </c>
      <c r="D1011" t="str">
        <f t="shared" si="106"/>
        <v>12</v>
      </c>
      <c r="E1011" t="str">
        <f t="shared" si="107"/>
        <v>09</v>
      </c>
      <c r="F1011">
        <f t="shared" si="108"/>
        <v>2012</v>
      </c>
      <c r="G1011">
        <f t="shared" si="109"/>
        <v>12</v>
      </c>
      <c r="H1011">
        <f t="shared" si="110"/>
        <v>9</v>
      </c>
      <c r="I1011" t="str">
        <f t="shared" si="111"/>
        <v>12</v>
      </c>
    </row>
    <row r="1012" spans="1:9" x14ac:dyDescent="0.25">
      <c r="A1012" s="19">
        <v>41563</v>
      </c>
      <c r="B1012" s="20">
        <v>7.6388888888888886E-3</v>
      </c>
      <c r="C1012" t="str">
        <f t="shared" si="105"/>
        <v>13</v>
      </c>
      <c r="D1012" t="str">
        <f t="shared" si="106"/>
        <v>10</v>
      </c>
      <c r="E1012" t="str">
        <f t="shared" si="107"/>
        <v>16</v>
      </c>
      <c r="F1012">
        <f t="shared" si="108"/>
        <v>2013</v>
      </c>
      <c r="G1012">
        <f t="shared" si="109"/>
        <v>10</v>
      </c>
      <c r="H1012">
        <f t="shared" si="110"/>
        <v>16</v>
      </c>
      <c r="I1012" t="str">
        <f t="shared" si="111"/>
        <v>13</v>
      </c>
    </row>
    <row r="1013" spans="1:9" x14ac:dyDescent="0.25">
      <c r="A1013" s="19">
        <v>41682</v>
      </c>
      <c r="B1013" s="20">
        <v>2.7083333333333334E-2</v>
      </c>
      <c r="C1013" t="str">
        <f t="shared" si="105"/>
        <v>14</v>
      </c>
      <c r="D1013" t="str">
        <f t="shared" si="106"/>
        <v>02</v>
      </c>
      <c r="E1013" t="str">
        <f t="shared" si="107"/>
        <v>12</v>
      </c>
      <c r="F1013">
        <f t="shared" si="108"/>
        <v>2014</v>
      </c>
      <c r="G1013">
        <f t="shared" si="109"/>
        <v>2</v>
      </c>
      <c r="H1013">
        <f t="shared" si="110"/>
        <v>12</v>
      </c>
      <c r="I1013" t="str">
        <f t="shared" si="111"/>
        <v>14</v>
      </c>
    </row>
    <row r="1014" spans="1:9" x14ac:dyDescent="0.25">
      <c r="A1014" s="19">
        <v>41503</v>
      </c>
      <c r="B1014" s="20">
        <v>4.5138888888888888E-2</v>
      </c>
      <c r="C1014" t="str">
        <f t="shared" si="105"/>
        <v>13</v>
      </c>
      <c r="D1014" t="str">
        <f t="shared" si="106"/>
        <v>08</v>
      </c>
      <c r="E1014" t="str">
        <f t="shared" si="107"/>
        <v>17</v>
      </c>
      <c r="F1014">
        <f t="shared" si="108"/>
        <v>2013</v>
      </c>
      <c r="G1014">
        <f t="shared" si="109"/>
        <v>8</v>
      </c>
      <c r="H1014">
        <f t="shared" si="110"/>
        <v>17</v>
      </c>
      <c r="I1014" t="str">
        <f t="shared" si="111"/>
        <v>13</v>
      </c>
    </row>
    <row r="1015" spans="1:9" x14ac:dyDescent="0.25">
      <c r="A1015" s="19">
        <v>42742</v>
      </c>
      <c r="B1015" s="20">
        <v>0.93680555555555556</v>
      </c>
      <c r="C1015" t="str">
        <f t="shared" si="105"/>
        <v>17</v>
      </c>
      <c r="D1015" t="str">
        <f t="shared" si="106"/>
        <v>01</v>
      </c>
      <c r="E1015" t="str">
        <f t="shared" si="107"/>
        <v>07</v>
      </c>
      <c r="F1015">
        <f t="shared" si="108"/>
        <v>2017</v>
      </c>
      <c r="G1015">
        <f t="shared" si="109"/>
        <v>1</v>
      </c>
      <c r="H1015">
        <f t="shared" si="110"/>
        <v>7</v>
      </c>
      <c r="I1015" t="str">
        <f t="shared" si="111"/>
        <v>17</v>
      </c>
    </row>
    <row r="1016" spans="1:9" x14ac:dyDescent="0.25">
      <c r="A1016" s="19">
        <v>42337</v>
      </c>
      <c r="B1016" s="20">
        <v>7.0833333333333331E-2</v>
      </c>
      <c r="C1016" t="str">
        <f t="shared" si="105"/>
        <v>15</v>
      </c>
      <c r="D1016" t="str">
        <f t="shared" si="106"/>
        <v>11</v>
      </c>
      <c r="E1016" t="str">
        <f t="shared" si="107"/>
        <v>29</v>
      </c>
      <c r="F1016">
        <f t="shared" si="108"/>
        <v>2015</v>
      </c>
      <c r="G1016">
        <f t="shared" si="109"/>
        <v>11</v>
      </c>
      <c r="H1016">
        <f t="shared" si="110"/>
        <v>29</v>
      </c>
      <c r="I1016" t="str">
        <f t="shared" si="111"/>
        <v>15</v>
      </c>
    </row>
    <row r="1017" spans="1:9" x14ac:dyDescent="0.25">
      <c r="A1017" s="19">
        <v>41308</v>
      </c>
      <c r="B1017" s="20">
        <v>0.96736111111111112</v>
      </c>
      <c r="C1017" t="str">
        <f t="shared" si="105"/>
        <v>13</v>
      </c>
      <c r="D1017" t="str">
        <f t="shared" si="106"/>
        <v>02</v>
      </c>
      <c r="E1017" t="str">
        <f t="shared" si="107"/>
        <v>03</v>
      </c>
      <c r="F1017">
        <f t="shared" si="108"/>
        <v>2013</v>
      </c>
      <c r="G1017">
        <f t="shared" si="109"/>
        <v>2</v>
      </c>
      <c r="H1017">
        <f t="shared" si="110"/>
        <v>3</v>
      </c>
      <c r="I1017" t="str">
        <f t="shared" si="111"/>
        <v>13</v>
      </c>
    </row>
    <row r="1018" spans="1:9" x14ac:dyDescent="0.25">
      <c r="A1018" s="19">
        <v>42328</v>
      </c>
      <c r="B1018" s="20">
        <v>0.95277777777777772</v>
      </c>
      <c r="C1018" t="str">
        <f t="shared" si="105"/>
        <v>15</v>
      </c>
      <c r="D1018" t="str">
        <f t="shared" si="106"/>
        <v>11</v>
      </c>
      <c r="E1018" t="str">
        <f t="shared" si="107"/>
        <v>20</v>
      </c>
      <c r="F1018">
        <f t="shared" si="108"/>
        <v>2015</v>
      </c>
      <c r="G1018">
        <f t="shared" si="109"/>
        <v>11</v>
      </c>
      <c r="H1018">
        <f t="shared" si="110"/>
        <v>20</v>
      </c>
      <c r="I1018" t="str">
        <f t="shared" si="111"/>
        <v>15</v>
      </c>
    </row>
    <row r="1019" spans="1:9" x14ac:dyDescent="0.25">
      <c r="A1019" s="19">
        <v>41691</v>
      </c>
      <c r="B1019" s="20">
        <v>4.2361111111111113E-2</v>
      </c>
      <c r="C1019" t="str">
        <f t="shared" si="105"/>
        <v>14</v>
      </c>
      <c r="D1019" t="str">
        <f t="shared" si="106"/>
        <v>02</v>
      </c>
      <c r="E1019" t="str">
        <f t="shared" si="107"/>
        <v>21</v>
      </c>
      <c r="F1019">
        <f t="shared" si="108"/>
        <v>2014</v>
      </c>
      <c r="G1019">
        <f t="shared" si="109"/>
        <v>2</v>
      </c>
      <c r="H1019">
        <f t="shared" si="110"/>
        <v>21</v>
      </c>
      <c r="I1019" t="str">
        <f t="shared" si="111"/>
        <v>14</v>
      </c>
    </row>
    <row r="1020" spans="1:9" x14ac:dyDescent="0.25">
      <c r="A1020" s="19">
        <v>42544</v>
      </c>
      <c r="B1020" s="20">
        <v>0.93958333333333333</v>
      </c>
      <c r="C1020" t="str">
        <f t="shared" si="105"/>
        <v>16</v>
      </c>
      <c r="D1020" t="str">
        <f t="shared" si="106"/>
        <v>06</v>
      </c>
      <c r="E1020" t="str">
        <f t="shared" si="107"/>
        <v>23</v>
      </c>
      <c r="F1020">
        <f t="shared" si="108"/>
        <v>2016</v>
      </c>
      <c r="G1020">
        <f t="shared" si="109"/>
        <v>6</v>
      </c>
      <c r="H1020">
        <f t="shared" si="110"/>
        <v>23</v>
      </c>
      <c r="I1020" t="str">
        <f t="shared" si="111"/>
        <v>16</v>
      </c>
    </row>
    <row r="1021" spans="1:9" x14ac:dyDescent="0.25">
      <c r="A1021" s="19">
        <v>41774</v>
      </c>
      <c r="B1021" s="20">
        <v>0.96944444444444444</v>
      </c>
      <c r="C1021" t="str">
        <f t="shared" si="105"/>
        <v>14</v>
      </c>
      <c r="D1021" t="str">
        <f t="shared" si="106"/>
        <v>05</v>
      </c>
      <c r="E1021" t="str">
        <f t="shared" si="107"/>
        <v>15</v>
      </c>
      <c r="F1021">
        <f t="shared" si="108"/>
        <v>2014</v>
      </c>
      <c r="G1021">
        <f t="shared" si="109"/>
        <v>5</v>
      </c>
      <c r="H1021">
        <f t="shared" si="110"/>
        <v>15</v>
      </c>
      <c r="I1021" t="str">
        <f t="shared" si="111"/>
        <v>14</v>
      </c>
    </row>
    <row r="1022" spans="1:9" x14ac:dyDescent="0.25">
      <c r="A1022" s="19">
        <v>41872</v>
      </c>
      <c r="B1022" s="20">
        <v>8.3333333333333332E-3</v>
      </c>
      <c r="C1022" t="str">
        <f t="shared" si="105"/>
        <v>14</v>
      </c>
      <c r="D1022" t="str">
        <f t="shared" si="106"/>
        <v>08</v>
      </c>
      <c r="E1022" t="str">
        <f t="shared" si="107"/>
        <v>21</v>
      </c>
      <c r="F1022">
        <f t="shared" si="108"/>
        <v>2014</v>
      </c>
      <c r="G1022">
        <f t="shared" si="109"/>
        <v>8</v>
      </c>
      <c r="H1022">
        <f t="shared" si="110"/>
        <v>21</v>
      </c>
      <c r="I1022" t="str">
        <f t="shared" si="111"/>
        <v>14</v>
      </c>
    </row>
    <row r="1023" spans="1:9" x14ac:dyDescent="0.25">
      <c r="A1023" s="19">
        <v>41762</v>
      </c>
      <c r="B1023" s="20">
        <v>1.1805555555555555E-2</v>
      </c>
      <c r="C1023" t="str">
        <f t="shared" si="105"/>
        <v>14</v>
      </c>
      <c r="D1023" t="str">
        <f t="shared" si="106"/>
        <v>05</v>
      </c>
      <c r="E1023" t="str">
        <f t="shared" si="107"/>
        <v>03</v>
      </c>
      <c r="F1023">
        <f t="shared" si="108"/>
        <v>2014</v>
      </c>
      <c r="G1023">
        <f t="shared" si="109"/>
        <v>5</v>
      </c>
      <c r="H1023">
        <f t="shared" si="110"/>
        <v>3</v>
      </c>
      <c r="I1023" t="str">
        <f t="shared" si="111"/>
        <v>14</v>
      </c>
    </row>
    <row r="1024" spans="1:9" x14ac:dyDescent="0.25">
      <c r="A1024" s="19">
        <v>42085</v>
      </c>
      <c r="B1024" s="20">
        <v>2.361111111111111E-2</v>
      </c>
      <c r="C1024" t="str">
        <f t="shared" si="105"/>
        <v>15</v>
      </c>
      <c r="D1024" t="str">
        <f t="shared" si="106"/>
        <v>03</v>
      </c>
      <c r="E1024" t="str">
        <f t="shared" si="107"/>
        <v>22</v>
      </c>
      <c r="F1024">
        <f t="shared" si="108"/>
        <v>2015</v>
      </c>
      <c r="G1024">
        <f t="shared" si="109"/>
        <v>3</v>
      </c>
      <c r="H1024">
        <f t="shared" si="110"/>
        <v>22</v>
      </c>
      <c r="I1024" t="str">
        <f t="shared" si="111"/>
        <v>15</v>
      </c>
    </row>
    <row r="1025" spans="1:9" x14ac:dyDescent="0.25">
      <c r="A1025" s="19">
        <v>41694</v>
      </c>
      <c r="B1025" s="20">
        <v>4.1666666666666666E-3</v>
      </c>
      <c r="C1025" t="str">
        <f t="shared" si="105"/>
        <v>14</v>
      </c>
      <c r="D1025" t="str">
        <f t="shared" si="106"/>
        <v>02</v>
      </c>
      <c r="E1025" t="str">
        <f t="shared" si="107"/>
        <v>24</v>
      </c>
      <c r="F1025">
        <f t="shared" si="108"/>
        <v>2014</v>
      </c>
      <c r="G1025">
        <f t="shared" si="109"/>
        <v>2</v>
      </c>
      <c r="H1025">
        <f t="shared" si="110"/>
        <v>24</v>
      </c>
      <c r="I1025" t="str">
        <f t="shared" si="111"/>
        <v>14</v>
      </c>
    </row>
    <row r="1026" spans="1:9" x14ac:dyDescent="0.25">
      <c r="A1026" s="19">
        <v>41380</v>
      </c>
      <c r="B1026" s="20">
        <v>8.3333333333333329E-2</v>
      </c>
      <c r="C1026" t="str">
        <f t="shared" si="105"/>
        <v>13</v>
      </c>
      <c r="D1026" t="str">
        <f t="shared" si="106"/>
        <v>04</v>
      </c>
      <c r="E1026" t="str">
        <f t="shared" si="107"/>
        <v>16</v>
      </c>
      <c r="F1026">
        <f t="shared" si="108"/>
        <v>2013</v>
      </c>
      <c r="G1026">
        <f t="shared" si="109"/>
        <v>4</v>
      </c>
      <c r="H1026">
        <f t="shared" si="110"/>
        <v>16</v>
      </c>
      <c r="I1026" t="str">
        <f t="shared" si="111"/>
        <v>13</v>
      </c>
    </row>
    <row r="1027" spans="1:9" x14ac:dyDescent="0.25">
      <c r="A1027" s="19">
        <v>41984</v>
      </c>
      <c r="B1027" s="20">
        <v>4.2361111111111113E-2</v>
      </c>
      <c r="C1027" t="str">
        <f t="shared" ref="C1027:C1090" si="112">TEXT(A1027,"YY")</f>
        <v>14</v>
      </c>
      <c r="D1027" t="str">
        <f t="shared" ref="D1027:D1090" si="113">TEXT(A1027,"mm")</f>
        <v>12</v>
      </c>
      <c r="E1027" t="str">
        <f t="shared" ref="E1027:E1090" si="114">TEXT(A1027,"dd")</f>
        <v>11</v>
      </c>
      <c r="F1027">
        <f t="shared" ref="F1027:F1090" si="115">YEAR($A1027)</f>
        <v>2014</v>
      </c>
      <c r="G1027">
        <f t="shared" ref="G1027:G1090" si="116">MONTH($A1027)</f>
        <v>12</v>
      </c>
      <c r="H1027">
        <f t="shared" ref="H1027:H1090" si="117">DAY($A1027)</f>
        <v>11</v>
      </c>
      <c r="I1027" t="str">
        <f t="shared" ref="I1027:I1090" si="118">TEXT($A1027,"YY")</f>
        <v>14</v>
      </c>
    </row>
    <row r="1028" spans="1:9" x14ac:dyDescent="0.25">
      <c r="A1028" s="19">
        <v>42663</v>
      </c>
      <c r="B1028" s="20">
        <v>0.97152777777777777</v>
      </c>
      <c r="C1028" t="str">
        <f t="shared" si="112"/>
        <v>16</v>
      </c>
      <c r="D1028" t="str">
        <f t="shared" si="113"/>
        <v>10</v>
      </c>
      <c r="E1028" t="str">
        <f t="shared" si="114"/>
        <v>20</v>
      </c>
      <c r="F1028">
        <f t="shared" si="115"/>
        <v>2016</v>
      </c>
      <c r="G1028">
        <f t="shared" si="116"/>
        <v>10</v>
      </c>
      <c r="H1028">
        <f t="shared" si="117"/>
        <v>20</v>
      </c>
      <c r="I1028" t="str">
        <f t="shared" si="118"/>
        <v>16</v>
      </c>
    </row>
    <row r="1029" spans="1:9" x14ac:dyDescent="0.25">
      <c r="A1029" s="19">
        <v>41991</v>
      </c>
      <c r="B1029" s="20">
        <v>0.95763888888888893</v>
      </c>
      <c r="C1029" t="str">
        <f t="shared" si="112"/>
        <v>14</v>
      </c>
      <c r="D1029" t="str">
        <f t="shared" si="113"/>
        <v>12</v>
      </c>
      <c r="E1029" t="str">
        <f t="shared" si="114"/>
        <v>18</v>
      </c>
      <c r="F1029">
        <f t="shared" si="115"/>
        <v>2014</v>
      </c>
      <c r="G1029">
        <f t="shared" si="116"/>
        <v>12</v>
      </c>
      <c r="H1029">
        <f t="shared" si="117"/>
        <v>18</v>
      </c>
      <c r="I1029" t="str">
        <f t="shared" si="118"/>
        <v>14</v>
      </c>
    </row>
    <row r="1030" spans="1:9" x14ac:dyDescent="0.25">
      <c r="A1030" s="19">
        <v>42807</v>
      </c>
      <c r="B1030" s="20">
        <v>1.1805555555555555E-2</v>
      </c>
      <c r="C1030" t="str">
        <f t="shared" si="112"/>
        <v>17</v>
      </c>
      <c r="D1030" t="str">
        <f t="shared" si="113"/>
        <v>03</v>
      </c>
      <c r="E1030" t="str">
        <f t="shared" si="114"/>
        <v>13</v>
      </c>
      <c r="F1030">
        <f t="shared" si="115"/>
        <v>2017</v>
      </c>
      <c r="G1030">
        <f t="shared" si="116"/>
        <v>3</v>
      </c>
      <c r="H1030">
        <f t="shared" si="117"/>
        <v>13</v>
      </c>
      <c r="I1030" t="str">
        <f t="shared" si="118"/>
        <v>17</v>
      </c>
    </row>
    <row r="1031" spans="1:9" x14ac:dyDescent="0.25">
      <c r="A1031" s="19">
        <v>41914</v>
      </c>
      <c r="B1031" s="20">
        <v>0.9555555555555556</v>
      </c>
      <c r="C1031" t="str">
        <f t="shared" si="112"/>
        <v>14</v>
      </c>
      <c r="D1031" t="str">
        <f t="shared" si="113"/>
        <v>10</v>
      </c>
      <c r="E1031" t="str">
        <f t="shared" si="114"/>
        <v>02</v>
      </c>
      <c r="F1031">
        <f t="shared" si="115"/>
        <v>2014</v>
      </c>
      <c r="G1031">
        <f t="shared" si="116"/>
        <v>10</v>
      </c>
      <c r="H1031">
        <f t="shared" si="117"/>
        <v>2</v>
      </c>
      <c r="I1031" t="str">
        <f t="shared" si="118"/>
        <v>14</v>
      </c>
    </row>
    <row r="1032" spans="1:9" x14ac:dyDescent="0.25">
      <c r="A1032" s="19">
        <v>41460</v>
      </c>
      <c r="B1032" s="20">
        <v>0.97222222222222221</v>
      </c>
      <c r="C1032" t="str">
        <f t="shared" si="112"/>
        <v>13</v>
      </c>
      <c r="D1032" t="str">
        <f t="shared" si="113"/>
        <v>07</v>
      </c>
      <c r="E1032" t="str">
        <f t="shared" si="114"/>
        <v>05</v>
      </c>
      <c r="F1032">
        <f t="shared" si="115"/>
        <v>2013</v>
      </c>
      <c r="G1032">
        <f t="shared" si="116"/>
        <v>7</v>
      </c>
      <c r="H1032">
        <f t="shared" si="117"/>
        <v>5</v>
      </c>
      <c r="I1032" t="str">
        <f t="shared" si="118"/>
        <v>13</v>
      </c>
    </row>
    <row r="1033" spans="1:9" x14ac:dyDescent="0.25">
      <c r="A1033" s="19">
        <v>41377</v>
      </c>
      <c r="B1033" s="20">
        <v>4.027777777777778E-2</v>
      </c>
      <c r="C1033" t="str">
        <f t="shared" si="112"/>
        <v>13</v>
      </c>
      <c r="D1033" t="str">
        <f t="shared" si="113"/>
        <v>04</v>
      </c>
      <c r="E1033" t="str">
        <f t="shared" si="114"/>
        <v>13</v>
      </c>
      <c r="F1033">
        <f t="shared" si="115"/>
        <v>2013</v>
      </c>
      <c r="G1033">
        <f t="shared" si="116"/>
        <v>4</v>
      </c>
      <c r="H1033">
        <f t="shared" si="117"/>
        <v>13</v>
      </c>
      <c r="I1033" t="str">
        <f t="shared" si="118"/>
        <v>13</v>
      </c>
    </row>
    <row r="1034" spans="1:9" x14ac:dyDescent="0.25">
      <c r="A1034" s="19">
        <v>41136</v>
      </c>
      <c r="B1034" s="20">
        <v>0.98611111111111116</v>
      </c>
      <c r="C1034" t="str">
        <f t="shared" si="112"/>
        <v>12</v>
      </c>
      <c r="D1034" t="str">
        <f t="shared" si="113"/>
        <v>08</v>
      </c>
      <c r="E1034" t="str">
        <f t="shared" si="114"/>
        <v>15</v>
      </c>
      <c r="F1034">
        <f t="shared" si="115"/>
        <v>2012</v>
      </c>
      <c r="G1034">
        <f t="shared" si="116"/>
        <v>8</v>
      </c>
      <c r="H1034">
        <f t="shared" si="117"/>
        <v>15</v>
      </c>
      <c r="I1034" t="str">
        <f t="shared" si="118"/>
        <v>12</v>
      </c>
    </row>
    <row r="1035" spans="1:9" x14ac:dyDescent="0.25">
      <c r="A1035" s="19">
        <v>42385</v>
      </c>
      <c r="B1035" s="20">
        <v>3.125E-2</v>
      </c>
      <c r="C1035" t="str">
        <f t="shared" si="112"/>
        <v>16</v>
      </c>
      <c r="D1035" t="str">
        <f t="shared" si="113"/>
        <v>01</v>
      </c>
      <c r="E1035" t="str">
        <f t="shared" si="114"/>
        <v>16</v>
      </c>
      <c r="F1035">
        <f t="shared" si="115"/>
        <v>2016</v>
      </c>
      <c r="G1035">
        <f t="shared" si="116"/>
        <v>1</v>
      </c>
      <c r="H1035">
        <f t="shared" si="117"/>
        <v>16</v>
      </c>
      <c r="I1035" t="str">
        <f t="shared" si="118"/>
        <v>16</v>
      </c>
    </row>
    <row r="1036" spans="1:9" x14ac:dyDescent="0.25">
      <c r="A1036" s="19">
        <v>42316</v>
      </c>
      <c r="B1036" s="20">
        <v>3.6111111111111108E-2</v>
      </c>
      <c r="C1036" t="str">
        <f t="shared" si="112"/>
        <v>15</v>
      </c>
      <c r="D1036" t="str">
        <f t="shared" si="113"/>
        <v>11</v>
      </c>
      <c r="E1036" t="str">
        <f t="shared" si="114"/>
        <v>08</v>
      </c>
      <c r="F1036">
        <f t="shared" si="115"/>
        <v>2015</v>
      </c>
      <c r="G1036">
        <f t="shared" si="116"/>
        <v>11</v>
      </c>
      <c r="H1036">
        <f t="shared" si="117"/>
        <v>8</v>
      </c>
      <c r="I1036" t="str">
        <f t="shared" si="118"/>
        <v>15</v>
      </c>
    </row>
    <row r="1037" spans="1:9" x14ac:dyDescent="0.25">
      <c r="A1037" s="19">
        <v>42350</v>
      </c>
      <c r="B1037" s="20">
        <v>4.6527777777777779E-2</v>
      </c>
      <c r="C1037" t="str">
        <f t="shared" si="112"/>
        <v>15</v>
      </c>
      <c r="D1037" t="str">
        <f t="shared" si="113"/>
        <v>12</v>
      </c>
      <c r="E1037" t="str">
        <f t="shared" si="114"/>
        <v>12</v>
      </c>
      <c r="F1037">
        <f t="shared" si="115"/>
        <v>2015</v>
      </c>
      <c r="G1037">
        <f t="shared" si="116"/>
        <v>12</v>
      </c>
      <c r="H1037">
        <f t="shared" si="117"/>
        <v>12</v>
      </c>
      <c r="I1037" t="str">
        <f t="shared" si="118"/>
        <v>15</v>
      </c>
    </row>
    <row r="1038" spans="1:9" x14ac:dyDescent="0.25">
      <c r="A1038" s="19">
        <v>41907</v>
      </c>
      <c r="B1038" s="20">
        <v>5.0694444444444445E-2</v>
      </c>
      <c r="C1038" t="str">
        <f t="shared" si="112"/>
        <v>14</v>
      </c>
      <c r="D1038" t="str">
        <f t="shared" si="113"/>
        <v>09</v>
      </c>
      <c r="E1038" t="str">
        <f t="shared" si="114"/>
        <v>25</v>
      </c>
      <c r="F1038">
        <f t="shared" si="115"/>
        <v>2014</v>
      </c>
      <c r="G1038">
        <f t="shared" si="116"/>
        <v>9</v>
      </c>
      <c r="H1038">
        <f t="shared" si="117"/>
        <v>25</v>
      </c>
      <c r="I1038" t="str">
        <f t="shared" si="118"/>
        <v>14</v>
      </c>
    </row>
    <row r="1039" spans="1:9" x14ac:dyDescent="0.25">
      <c r="A1039" s="19">
        <v>41678</v>
      </c>
      <c r="B1039" s="20">
        <v>7.5694444444444439E-2</v>
      </c>
      <c r="C1039" t="str">
        <f t="shared" si="112"/>
        <v>14</v>
      </c>
      <c r="D1039" t="str">
        <f t="shared" si="113"/>
        <v>02</v>
      </c>
      <c r="E1039" t="str">
        <f t="shared" si="114"/>
        <v>08</v>
      </c>
      <c r="F1039">
        <f t="shared" si="115"/>
        <v>2014</v>
      </c>
      <c r="G1039">
        <f t="shared" si="116"/>
        <v>2</v>
      </c>
      <c r="H1039">
        <f t="shared" si="117"/>
        <v>8</v>
      </c>
      <c r="I1039" t="str">
        <f t="shared" si="118"/>
        <v>14</v>
      </c>
    </row>
    <row r="1040" spans="1:9" x14ac:dyDescent="0.25">
      <c r="A1040" s="19">
        <v>41700</v>
      </c>
      <c r="B1040" s="20">
        <v>8.3333333333333332E-3</v>
      </c>
      <c r="C1040" t="str">
        <f t="shared" si="112"/>
        <v>14</v>
      </c>
      <c r="D1040" t="str">
        <f t="shared" si="113"/>
        <v>03</v>
      </c>
      <c r="E1040" t="str">
        <f t="shared" si="114"/>
        <v>02</v>
      </c>
      <c r="F1040">
        <f t="shared" si="115"/>
        <v>2014</v>
      </c>
      <c r="G1040">
        <f t="shared" si="116"/>
        <v>3</v>
      </c>
      <c r="H1040">
        <f t="shared" si="117"/>
        <v>2</v>
      </c>
      <c r="I1040" t="str">
        <f t="shared" si="118"/>
        <v>14</v>
      </c>
    </row>
    <row r="1041" spans="1:9" x14ac:dyDescent="0.25">
      <c r="A1041" s="19">
        <v>42611</v>
      </c>
      <c r="B1041" s="20">
        <v>4.8611111111111112E-3</v>
      </c>
      <c r="C1041" t="str">
        <f t="shared" si="112"/>
        <v>16</v>
      </c>
      <c r="D1041" t="str">
        <f t="shared" si="113"/>
        <v>08</v>
      </c>
      <c r="E1041" t="str">
        <f t="shared" si="114"/>
        <v>29</v>
      </c>
      <c r="F1041">
        <f t="shared" si="115"/>
        <v>2016</v>
      </c>
      <c r="G1041">
        <f t="shared" si="116"/>
        <v>8</v>
      </c>
      <c r="H1041">
        <f t="shared" si="117"/>
        <v>29</v>
      </c>
      <c r="I1041" t="str">
        <f t="shared" si="118"/>
        <v>16</v>
      </c>
    </row>
    <row r="1042" spans="1:9" x14ac:dyDescent="0.25">
      <c r="A1042" s="19">
        <v>41099</v>
      </c>
      <c r="B1042" s="20">
        <v>3.4027777777777775E-2</v>
      </c>
      <c r="C1042" t="str">
        <f t="shared" si="112"/>
        <v>12</v>
      </c>
      <c r="D1042" t="str">
        <f t="shared" si="113"/>
        <v>07</v>
      </c>
      <c r="E1042" t="str">
        <f t="shared" si="114"/>
        <v>09</v>
      </c>
      <c r="F1042">
        <f t="shared" si="115"/>
        <v>2012</v>
      </c>
      <c r="G1042">
        <f t="shared" si="116"/>
        <v>7</v>
      </c>
      <c r="H1042">
        <f t="shared" si="117"/>
        <v>9</v>
      </c>
      <c r="I1042" t="str">
        <f t="shared" si="118"/>
        <v>12</v>
      </c>
    </row>
    <row r="1043" spans="1:9" x14ac:dyDescent="0.25">
      <c r="A1043" s="19">
        <v>41416</v>
      </c>
      <c r="B1043" s="20">
        <v>3.6805555555555557E-2</v>
      </c>
      <c r="C1043" t="str">
        <f t="shared" si="112"/>
        <v>13</v>
      </c>
      <c r="D1043" t="str">
        <f t="shared" si="113"/>
        <v>05</v>
      </c>
      <c r="E1043" t="str">
        <f t="shared" si="114"/>
        <v>22</v>
      </c>
      <c r="F1043">
        <f t="shared" si="115"/>
        <v>2013</v>
      </c>
      <c r="G1043">
        <f t="shared" si="116"/>
        <v>5</v>
      </c>
      <c r="H1043">
        <f t="shared" si="117"/>
        <v>22</v>
      </c>
      <c r="I1043" t="str">
        <f t="shared" si="118"/>
        <v>13</v>
      </c>
    </row>
    <row r="1044" spans="1:9" x14ac:dyDescent="0.25">
      <c r="A1044" s="19">
        <v>41317</v>
      </c>
      <c r="B1044" s="20">
        <v>4.7222222222222221E-2</v>
      </c>
      <c r="C1044" t="str">
        <f t="shared" si="112"/>
        <v>13</v>
      </c>
      <c r="D1044" t="str">
        <f t="shared" si="113"/>
        <v>02</v>
      </c>
      <c r="E1044" t="str">
        <f t="shared" si="114"/>
        <v>12</v>
      </c>
      <c r="F1044">
        <f t="shared" si="115"/>
        <v>2013</v>
      </c>
      <c r="G1044">
        <f t="shared" si="116"/>
        <v>2</v>
      </c>
      <c r="H1044">
        <f t="shared" si="117"/>
        <v>12</v>
      </c>
      <c r="I1044" t="str">
        <f t="shared" si="118"/>
        <v>13</v>
      </c>
    </row>
    <row r="1045" spans="1:9" x14ac:dyDescent="0.25">
      <c r="A1045" s="19">
        <v>41673</v>
      </c>
      <c r="B1045" s="20">
        <v>0.99027777777777781</v>
      </c>
      <c r="C1045" t="str">
        <f t="shared" si="112"/>
        <v>14</v>
      </c>
      <c r="D1045" t="str">
        <f t="shared" si="113"/>
        <v>02</v>
      </c>
      <c r="E1045" t="str">
        <f t="shared" si="114"/>
        <v>03</v>
      </c>
      <c r="F1045">
        <f t="shared" si="115"/>
        <v>2014</v>
      </c>
      <c r="G1045">
        <f t="shared" si="116"/>
        <v>2</v>
      </c>
      <c r="H1045">
        <f t="shared" si="117"/>
        <v>3</v>
      </c>
      <c r="I1045" t="str">
        <f t="shared" si="118"/>
        <v>14</v>
      </c>
    </row>
    <row r="1046" spans="1:9" x14ac:dyDescent="0.25">
      <c r="A1046" s="19">
        <v>42570</v>
      </c>
      <c r="B1046" s="20">
        <v>0.98750000000000004</v>
      </c>
      <c r="C1046" t="str">
        <f t="shared" si="112"/>
        <v>16</v>
      </c>
      <c r="D1046" t="str">
        <f t="shared" si="113"/>
        <v>07</v>
      </c>
      <c r="E1046" t="str">
        <f t="shared" si="114"/>
        <v>19</v>
      </c>
      <c r="F1046">
        <f t="shared" si="115"/>
        <v>2016</v>
      </c>
      <c r="G1046">
        <f t="shared" si="116"/>
        <v>7</v>
      </c>
      <c r="H1046">
        <f t="shared" si="117"/>
        <v>19</v>
      </c>
      <c r="I1046" t="str">
        <f t="shared" si="118"/>
        <v>16</v>
      </c>
    </row>
    <row r="1047" spans="1:9" x14ac:dyDescent="0.25">
      <c r="A1047" s="19">
        <v>41129</v>
      </c>
      <c r="B1047" s="20">
        <v>1.9444444444444445E-2</v>
      </c>
      <c r="C1047" t="str">
        <f t="shared" si="112"/>
        <v>12</v>
      </c>
      <c r="D1047" t="str">
        <f t="shared" si="113"/>
        <v>08</v>
      </c>
      <c r="E1047" t="str">
        <f t="shared" si="114"/>
        <v>08</v>
      </c>
      <c r="F1047">
        <f t="shared" si="115"/>
        <v>2012</v>
      </c>
      <c r="G1047">
        <f t="shared" si="116"/>
        <v>8</v>
      </c>
      <c r="H1047">
        <f t="shared" si="117"/>
        <v>8</v>
      </c>
      <c r="I1047" t="str">
        <f t="shared" si="118"/>
        <v>12</v>
      </c>
    </row>
    <row r="1048" spans="1:9" x14ac:dyDescent="0.25">
      <c r="A1048" s="19">
        <v>41245</v>
      </c>
      <c r="B1048" s="20">
        <v>0.99027777777777781</v>
      </c>
      <c r="C1048" t="str">
        <f t="shared" si="112"/>
        <v>12</v>
      </c>
      <c r="D1048" t="str">
        <f t="shared" si="113"/>
        <v>12</v>
      </c>
      <c r="E1048" t="str">
        <f t="shared" si="114"/>
        <v>02</v>
      </c>
      <c r="F1048">
        <f t="shared" si="115"/>
        <v>2012</v>
      </c>
      <c r="G1048">
        <f t="shared" si="116"/>
        <v>12</v>
      </c>
      <c r="H1048">
        <f t="shared" si="117"/>
        <v>2</v>
      </c>
      <c r="I1048" t="str">
        <f t="shared" si="118"/>
        <v>12</v>
      </c>
    </row>
    <row r="1049" spans="1:9" x14ac:dyDescent="0.25">
      <c r="A1049" s="19">
        <v>41837</v>
      </c>
      <c r="B1049" s="20">
        <v>2.1527777777777778E-2</v>
      </c>
      <c r="C1049" t="str">
        <f t="shared" si="112"/>
        <v>14</v>
      </c>
      <c r="D1049" t="str">
        <f t="shared" si="113"/>
        <v>07</v>
      </c>
      <c r="E1049" t="str">
        <f t="shared" si="114"/>
        <v>17</v>
      </c>
      <c r="F1049">
        <f t="shared" si="115"/>
        <v>2014</v>
      </c>
      <c r="G1049">
        <f t="shared" si="116"/>
        <v>7</v>
      </c>
      <c r="H1049">
        <f t="shared" si="117"/>
        <v>17</v>
      </c>
      <c r="I1049" t="str">
        <f t="shared" si="118"/>
        <v>14</v>
      </c>
    </row>
    <row r="1050" spans="1:9" x14ac:dyDescent="0.25">
      <c r="A1050" s="19">
        <v>41487</v>
      </c>
      <c r="B1050" s="20">
        <v>0.96319444444444446</v>
      </c>
      <c r="C1050" t="str">
        <f t="shared" si="112"/>
        <v>13</v>
      </c>
      <c r="D1050" t="str">
        <f t="shared" si="113"/>
        <v>08</v>
      </c>
      <c r="E1050" t="str">
        <f t="shared" si="114"/>
        <v>01</v>
      </c>
      <c r="F1050">
        <f t="shared" si="115"/>
        <v>2013</v>
      </c>
      <c r="G1050">
        <f t="shared" si="116"/>
        <v>8</v>
      </c>
      <c r="H1050">
        <f t="shared" si="117"/>
        <v>1</v>
      </c>
      <c r="I1050" t="str">
        <f t="shared" si="118"/>
        <v>13</v>
      </c>
    </row>
    <row r="1051" spans="1:9" x14ac:dyDescent="0.25">
      <c r="A1051" s="19">
        <v>42015</v>
      </c>
      <c r="B1051" s="20">
        <v>0.98611111111111116</v>
      </c>
      <c r="C1051" t="str">
        <f t="shared" si="112"/>
        <v>15</v>
      </c>
      <c r="D1051" t="str">
        <f t="shared" si="113"/>
        <v>01</v>
      </c>
      <c r="E1051" t="str">
        <f t="shared" si="114"/>
        <v>11</v>
      </c>
      <c r="F1051">
        <f t="shared" si="115"/>
        <v>2015</v>
      </c>
      <c r="G1051">
        <f t="shared" si="116"/>
        <v>1</v>
      </c>
      <c r="H1051">
        <f t="shared" si="117"/>
        <v>11</v>
      </c>
      <c r="I1051" t="str">
        <f t="shared" si="118"/>
        <v>15</v>
      </c>
    </row>
    <row r="1052" spans="1:9" x14ac:dyDescent="0.25">
      <c r="A1052" s="19">
        <v>41073</v>
      </c>
      <c r="B1052" s="20">
        <v>9.8611111111111108E-2</v>
      </c>
      <c r="C1052" t="str">
        <f t="shared" si="112"/>
        <v>12</v>
      </c>
      <c r="D1052" t="str">
        <f t="shared" si="113"/>
        <v>06</v>
      </c>
      <c r="E1052" t="str">
        <f t="shared" si="114"/>
        <v>13</v>
      </c>
      <c r="F1052">
        <f t="shared" si="115"/>
        <v>2012</v>
      </c>
      <c r="G1052">
        <f t="shared" si="116"/>
        <v>6</v>
      </c>
      <c r="H1052">
        <f t="shared" si="117"/>
        <v>13</v>
      </c>
      <c r="I1052" t="str">
        <f t="shared" si="118"/>
        <v>12</v>
      </c>
    </row>
    <row r="1053" spans="1:9" x14ac:dyDescent="0.25">
      <c r="A1053" s="19">
        <v>42327</v>
      </c>
      <c r="B1053" s="20">
        <v>3.9583333333333331E-2</v>
      </c>
      <c r="C1053" t="str">
        <f t="shared" si="112"/>
        <v>15</v>
      </c>
      <c r="D1053" t="str">
        <f t="shared" si="113"/>
        <v>11</v>
      </c>
      <c r="E1053" t="str">
        <f t="shared" si="114"/>
        <v>19</v>
      </c>
      <c r="F1053">
        <f t="shared" si="115"/>
        <v>2015</v>
      </c>
      <c r="G1053">
        <f t="shared" si="116"/>
        <v>11</v>
      </c>
      <c r="H1053">
        <f t="shared" si="117"/>
        <v>19</v>
      </c>
      <c r="I1053" t="str">
        <f t="shared" si="118"/>
        <v>15</v>
      </c>
    </row>
    <row r="1054" spans="1:9" x14ac:dyDescent="0.25">
      <c r="A1054" s="19">
        <v>41796</v>
      </c>
      <c r="B1054" s="20">
        <v>0.99236111111111114</v>
      </c>
      <c r="C1054" t="str">
        <f t="shared" si="112"/>
        <v>14</v>
      </c>
      <c r="D1054" t="str">
        <f t="shared" si="113"/>
        <v>06</v>
      </c>
      <c r="E1054" t="str">
        <f t="shared" si="114"/>
        <v>06</v>
      </c>
      <c r="F1054">
        <f t="shared" si="115"/>
        <v>2014</v>
      </c>
      <c r="G1054">
        <f t="shared" si="116"/>
        <v>6</v>
      </c>
      <c r="H1054">
        <f t="shared" si="117"/>
        <v>6</v>
      </c>
      <c r="I1054" t="str">
        <f t="shared" si="118"/>
        <v>14</v>
      </c>
    </row>
    <row r="1055" spans="1:9" x14ac:dyDescent="0.25">
      <c r="A1055" s="19">
        <v>40979</v>
      </c>
      <c r="B1055" s="20">
        <v>3.8194444444444448E-2</v>
      </c>
      <c r="C1055" t="str">
        <f t="shared" si="112"/>
        <v>12</v>
      </c>
      <c r="D1055" t="str">
        <f t="shared" si="113"/>
        <v>03</v>
      </c>
      <c r="E1055" t="str">
        <f t="shared" si="114"/>
        <v>11</v>
      </c>
      <c r="F1055">
        <f t="shared" si="115"/>
        <v>2012</v>
      </c>
      <c r="G1055">
        <f t="shared" si="116"/>
        <v>3</v>
      </c>
      <c r="H1055">
        <f t="shared" si="117"/>
        <v>11</v>
      </c>
      <c r="I1055" t="str">
        <f t="shared" si="118"/>
        <v>12</v>
      </c>
    </row>
    <row r="1056" spans="1:9" x14ac:dyDescent="0.25">
      <c r="A1056" s="19">
        <v>41224</v>
      </c>
      <c r="B1056" s="20">
        <v>7.6388888888888895E-2</v>
      </c>
      <c r="C1056" t="str">
        <f t="shared" si="112"/>
        <v>12</v>
      </c>
      <c r="D1056" t="str">
        <f t="shared" si="113"/>
        <v>11</v>
      </c>
      <c r="E1056" t="str">
        <f t="shared" si="114"/>
        <v>11</v>
      </c>
      <c r="F1056">
        <f t="shared" si="115"/>
        <v>2012</v>
      </c>
      <c r="G1056">
        <f t="shared" si="116"/>
        <v>11</v>
      </c>
      <c r="H1056">
        <f t="shared" si="117"/>
        <v>11</v>
      </c>
      <c r="I1056" t="str">
        <f t="shared" si="118"/>
        <v>12</v>
      </c>
    </row>
    <row r="1057" spans="1:9" x14ac:dyDescent="0.25">
      <c r="A1057" s="19">
        <v>41217</v>
      </c>
      <c r="B1057" s="20">
        <v>7.4999999999999997E-2</v>
      </c>
      <c r="C1057" t="str">
        <f t="shared" si="112"/>
        <v>12</v>
      </c>
      <c r="D1057" t="str">
        <f t="shared" si="113"/>
        <v>11</v>
      </c>
      <c r="E1057" t="str">
        <f t="shared" si="114"/>
        <v>04</v>
      </c>
      <c r="F1057">
        <f t="shared" si="115"/>
        <v>2012</v>
      </c>
      <c r="G1057">
        <f t="shared" si="116"/>
        <v>11</v>
      </c>
      <c r="H1057">
        <f t="shared" si="117"/>
        <v>4</v>
      </c>
      <c r="I1057" t="str">
        <f t="shared" si="118"/>
        <v>12</v>
      </c>
    </row>
    <row r="1058" spans="1:9" x14ac:dyDescent="0.25">
      <c r="A1058" s="19">
        <v>41077</v>
      </c>
      <c r="B1058" s="20">
        <v>6.458333333333334E-2</v>
      </c>
      <c r="C1058" t="str">
        <f t="shared" si="112"/>
        <v>12</v>
      </c>
      <c r="D1058" t="str">
        <f t="shared" si="113"/>
        <v>06</v>
      </c>
      <c r="E1058" t="str">
        <f t="shared" si="114"/>
        <v>17</v>
      </c>
      <c r="F1058">
        <f t="shared" si="115"/>
        <v>2012</v>
      </c>
      <c r="G1058">
        <f t="shared" si="116"/>
        <v>6</v>
      </c>
      <c r="H1058">
        <f t="shared" si="117"/>
        <v>17</v>
      </c>
      <c r="I1058" t="str">
        <f t="shared" si="118"/>
        <v>12</v>
      </c>
    </row>
    <row r="1059" spans="1:9" x14ac:dyDescent="0.25">
      <c r="A1059" s="19">
        <v>42816</v>
      </c>
      <c r="B1059" s="20">
        <v>3.472222222222222E-3</v>
      </c>
      <c r="C1059" t="str">
        <f t="shared" si="112"/>
        <v>17</v>
      </c>
      <c r="D1059" t="str">
        <f t="shared" si="113"/>
        <v>03</v>
      </c>
      <c r="E1059" t="str">
        <f t="shared" si="114"/>
        <v>22</v>
      </c>
      <c r="F1059">
        <f t="shared" si="115"/>
        <v>2017</v>
      </c>
      <c r="G1059">
        <f t="shared" si="116"/>
        <v>3</v>
      </c>
      <c r="H1059">
        <f t="shared" si="117"/>
        <v>22</v>
      </c>
      <c r="I1059" t="str">
        <f t="shared" si="118"/>
        <v>17</v>
      </c>
    </row>
    <row r="1060" spans="1:9" x14ac:dyDescent="0.25">
      <c r="A1060" s="19">
        <v>41637</v>
      </c>
      <c r="B1060" s="20">
        <v>6.1111111111111109E-2</v>
      </c>
      <c r="C1060" t="str">
        <f t="shared" si="112"/>
        <v>13</v>
      </c>
      <c r="D1060" t="str">
        <f t="shared" si="113"/>
        <v>12</v>
      </c>
      <c r="E1060" t="str">
        <f t="shared" si="114"/>
        <v>29</v>
      </c>
      <c r="F1060">
        <f t="shared" si="115"/>
        <v>2013</v>
      </c>
      <c r="G1060">
        <f t="shared" si="116"/>
        <v>12</v>
      </c>
      <c r="H1060">
        <f t="shared" si="117"/>
        <v>29</v>
      </c>
      <c r="I1060" t="str">
        <f t="shared" si="118"/>
        <v>13</v>
      </c>
    </row>
    <row r="1061" spans="1:9" x14ac:dyDescent="0.25">
      <c r="A1061" s="19">
        <v>42101</v>
      </c>
      <c r="B1061" s="20">
        <v>2.013888888888889E-2</v>
      </c>
      <c r="C1061" t="str">
        <f t="shared" si="112"/>
        <v>15</v>
      </c>
      <c r="D1061" t="str">
        <f t="shared" si="113"/>
        <v>04</v>
      </c>
      <c r="E1061" t="str">
        <f t="shared" si="114"/>
        <v>07</v>
      </c>
      <c r="F1061">
        <f t="shared" si="115"/>
        <v>2015</v>
      </c>
      <c r="G1061">
        <f t="shared" si="116"/>
        <v>4</v>
      </c>
      <c r="H1061">
        <f t="shared" si="117"/>
        <v>7</v>
      </c>
      <c r="I1061" t="str">
        <f t="shared" si="118"/>
        <v>15</v>
      </c>
    </row>
    <row r="1062" spans="1:9" x14ac:dyDescent="0.25">
      <c r="A1062" s="19">
        <v>42057</v>
      </c>
      <c r="B1062" s="20">
        <v>2.7777777777777776E-2</v>
      </c>
      <c r="C1062" t="str">
        <f t="shared" si="112"/>
        <v>15</v>
      </c>
      <c r="D1062" t="str">
        <f t="shared" si="113"/>
        <v>02</v>
      </c>
      <c r="E1062" t="str">
        <f t="shared" si="114"/>
        <v>22</v>
      </c>
      <c r="F1062">
        <f t="shared" si="115"/>
        <v>2015</v>
      </c>
      <c r="G1062">
        <f t="shared" si="116"/>
        <v>2</v>
      </c>
      <c r="H1062">
        <f t="shared" si="117"/>
        <v>22</v>
      </c>
      <c r="I1062" t="str">
        <f t="shared" si="118"/>
        <v>15</v>
      </c>
    </row>
    <row r="1063" spans="1:9" x14ac:dyDescent="0.25">
      <c r="A1063" s="19">
        <v>42464</v>
      </c>
      <c r="B1063" s="20">
        <v>0.05</v>
      </c>
      <c r="C1063" t="str">
        <f t="shared" si="112"/>
        <v>16</v>
      </c>
      <c r="D1063" t="str">
        <f t="shared" si="113"/>
        <v>04</v>
      </c>
      <c r="E1063" t="str">
        <f t="shared" si="114"/>
        <v>04</v>
      </c>
      <c r="F1063">
        <f t="shared" si="115"/>
        <v>2016</v>
      </c>
      <c r="G1063">
        <f t="shared" si="116"/>
        <v>4</v>
      </c>
      <c r="H1063">
        <f t="shared" si="117"/>
        <v>4</v>
      </c>
      <c r="I1063" t="str">
        <f t="shared" si="118"/>
        <v>16</v>
      </c>
    </row>
    <row r="1064" spans="1:9" x14ac:dyDescent="0.25">
      <c r="A1064" s="19">
        <v>41149</v>
      </c>
      <c r="B1064" s="20">
        <v>2.2916666666666665E-2</v>
      </c>
      <c r="C1064" t="str">
        <f t="shared" si="112"/>
        <v>12</v>
      </c>
      <c r="D1064" t="str">
        <f t="shared" si="113"/>
        <v>08</v>
      </c>
      <c r="E1064" t="str">
        <f t="shared" si="114"/>
        <v>28</v>
      </c>
      <c r="F1064">
        <f t="shared" si="115"/>
        <v>2012</v>
      </c>
      <c r="G1064">
        <f t="shared" si="116"/>
        <v>8</v>
      </c>
      <c r="H1064">
        <f t="shared" si="117"/>
        <v>28</v>
      </c>
      <c r="I1064" t="str">
        <f t="shared" si="118"/>
        <v>12</v>
      </c>
    </row>
    <row r="1065" spans="1:9" x14ac:dyDescent="0.25">
      <c r="A1065" s="19">
        <v>41581</v>
      </c>
      <c r="B1065" s="20">
        <v>1.5277777777777777E-2</v>
      </c>
      <c r="C1065" t="str">
        <f t="shared" si="112"/>
        <v>13</v>
      </c>
      <c r="D1065" t="str">
        <f t="shared" si="113"/>
        <v>11</v>
      </c>
      <c r="E1065" t="str">
        <f t="shared" si="114"/>
        <v>03</v>
      </c>
      <c r="F1065">
        <f t="shared" si="115"/>
        <v>2013</v>
      </c>
      <c r="G1065">
        <f t="shared" si="116"/>
        <v>11</v>
      </c>
      <c r="H1065">
        <f t="shared" si="117"/>
        <v>3</v>
      </c>
      <c r="I1065" t="str">
        <f t="shared" si="118"/>
        <v>13</v>
      </c>
    </row>
    <row r="1066" spans="1:9" x14ac:dyDescent="0.25">
      <c r="A1066" s="19">
        <v>41907</v>
      </c>
      <c r="B1066" s="20">
        <v>0.94097222222222221</v>
      </c>
      <c r="C1066" t="str">
        <f t="shared" si="112"/>
        <v>14</v>
      </c>
      <c r="D1066" t="str">
        <f t="shared" si="113"/>
        <v>09</v>
      </c>
      <c r="E1066" t="str">
        <f t="shared" si="114"/>
        <v>25</v>
      </c>
      <c r="F1066">
        <f t="shared" si="115"/>
        <v>2014</v>
      </c>
      <c r="G1066">
        <f t="shared" si="116"/>
        <v>9</v>
      </c>
      <c r="H1066">
        <f t="shared" si="117"/>
        <v>25</v>
      </c>
      <c r="I1066" t="str">
        <f t="shared" si="118"/>
        <v>14</v>
      </c>
    </row>
    <row r="1067" spans="1:9" x14ac:dyDescent="0.25">
      <c r="A1067" s="19">
        <v>41762</v>
      </c>
      <c r="B1067" s="20">
        <v>0.97499999999999998</v>
      </c>
      <c r="C1067" t="str">
        <f t="shared" si="112"/>
        <v>14</v>
      </c>
      <c r="D1067" t="str">
        <f t="shared" si="113"/>
        <v>05</v>
      </c>
      <c r="E1067" t="str">
        <f t="shared" si="114"/>
        <v>03</v>
      </c>
      <c r="F1067">
        <f t="shared" si="115"/>
        <v>2014</v>
      </c>
      <c r="G1067">
        <f t="shared" si="116"/>
        <v>5</v>
      </c>
      <c r="H1067">
        <f t="shared" si="117"/>
        <v>3</v>
      </c>
      <c r="I1067" t="str">
        <f t="shared" si="118"/>
        <v>14</v>
      </c>
    </row>
    <row r="1068" spans="1:9" x14ac:dyDescent="0.25">
      <c r="A1068" s="19">
        <v>41758</v>
      </c>
      <c r="B1068" s="20">
        <v>0.97986111111111107</v>
      </c>
      <c r="C1068" t="str">
        <f t="shared" si="112"/>
        <v>14</v>
      </c>
      <c r="D1068" t="str">
        <f t="shared" si="113"/>
        <v>04</v>
      </c>
      <c r="E1068" t="str">
        <f t="shared" si="114"/>
        <v>29</v>
      </c>
      <c r="F1068">
        <f t="shared" si="115"/>
        <v>2014</v>
      </c>
      <c r="G1068">
        <f t="shared" si="116"/>
        <v>4</v>
      </c>
      <c r="H1068">
        <f t="shared" si="117"/>
        <v>29</v>
      </c>
      <c r="I1068" t="str">
        <f t="shared" si="118"/>
        <v>14</v>
      </c>
    </row>
    <row r="1069" spans="1:9" x14ac:dyDescent="0.25">
      <c r="A1069" s="19">
        <v>41720</v>
      </c>
      <c r="B1069" s="20">
        <v>2.2222222222222223E-2</v>
      </c>
      <c r="C1069" t="str">
        <f t="shared" si="112"/>
        <v>14</v>
      </c>
      <c r="D1069" t="str">
        <f t="shared" si="113"/>
        <v>03</v>
      </c>
      <c r="E1069" t="str">
        <f t="shared" si="114"/>
        <v>22</v>
      </c>
      <c r="F1069">
        <f t="shared" si="115"/>
        <v>2014</v>
      </c>
      <c r="G1069">
        <f t="shared" si="116"/>
        <v>3</v>
      </c>
      <c r="H1069">
        <f t="shared" si="117"/>
        <v>22</v>
      </c>
      <c r="I1069" t="str">
        <f t="shared" si="118"/>
        <v>14</v>
      </c>
    </row>
    <row r="1070" spans="1:9" x14ac:dyDescent="0.25">
      <c r="A1070" s="19">
        <v>41035</v>
      </c>
      <c r="B1070" s="20">
        <v>7.2916666666666671E-2</v>
      </c>
      <c r="C1070" t="str">
        <f t="shared" si="112"/>
        <v>12</v>
      </c>
      <c r="D1070" t="str">
        <f t="shared" si="113"/>
        <v>05</v>
      </c>
      <c r="E1070" t="str">
        <f t="shared" si="114"/>
        <v>06</v>
      </c>
      <c r="F1070">
        <f t="shared" si="115"/>
        <v>2012</v>
      </c>
      <c r="G1070">
        <f t="shared" si="116"/>
        <v>5</v>
      </c>
      <c r="H1070">
        <f t="shared" si="117"/>
        <v>6</v>
      </c>
      <c r="I1070" t="str">
        <f t="shared" si="118"/>
        <v>12</v>
      </c>
    </row>
    <row r="1071" spans="1:9" x14ac:dyDescent="0.25">
      <c r="A1071" s="19">
        <v>41099</v>
      </c>
      <c r="B1071" s="20">
        <v>2.8472222222222222E-2</v>
      </c>
      <c r="C1071" t="str">
        <f t="shared" si="112"/>
        <v>12</v>
      </c>
      <c r="D1071" t="str">
        <f t="shared" si="113"/>
        <v>07</v>
      </c>
      <c r="E1071" t="str">
        <f t="shared" si="114"/>
        <v>09</v>
      </c>
      <c r="F1071">
        <f t="shared" si="115"/>
        <v>2012</v>
      </c>
      <c r="G1071">
        <f t="shared" si="116"/>
        <v>7</v>
      </c>
      <c r="H1071">
        <f t="shared" si="117"/>
        <v>9</v>
      </c>
      <c r="I1071" t="str">
        <f t="shared" si="118"/>
        <v>12</v>
      </c>
    </row>
    <row r="1072" spans="1:9" x14ac:dyDescent="0.25">
      <c r="A1072" s="19">
        <v>41330</v>
      </c>
      <c r="B1072" s="20">
        <v>1.1111111111111112E-2</v>
      </c>
      <c r="C1072" t="str">
        <f t="shared" si="112"/>
        <v>13</v>
      </c>
      <c r="D1072" t="str">
        <f t="shared" si="113"/>
        <v>02</v>
      </c>
      <c r="E1072" t="str">
        <f t="shared" si="114"/>
        <v>25</v>
      </c>
      <c r="F1072">
        <f t="shared" si="115"/>
        <v>2013</v>
      </c>
      <c r="G1072">
        <f t="shared" si="116"/>
        <v>2</v>
      </c>
      <c r="H1072">
        <f t="shared" si="117"/>
        <v>25</v>
      </c>
      <c r="I1072" t="str">
        <f t="shared" si="118"/>
        <v>13</v>
      </c>
    </row>
    <row r="1073" spans="1:9" x14ac:dyDescent="0.25">
      <c r="A1073" s="19">
        <v>41931</v>
      </c>
      <c r="B1073" s="20">
        <v>0.98124999999999996</v>
      </c>
      <c r="C1073" t="str">
        <f t="shared" si="112"/>
        <v>14</v>
      </c>
      <c r="D1073" t="str">
        <f t="shared" si="113"/>
        <v>10</v>
      </c>
      <c r="E1073" t="str">
        <f t="shared" si="114"/>
        <v>19</v>
      </c>
      <c r="F1073">
        <f t="shared" si="115"/>
        <v>2014</v>
      </c>
      <c r="G1073">
        <f t="shared" si="116"/>
        <v>10</v>
      </c>
      <c r="H1073">
        <f t="shared" si="117"/>
        <v>19</v>
      </c>
      <c r="I1073" t="str">
        <f t="shared" si="118"/>
        <v>14</v>
      </c>
    </row>
    <row r="1074" spans="1:9" x14ac:dyDescent="0.25">
      <c r="A1074" s="19">
        <v>41189</v>
      </c>
      <c r="B1074" s="20">
        <v>2.2916666666666665E-2</v>
      </c>
      <c r="C1074" t="str">
        <f t="shared" si="112"/>
        <v>12</v>
      </c>
      <c r="D1074" t="str">
        <f t="shared" si="113"/>
        <v>10</v>
      </c>
      <c r="E1074" t="str">
        <f t="shared" si="114"/>
        <v>07</v>
      </c>
      <c r="F1074">
        <f t="shared" si="115"/>
        <v>2012</v>
      </c>
      <c r="G1074">
        <f t="shared" si="116"/>
        <v>10</v>
      </c>
      <c r="H1074">
        <f t="shared" si="117"/>
        <v>7</v>
      </c>
      <c r="I1074" t="str">
        <f t="shared" si="118"/>
        <v>12</v>
      </c>
    </row>
    <row r="1075" spans="1:9" x14ac:dyDescent="0.25">
      <c r="A1075" s="19">
        <v>41888</v>
      </c>
      <c r="B1075" s="20">
        <v>6.9444444444444447E-4</v>
      </c>
      <c r="C1075" t="str">
        <f t="shared" si="112"/>
        <v>14</v>
      </c>
      <c r="D1075" t="str">
        <f t="shared" si="113"/>
        <v>09</v>
      </c>
      <c r="E1075" t="str">
        <f t="shared" si="114"/>
        <v>06</v>
      </c>
      <c r="F1075">
        <f t="shared" si="115"/>
        <v>2014</v>
      </c>
      <c r="G1075">
        <f t="shared" si="116"/>
        <v>9</v>
      </c>
      <c r="H1075">
        <f t="shared" si="117"/>
        <v>6</v>
      </c>
      <c r="I1075" t="str">
        <f t="shared" si="118"/>
        <v>14</v>
      </c>
    </row>
    <row r="1076" spans="1:9" x14ac:dyDescent="0.25">
      <c r="A1076" s="19">
        <v>41258</v>
      </c>
      <c r="B1076" s="20">
        <v>2.7777777777777779E-3</v>
      </c>
      <c r="C1076" t="str">
        <f t="shared" si="112"/>
        <v>12</v>
      </c>
      <c r="D1076" t="str">
        <f t="shared" si="113"/>
        <v>12</v>
      </c>
      <c r="E1076" t="str">
        <f t="shared" si="114"/>
        <v>15</v>
      </c>
      <c r="F1076">
        <f t="shared" si="115"/>
        <v>2012</v>
      </c>
      <c r="G1076">
        <f t="shared" si="116"/>
        <v>12</v>
      </c>
      <c r="H1076">
        <f t="shared" si="117"/>
        <v>15</v>
      </c>
      <c r="I1076" t="str">
        <f t="shared" si="118"/>
        <v>12</v>
      </c>
    </row>
    <row r="1077" spans="1:9" x14ac:dyDescent="0.25">
      <c r="A1077" s="19">
        <v>41438</v>
      </c>
      <c r="B1077" s="20">
        <v>5.9722222222222225E-2</v>
      </c>
      <c r="C1077" t="str">
        <f t="shared" si="112"/>
        <v>13</v>
      </c>
      <c r="D1077" t="str">
        <f t="shared" si="113"/>
        <v>06</v>
      </c>
      <c r="E1077" t="str">
        <f t="shared" si="114"/>
        <v>13</v>
      </c>
      <c r="F1077">
        <f t="shared" si="115"/>
        <v>2013</v>
      </c>
      <c r="G1077">
        <f t="shared" si="116"/>
        <v>6</v>
      </c>
      <c r="H1077">
        <f t="shared" si="117"/>
        <v>13</v>
      </c>
      <c r="I1077" t="str">
        <f t="shared" si="118"/>
        <v>13</v>
      </c>
    </row>
    <row r="1078" spans="1:9" x14ac:dyDescent="0.25">
      <c r="A1078" s="19">
        <v>42593</v>
      </c>
      <c r="B1078" s="20">
        <v>0.96388888888888891</v>
      </c>
      <c r="C1078" t="str">
        <f t="shared" si="112"/>
        <v>16</v>
      </c>
      <c r="D1078" t="str">
        <f t="shared" si="113"/>
        <v>08</v>
      </c>
      <c r="E1078" t="str">
        <f t="shared" si="114"/>
        <v>11</v>
      </c>
      <c r="F1078">
        <f t="shared" si="115"/>
        <v>2016</v>
      </c>
      <c r="G1078">
        <f t="shared" si="116"/>
        <v>8</v>
      </c>
      <c r="H1078">
        <f t="shared" si="117"/>
        <v>11</v>
      </c>
      <c r="I1078" t="str">
        <f t="shared" si="118"/>
        <v>16</v>
      </c>
    </row>
    <row r="1079" spans="1:9" x14ac:dyDescent="0.25">
      <c r="A1079" s="19">
        <v>41781</v>
      </c>
      <c r="B1079" s="20">
        <v>2.4305555555555556E-2</v>
      </c>
      <c r="C1079" t="str">
        <f t="shared" si="112"/>
        <v>14</v>
      </c>
      <c r="D1079" t="str">
        <f t="shared" si="113"/>
        <v>05</v>
      </c>
      <c r="E1079" t="str">
        <f t="shared" si="114"/>
        <v>22</v>
      </c>
      <c r="F1079">
        <f t="shared" si="115"/>
        <v>2014</v>
      </c>
      <c r="G1079">
        <f t="shared" si="116"/>
        <v>5</v>
      </c>
      <c r="H1079">
        <f t="shared" si="117"/>
        <v>22</v>
      </c>
      <c r="I1079" t="str">
        <f t="shared" si="118"/>
        <v>14</v>
      </c>
    </row>
    <row r="1080" spans="1:9" x14ac:dyDescent="0.25">
      <c r="A1080" s="19">
        <v>41628</v>
      </c>
      <c r="B1080" s="20">
        <v>1.3888888888888888E-2</v>
      </c>
      <c r="C1080" t="str">
        <f t="shared" si="112"/>
        <v>13</v>
      </c>
      <c r="D1080" t="str">
        <f t="shared" si="113"/>
        <v>12</v>
      </c>
      <c r="E1080" t="str">
        <f t="shared" si="114"/>
        <v>20</v>
      </c>
      <c r="F1080">
        <f t="shared" si="115"/>
        <v>2013</v>
      </c>
      <c r="G1080">
        <f t="shared" si="116"/>
        <v>12</v>
      </c>
      <c r="H1080">
        <f t="shared" si="117"/>
        <v>20</v>
      </c>
      <c r="I1080" t="str">
        <f t="shared" si="118"/>
        <v>13</v>
      </c>
    </row>
    <row r="1081" spans="1:9" x14ac:dyDescent="0.25">
      <c r="A1081" s="19">
        <v>41971</v>
      </c>
      <c r="B1081" s="20">
        <v>3.8194444444444448E-2</v>
      </c>
      <c r="C1081" t="str">
        <f t="shared" si="112"/>
        <v>14</v>
      </c>
      <c r="D1081" t="str">
        <f t="shared" si="113"/>
        <v>11</v>
      </c>
      <c r="E1081" t="str">
        <f t="shared" si="114"/>
        <v>28</v>
      </c>
      <c r="F1081">
        <f t="shared" si="115"/>
        <v>2014</v>
      </c>
      <c r="G1081">
        <f t="shared" si="116"/>
        <v>11</v>
      </c>
      <c r="H1081">
        <f t="shared" si="117"/>
        <v>28</v>
      </c>
      <c r="I1081" t="str">
        <f t="shared" si="118"/>
        <v>14</v>
      </c>
    </row>
    <row r="1082" spans="1:9" x14ac:dyDescent="0.25">
      <c r="A1082" s="19">
        <v>41072</v>
      </c>
      <c r="B1082" s="20">
        <v>6.1111111111111109E-2</v>
      </c>
      <c r="C1082" t="str">
        <f t="shared" si="112"/>
        <v>12</v>
      </c>
      <c r="D1082" t="str">
        <f t="shared" si="113"/>
        <v>06</v>
      </c>
      <c r="E1082" t="str">
        <f t="shared" si="114"/>
        <v>12</v>
      </c>
      <c r="F1082">
        <f t="shared" si="115"/>
        <v>2012</v>
      </c>
      <c r="G1082">
        <f t="shared" si="116"/>
        <v>6</v>
      </c>
      <c r="H1082">
        <f t="shared" si="117"/>
        <v>12</v>
      </c>
      <c r="I1082" t="str">
        <f t="shared" si="118"/>
        <v>12</v>
      </c>
    </row>
    <row r="1083" spans="1:9" x14ac:dyDescent="0.25">
      <c r="A1083" s="19">
        <v>41691</v>
      </c>
      <c r="B1083" s="20">
        <v>3.6805555555555557E-2</v>
      </c>
      <c r="C1083" t="str">
        <f t="shared" si="112"/>
        <v>14</v>
      </c>
      <c r="D1083" t="str">
        <f t="shared" si="113"/>
        <v>02</v>
      </c>
      <c r="E1083" t="str">
        <f t="shared" si="114"/>
        <v>21</v>
      </c>
      <c r="F1083">
        <f t="shared" si="115"/>
        <v>2014</v>
      </c>
      <c r="G1083">
        <f t="shared" si="116"/>
        <v>2</v>
      </c>
      <c r="H1083">
        <f t="shared" si="117"/>
        <v>21</v>
      </c>
      <c r="I1083" t="str">
        <f t="shared" si="118"/>
        <v>14</v>
      </c>
    </row>
    <row r="1084" spans="1:9" x14ac:dyDescent="0.25">
      <c r="A1084" s="19">
        <v>42093</v>
      </c>
      <c r="B1084" s="20">
        <v>0.97291666666666665</v>
      </c>
      <c r="C1084" t="str">
        <f t="shared" si="112"/>
        <v>15</v>
      </c>
      <c r="D1084" t="str">
        <f t="shared" si="113"/>
        <v>03</v>
      </c>
      <c r="E1084" t="str">
        <f t="shared" si="114"/>
        <v>30</v>
      </c>
      <c r="F1084">
        <f t="shared" si="115"/>
        <v>2015</v>
      </c>
      <c r="G1084">
        <f t="shared" si="116"/>
        <v>3</v>
      </c>
      <c r="H1084">
        <f t="shared" si="117"/>
        <v>30</v>
      </c>
      <c r="I1084" t="str">
        <f t="shared" si="118"/>
        <v>15</v>
      </c>
    </row>
    <row r="1085" spans="1:9" x14ac:dyDescent="0.25">
      <c r="A1085" s="19">
        <v>41734</v>
      </c>
      <c r="B1085" s="20">
        <v>0.96805555555555556</v>
      </c>
      <c r="C1085" t="str">
        <f t="shared" si="112"/>
        <v>14</v>
      </c>
      <c r="D1085" t="str">
        <f t="shared" si="113"/>
        <v>04</v>
      </c>
      <c r="E1085" t="str">
        <f t="shared" si="114"/>
        <v>05</v>
      </c>
      <c r="F1085">
        <f t="shared" si="115"/>
        <v>2014</v>
      </c>
      <c r="G1085">
        <f t="shared" si="116"/>
        <v>4</v>
      </c>
      <c r="H1085">
        <f t="shared" si="117"/>
        <v>5</v>
      </c>
      <c r="I1085" t="str">
        <f t="shared" si="118"/>
        <v>14</v>
      </c>
    </row>
    <row r="1086" spans="1:9" x14ac:dyDescent="0.25">
      <c r="A1086" s="19">
        <v>42802</v>
      </c>
      <c r="B1086" s="20">
        <v>0.97847222222222219</v>
      </c>
      <c r="C1086" t="str">
        <f t="shared" si="112"/>
        <v>17</v>
      </c>
      <c r="D1086" t="str">
        <f t="shared" si="113"/>
        <v>03</v>
      </c>
      <c r="E1086" t="str">
        <f t="shared" si="114"/>
        <v>08</v>
      </c>
      <c r="F1086">
        <f t="shared" si="115"/>
        <v>2017</v>
      </c>
      <c r="G1086">
        <f t="shared" si="116"/>
        <v>3</v>
      </c>
      <c r="H1086">
        <f t="shared" si="117"/>
        <v>8</v>
      </c>
      <c r="I1086" t="str">
        <f t="shared" si="118"/>
        <v>17</v>
      </c>
    </row>
    <row r="1087" spans="1:9" x14ac:dyDescent="0.25">
      <c r="A1087" s="19">
        <v>41332</v>
      </c>
      <c r="B1087" s="20">
        <v>1.5277777777777777E-2</v>
      </c>
      <c r="C1087" t="str">
        <f t="shared" si="112"/>
        <v>13</v>
      </c>
      <c r="D1087" t="str">
        <f t="shared" si="113"/>
        <v>02</v>
      </c>
      <c r="E1087" t="str">
        <f t="shared" si="114"/>
        <v>27</v>
      </c>
      <c r="F1087">
        <f t="shared" si="115"/>
        <v>2013</v>
      </c>
      <c r="G1087">
        <f t="shared" si="116"/>
        <v>2</v>
      </c>
      <c r="H1087">
        <f t="shared" si="117"/>
        <v>27</v>
      </c>
      <c r="I1087" t="str">
        <f t="shared" si="118"/>
        <v>13</v>
      </c>
    </row>
    <row r="1088" spans="1:9" x14ac:dyDescent="0.25">
      <c r="A1088" s="19">
        <v>41387</v>
      </c>
      <c r="B1088" s="20">
        <v>2.0833333333333333E-3</v>
      </c>
      <c r="C1088" t="str">
        <f t="shared" si="112"/>
        <v>13</v>
      </c>
      <c r="D1088" t="str">
        <f t="shared" si="113"/>
        <v>04</v>
      </c>
      <c r="E1088" t="str">
        <f t="shared" si="114"/>
        <v>23</v>
      </c>
      <c r="F1088">
        <f t="shared" si="115"/>
        <v>2013</v>
      </c>
      <c r="G1088">
        <f t="shared" si="116"/>
        <v>4</v>
      </c>
      <c r="H1088">
        <f t="shared" si="117"/>
        <v>23</v>
      </c>
      <c r="I1088" t="str">
        <f t="shared" si="118"/>
        <v>13</v>
      </c>
    </row>
    <row r="1089" spans="1:9" x14ac:dyDescent="0.25">
      <c r="A1089" s="19">
        <v>40996</v>
      </c>
      <c r="B1089" s="20">
        <v>3.7499999999999999E-2</v>
      </c>
      <c r="C1089" t="str">
        <f t="shared" si="112"/>
        <v>12</v>
      </c>
      <c r="D1089" t="str">
        <f t="shared" si="113"/>
        <v>03</v>
      </c>
      <c r="E1089" t="str">
        <f t="shared" si="114"/>
        <v>28</v>
      </c>
      <c r="F1089">
        <f t="shared" si="115"/>
        <v>2012</v>
      </c>
      <c r="G1089">
        <f t="shared" si="116"/>
        <v>3</v>
      </c>
      <c r="H1089">
        <f t="shared" si="117"/>
        <v>28</v>
      </c>
      <c r="I1089" t="str">
        <f t="shared" si="118"/>
        <v>12</v>
      </c>
    </row>
    <row r="1090" spans="1:9" x14ac:dyDescent="0.25">
      <c r="A1090" s="19">
        <v>42811</v>
      </c>
      <c r="B1090" s="20">
        <v>2.7777777777777779E-3</v>
      </c>
      <c r="C1090" t="str">
        <f t="shared" si="112"/>
        <v>17</v>
      </c>
      <c r="D1090" t="str">
        <f t="shared" si="113"/>
        <v>03</v>
      </c>
      <c r="E1090" t="str">
        <f t="shared" si="114"/>
        <v>17</v>
      </c>
      <c r="F1090">
        <f t="shared" si="115"/>
        <v>2017</v>
      </c>
      <c r="G1090">
        <f t="shared" si="116"/>
        <v>3</v>
      </c>
      <c r="H1090">
        <f t="shared" si="117"/>
        <v>17</v>
      </c>
      <c r="I1090" t="str">
        <f t="shared" si="118"/>
        <v>17</v>
      </c>
    </row>
    <row r="1091" spans="1:9" x14ac:dyDescent="0.25">
      <c r="A1091" s="19">
        <v>41667</v>
      </c>
      <c r="B1091" s="20">
        <v>0.98263888888888884</v>
      </c>
      <c r="C1091" t="str">
        <f t="shared" ref="C1091:C1154" si="119">TEXT(A1091,"YY")</f>
        <v>14</v>
      </c>
      <c r="D1091" t="str">
        <f t="shared" ref="D1091:D1154" si="120">TEXT(A1091,"mm")</f>
        <v>01</v>
      </c>
      <c r="E1091" t="str">
        <f t="shared" ref="E1091:E1154" si="121">TEXT(A1091,"dd")</f>
        <v>28</v>
      </c>
      <c r="F1091">
        <f t="shared" ref="F1091:F1154" si="122">YEAR($A1091)</f>
        <v>2014</v>
      </c>
      <c r="G1091">
        <f t="shared" ref="G1091:G1154" si="123">MONTH($A1091)</f>
        <v>1</v>
      </c>
      <c r="H1091">
        <f t="shared" ref="H1091:H1154" si="124">DAY($A1091)</f>
        <v>28</v>
      </c>
      <c r="I1091" t="str">
        <f t="shared" ref="I1091:I1154" si="125">TEXT($A1091,"YY")</f>
        <v>14</v>
      </c>
    </row>
    <row r="1092" spans="1:9" x14ac:dyDescent="0.25">
      <c r="A1092" s="19">
        <v>41509</v>
      </c>
      <c r="B1092" s="20">
        <v>7.6388888888888886E-3</v>
      </c>
      <c r="C1092" t="str">
        <f t="shared" si="119"/>
        <v>13</v>
      </c>
      <c r="D1092" t="str">
        <f t="shared" si="120"/>
        <v>08</v>
      </c>
      <c r="E1092" t="str">
        <f t="shared" si="121"/>
        <v>23</v>
      </c>
      <c r="F1092">
        <f t="shared" si="122"/>
        <v>2013</v>
      </c>
      <c r="G1092">
        <f t="shared" si="123"/>
        <v>8</v>
      </c>
      <c r="H1092">
        <f t="shared" si="124"/>
        <v>23</v>
      </c>
      <c r="I1092" t="str">
        <f t="shared" si="125"/>
        <v>13</v>
      </c>
    </row>
    <row r="1093" spans="1:9" x14ac:dyDescent="0.25">
      <c r="A1093" s="19">
        <v>42067</v>
      </c>
      <c r="B1093" s="20">
        <v>4.5138888888888888E-2</v>
      </c>
      <c r="C1093" t="str">
        <f t="shared" si="119"/>
        <v>15</v>
      </c>
      <c r="D1093" t="str">
        <f t="shared" si="120"/>
        <v>03</v>
      </c>
      <c r="E1093" t="str">
        <f t="shared" si="121"/>
        <v>04</v>
      </c>
      <c r="F1093">
        <f t="shared" si="122"/>
        <v>2015</v>
      </c>
      <c r="G1093">
        <f t="shared" si="123"/>
        <v>3</v>
      </c>
      <c r="H1093">
        <f t="shared" si="124"/>
        <v>4</v>
      </c>
      <c r="I1093" t="str">
        <f t="shared" si="125"/>
        <v>15</v>
      </c>
    </row>
    <row r="1094" spans="1:9" x14ac:dyDescent="0.25">
      <c r="A1094" s="19">
        <v>42107</v>
      </c>
      <c r="B1094" s="20">
        <v>4.8611111111111112E-3</v>
      </c>
      <c r="C1094" t="str">
        <f t="shared" si="119"/>
        <v>15</v>
      </c>
      <c r="D1094" t="str">
        <f t="shared" si="120"/>
        <v>04</v>
      </c>
      <c r="E1094" t="str">
        <f t="shared" si="121"/>
        <v>13</v>
      </c>
      <c r="F1094">
        <f t="shared" si="122"/>
        <v>2015</v>
      </c>
      <c r="G1094">
        <f t="shared" si="123"/>
        <v>4</v>
      </c>
      <c r="H1094">
        <f t="shared" si="124"/>
        <v>13</v>
      </c>
      <c r="I1094" t="str">
        <f t="shared" si="125"/>
        <v>15</v>
      </c>
    </row>
    <row r="1095" spans="1:9" x14ac:dyDescent="0.25">
      <c r="A1095" s="19">
        <v>42059</v>
      </c>
      <c r="B1095" s="20">
        <v>3.2638888888888891E-2</v>
      </c>
      <c r="C1095" t="str">
        <f t="shared" si="119"/>
        <v>15</v>
      </c>
      <c r="D1095" t="str">
        <f t="shared" si="120"/>
        <v>02</v>
      </c>
      <c r="E1095" t="str">
        <f t="shared" si="121"/>
        <v>24</v>
      </c>
      <c r="F1095">
        <f t="shared" si="122"/>
        <v>2015</v>
      </c>
      <c r="G1095">
        <f t="shared" si="123"/>
        <v>2</v>
      </c>
      <c r="H1095">
        <f t="shared" si="124"/>
        <v>24</v>
      </c>
      <c r="I1095" t="str">
        <f t="shared" si="125"/>
        <v>15</v>
      </c>
    </row>
    <row r="1096" spans="1:9" x14ac:dyDescent="0.25">
      <c r="A1096" s="19">
        <v>41752</v>
      </c>
      <c r="B1096" s="20">
        <v>6.9444444444444448E-2</v>
      </c>
      <c r="C1096" t="str">
        <f t="shared" si="119"/>
        <v>14</v>
      </c>
      <c r="D1096" t="str">
        <f t="shared" si="120"/>
        <v>04</v>
      </c>
      <c r="E1096" t="str">
        <f t="shared" si="121"/>
        <v>23</v>
      </c>
      <c r="F1096">
        <f t="shared" si="122"/>
        <v>2014</v>
      </c>
      <c r="G1096">
        <f t="shared" si="123"/>
        <v>4</v>
      </c>
      <c r="H1096">
        <f t="shared" si="124"/>
        <v>23</v>
      </c>
      <c r="I1096" t="str">
        <f t="shared" si="125"/>
        <v>14</v>
      </c>
    </row>
    <row r="1097" spans="1:9" x14ac:dyDescent="0.25">
      <c r="A1097" s="19">
        <v>42188</v>
      </c>
      <c r="B1097" s="20">
        <v>3.1944444444444442E-2</v>
      </c>
      <c r="C1097" t="str">
        <f t="shared" si="119"/>
        <v>15</v>
      </c>
      <c r="D1097" t="str">
        <f t="shared" si="120"/>
        <v>07</v>
      </c>
      <c r="E1097" t="str">
        <f t="shared" si="121"/>
        <v>03</v>
      </c>
      <c r="F1097">
        <f t="shared" si="122"/>
        <v>2015</v>
      </c>
      <c r="G1097">
        <f t="shared" si="123"/>
        <v>7</v>
      </c>
      <c r="H1097">
        <f t="shared" si="124"/>
        <v>3</v>
      </c>
      <c r="I1097" t="str">
        <f t="shared" si="125"/>
        <v>15</v>
      </c>
    </row>
    <row r="1098" spans="1:9" x14ac:dyDescent="0.25">
      <c r="A1098" s="19">
        <v>41320</v>
      </c>
      <c r="B1098" s="20">
        <v>2.2222222222222223E-2</v>
      </c>
      <c r="C1098" t="str">
        <f t="shared" si="119"/>
        <v>13</v>
      </c>
      <c r="D1098" t="str">
        <f t="shared" si="120"/>
        <v>02</v>
      </c>
      <c r="E1098" t="str">
        <f t="shared" si="121"/>
        <v>15</v>
      </c>
      <c r="F1098">
        <f t="shared" si="122"/>
        <v>2013</v>
      </c>
      <c r="G1098">
        <f t="shared" si="123"/>
        <v>2</v>
      </c>
      <c r="H1098">
        <f t="shared" si="124"/>
        <v>15</v>
      </c>
      <c r="I1098" t="str">
        <f t="shared" si="125"/>
        <v>13</v>
      </c>
    </row>
    <row r="1099" spans="1:9" x14ac:dyDescent="0.25">
      <c r="A1099" s="19">
        <v>41276</v>
      </c>
      <c r="B1099" s="20">
        <v>0.98402777777777772</v>
      </c>
      <c r="C1099" t="str">
        <f t="shared" si="119"/>
        <v>13</v>
      </c>
      <c r="D1099" t="str">
        <f t="shared" si="120"/>
        <v>01</v>
      </c>
      <c r="E1099" t="str">
        <f t="shared" si="121"/>
        <v>02</v>
      </c>
      <c r="F1099">
        <f t="shared" si="122"/>
        <v>2013</v>
      </c>
      <c r="G1099">
        <f t="shared" si="123"/>
        <v>1</v>
      </c>
      <c r="H1099">
        <f t="shared" si="124"/>
        <v>2</v>
      </c>
      <c r="I1099" t="str">
        <f t="shared" si="125"/>
        <v>13</v>
      </c>
    </row>
    <row r="1100" spans="1:9" x14ac:dyDescent="0.25">
      <c r="A1100" s="19">
        <v>41466</v>
      </c>
      <c r="B1100" s="20">
        <v>0.9770833333333333</v>
      </c>
      <c r="C1100" t="str">
        <f t="shared" si="119"/>
        <v>13</v>
      </c>
      <c r="D1100" t="str">
        <f t="shared" si="120"/>
        <v>07</v>
      </c>
      <c r="E1100" t="str">
        <f t="shared" si="121"/>
        <v>11</v>
      </c>
      <c r="F1100">
        <f t="shared" si="122"/>
        <v>2013</v>
      </c>
      <c r="G1100">
        <f t="shared" si="123"/>
        <v>7</v>
      </c>
      <c r="H1100">
        <f t="shared" si="124"/>
        <v>11</v>
      </c>
      <c r="I1100" t="str">
        <f t="shared" si="125"/>
        <v>13</v>
      </c>
    </row>
    <row r="1101" spans="1:9" x14ac:dyDescent="0.25">
      <c r="A1101" s="19">
        <v>41857</v>
      </c>
      <c r="B1101" s="20">
        <v>0.98472222222222228</v>
      </c>
      <c r="C1101" t="str">
        <f t="shared" si="119"/>
        <v>14</v>
      </c>
      <c r="D1101" t="str">
        <f t="shared" si="120"/>
        <v>08</v>
      </c>
      <c r="E1101" t="str">
        <f t="shared" si="121"/>
        <v>06</v>
      </c>
      <c r="F1101">
        <f t="shared" si="122"/>
        <v>2014</v>
      </c>
      <c r="G1101">
        <f t="shared" si="123"/>
        <v>8</v>
      </c>
      <c r="H1101">
        <f t="shared" si="124"/>
        <v>6</v>
      </c>
      <c r="I1101" t="str">
        <f t="shared" si="125"/>
        <v>14</v>
      </c>
    </row>
    <row r="1102" spans="1:9" x14ac:dyDescent="0.25">
      <c r="A1102" s="19">
        <v>41511</v>
      </c>
      <c r="B1102" s="20">
        <v>7.6388888888888886E-3</v>
      </c>
      <c r="C1102" t="str">
        <f t="shared" si="119"/>
        <v>13</v>
      </c>
      <c r="D1102" t="str">
        <f t="shared" si="120"/>
        <v>08</v>
      </c>
      <c r="E1102" t="str">
        <f t="shared" si="121"/>
        <v>25</v>
      </c>
      <c r="F1102">
        <f t="shared" si="122"/>
        <v>2013</v>
      </c>
      <c r="G1102">
        <f t="shared" si="123"/>
        <v>8</v>
      </c>
      <c r="H1102">
        <f t="shared" si="124"/>
        <v>25</v>
      </c>
      <c r="I1102" t="str">
        <f t="shared" si="125"/>
        <v>13</v>
      </c>
    </row>
    <row r="1103" spans="1:9" x14ac:dyDescent="0.25">
      <c r="A1103" s="19">
        <v>41492</v>
      </c>
      <c r="B1103" s="20">
        <v>2.7777777777777779E-3</v>
      </c>
      <c r="C1103" t="str">
        <f t="shared" si="119"/>
        <v>13</v>
      </c>
      <c r="D1103" t="str">
        <f t="shared" si="120"/>
        <v>08</v>
      </c>
      <c r="E1103" t="str">
        <f t="shared" si="121"/>
        <v>06</v>
      </c>
      <c r="F1103">
        <f t="shared" si="122"/>
        <v>2013</v>
      </c>
      <c r="G1103">
        <f t="shared" si="123"/>
        <v>8</v>
      </c>
      <c r="H1103">
        <f t="shared" si="124"/>
        <v>6</v>
      </c>
      <c r="I1103" t="str">
        <f t="shared" si="125"/>
        <v>13</v>
      </c>
    </row>
    <row r="1104" spans="1:9" x14ac:dyDescent="0.25">
      <c r="A1104" s="19">
        <v>42309</v>
      </c>
      <c r="B1104" s="20">
        <v>4.027777777777778E-2</v>
      </c>
      <c r="C1104" t="str">
        <f t="shared" si="119"/>
        <v>15</v>
      </c>
      <c r="D1104" t="str">
        <f t="shared" si="120"/>
        <v>11</v>
      </c>
      <c r="E1104" t="str">
        <f t="shared" si="121"/>
        <v>01</v>
      </c>
      <c r="F1104">
        <f t="shared" si="122"/>
        <v>2015</v>
      </c>
      <c r="G1104">
        <f t="shared" si="123"/>
        <v>11</v>
      </c>
      <c r="H1104">
        <f t="shared" si="124"/>
        <v>1</v>
      </c>
      <c r="I1104" t="str">
        <f t="shared" si="125"/>
        <v>15</v>
      </c>
    </row>
    <row r="1105" spans="1:9" x14ac:dyDescent="0.25">
      <c r="A1105" s="19">
        <v>41427</v>
      </c>
      <c r="B1105" s="20">
        <v>6.2500000000000003E-3</v>
      </c>
      <c r="C1105" t="str">
        <f t="shared" si="119"/>
        <v>13</v>
      </c>
      <c r="D1105" t="str">
        <f t="shared" si="120"/>
        <v>06</v>
      </c>
      <c r="E1105" t="str">
        <f t="shared" si="121"/>
        <v>02</v>
      </c>
      <c r="F1105">
        <f t="shared" si="122"/>
        <v>2013</v>
      </c>
      <c r="G1105">
        <f t="shared" si="123"/>
        <v>6</v>
      </c>
      <c r="H1105">
        <f t="shared" si="124"/>
        <v>2</v>
      </c>
      <c r="I1105" t="str">
        <f t="shared" si="125"/>
        <v>13</v>
      </c>
    </row>
    <row r="1106" spans="1:9" x14ac:dyDescent="0.25">
      <c r="A1106" s="19">
        <v>42457</v>
      </c>
      <c r="B1106" s="20">
        <v>0.95763888888888893</v>
      </c>
      <c r="C1106" t="str">
        <f t="shared" si="119"/>
        <v>16</v>
      </c>
      <c r="D1106" t="str">
        <f t="shared" si="120"/>
        <v>03</v>
      </c>
      <c r="E1106" t="str">
        <f t="shared" si="121"/>
        <v>28</v>
      </c>
      <c r="F1106">
        <f t="shared" si="122"/>
        <v>2016</v>
      </c>
      <c r="G1106">
        <f t="shared" si="123"/>
        <v>3</v>
      </c>
      <c r="H1106">
        <f t="shared" si="124"/>
        <v>28</v>
      </c>
      <c r="I1106" t="str">
        <f t="shared" si="125"/>
        <v>16</v>
      </c>
    </row>
    <row r="1107" spans="1:9" x14ac:dyDescent="0.25">
      <c r="A1107" s="19">
        <v>41214</v>
      </c>
      <c r="B1107" s="20">
        <v>3.472222222222222E-3</v>
      </c>
      <c r="C1107" t="str">
        <f t="shared" si="119"/>
        <v>12</v>
      </c>
      <c r="D1107" t="str">
        <f t="shared" si="120"/>
        <v>11</v>
      </c>
      <c r="E1107" t="str">
        <f t="shared" si="121"/>
        <v>01</v>
      </c>
      <c r="F1107">
        <f t="shared" si="122"/>
        <v>2012</v>
      </c>
      <c r="G1107">
        <f t="shared" si="123"/>
        <v>11</v>
      </c>
      <c r="H1107">
        <f t="shared" si="124"/>
        <v>1</v>
      </c>
      <c r="I1107" t="str">
        <f t="shared" si="125"/>
        <v>12</v>
      </c>
    </row>
    <row r="1108" spans="1:9" x14ac:dyDescent="0.25">
      <c r="A1108" s="19">
        <v>42118</v>
      </c>
      <c r="B1108" s="20">
        <v>4.8611111111111112E-3</v>
      </c>
      <c r="C1108" t="str">
        <f t="shared" si="119"/>
        <v>15</v>
      </c>
      <c r="D1108" t="str">
        <f t="shared" si="120"/>
        <v>04</v>
      </c>
      <c r="E1108" t="str">
        <f t="shared" si="121"/>
        <v>24</v>
      </c>
      <c r="F1108">
        <f t="shared" si="122"/>
        <v>2015</v>
      </c>
      <c r="G1108">
        <f t="shared" si="123"/>
        <v>4</v>
      </c>
      <c r="H1108">
        <f t="shared" si="124"/>
        <v>24</v>
      </c>
      <c r="I1108" t="str">
        <f t="shared" si="125"/>
        <v>15</v>
      </c>
    </row>
    <row r="1109" spans="1:9" x14ac:dyDescent="0.25">
      <c r="A1109" s="19">
        <v>41207</v>
      </c>
      <c r="B1109" s="20">
        <v>2.361111111111111E-2</v>
      </c>
      <c r="C1109" t="str">
        <f t="shared" si="119"/>
        <v>12</v>
      </c>
      <c r="D1109" t="str">
        <f t="shared" si="120"/>
        <v>10</v>
      </c>
      <c r="E1109" t="str">
        <f t="shared" si="121"/>
        <v>25</v>
      </c>
      <c r="F1109">
        <f t="shared" si="122"/>
        <v>2012</v>
      </c>
      <c r="G1109">
        <f t="shared" si="123"/>
        <v>10</v>
      </c>
      <c r="H1109">
        <f t="shared" si="124"/>
        <v>25</v>
      </c>
      <c r="I1109" t="str">
        <f t="shared" si="125"/>
        <v>12</v>
      </c>
    </row>
    <row r="1110" spans="1:9" x14ac:dyDescent="0.25">
      <c r="A1110" s="19">
        <v>41208</v>
      </c>
      <c r="B1110" s="20">
        <v>9.166666666666666E-2</v>
      </c>
      <c r="C1110" t="str">
        <f t="shared" si="119"/>
        <v>12</v>
      </c>
      <c r="D1110" t="str">
        <f t="shared" si="120"/>
        <v>10</v>
      </c>
      <c r="E1110" t="str">
        <f t="shared" si="121"/>
        <v>26</v>
      </c>
      <c r="F1110">
        <f t="shared" si="122"/>
        <v>2012</v>
      </c>
      <c r="G1110">
        <f t="shared" si="123"/>
        <v>10</v>
      </c>
      <c r="H1110">
        <f t="shared" si="124"/>
        <v>26</v>
      </c>
      <c r="I1110" t="str">
        <f t="shared" si="125"/>
        <v>12</v>
      </c>
    </row>
    <row r="1111" spans="1:9" x14ac:dyDescent="0.25">
      <c r="A1111" s="19">
        <v>42050</v>
      </c>
      <c r="B1111" s="20">
        <v>3.8194444444444448E-2</v>
      </c>
      <c r="C1111" t="str">
        <f t="shared" si="119"/>
        <v>15</v>
      </c>
      <c r="D1111" t="str">
        <f t="shared" si="120"/>
        <v>02</v>
      </c>
      <c r="E1111" t="str">
        <f t="shared" si="121"/>
        <v>15</v>
      </c>
      <c r="F1111">
        <f t="shared" si="122"/>
        <v>2015</v>
      </c>
      <c r="G1111">
        <f t="shared" si="123"/>
        <v>2</v>
      </c>
      <c r="H1111">
        <f t="shared" si="124"/>
        <v>15</v>
      </c>
      <c r="I1111" t="str">
        <f t="shared" si="125"/>
        <v>15</v>
      </c>
    </row>
    <row r="1112" spans="1:9" x14ac:dyDescent="0.25">
      <c r="A1112" s="19">
        <v>41332</v>
      </c>
      <c r="B1112" s="20">
        <v>5.7638888888888892E-2</v>
      </c>
      <c r="C1112" t="str">
        <f t="shared" si="119"/>
        <v>13</v>
      </c>
      <c r="D1112" t="str">
        <f t="shared" si="120"/>
        <v>02</v>
      </c>
      <c r="E1112" t="str">
        <f t="shared" si="121"/>
        <v>27</v>
      </c>
      <c r="F1112">
        <f t="shared" si="122"/>
        <v>2013</v>
      </c>
      <c r="G1112">
        <f t="shared" si="123"/>
        <v>2</v>
      </c>
      <c r="H1112">
        <f t="shared" si="124"/>
        <v>27</v>
      </c>
      <c r="I1112" t="str">
        <f t="shared" si="125"/>
        <v>13</v>
      </c>
    </row>
    <row r="1113" spans="1:9" x14ac:dyDescent="0.25">
      <c r="A1113" s="19">
        <v>42329</v>
      </c>
      <c r="B1113" s="20">
        <v>5.2777777777777778E-2</v>
      </c>
      <c r="C1113" t="str">
        <f t="shared" si="119"/>
        <v>15</v>
      </c>
      <c r="D1113" t="str">
        <f t="shared" si="120"/>
        <v>11</v>
      </c>
      <c r="E1113" t="str">
        <f t="shared" si="121"/>
        <v>21</v>
      </c>
      <c r="F1113">
        <f t="shared" si="122"/>
        <v>2015</v>
      </c>
      <c r="G1113">
        <f t="shared" si="123"/>
        <v>11</v>
      </c>
      <c r="H1113">
        <f t="shared" si="124"/>
        <v>21</v>
      </c>
      <c r="I1113" t="str">
        <f t="shared" si="125"/>
        <v>15</v>
      </c>
    </row>
    <row r="1114" spans="1:9" x14ac:dyDescent="0.25">
      <c r="A1114" s="19">
        <v>41190</v>
      </c>
      <c r="B1114" s="20">
        <v>3.0555555555555555E-2</v>
      </c>
      <c r="C1114" t="str">
        <f t="shared" si="119"/>
        <v>12</v>
      </c>
      <c r="D1114" t="str">
        <f t="shared" si="120"/>
        <v>10</v>
      </c>
      <c r="E1114" t="str">
        <f t="shared" si="121"/>
        <v>08</v>
      </c>
      <c r="F1114">
        <f t="shared" si="122"/>
        <v>2012</v>
      </c>
      <c r="G1114">
        <f t="shared" si="123"/>
        <v>10</v>
      </c>
      <c r="H1114">
        <f t="shared" si="124"/>
        <v>8</v>
      </c>
      <c r="I1114" t="str">
        <f t="shared" si="125"/>
        <v>12</v>
      </c>
    </row>
    <row r="1115" spans="1:9" x14ac:dyDescent="0.25">
      <c r="A1115" s="19">
        <v>42056</v>
      </c>
      <c r="B1115" s="20">
        <v>1.3888888888888888E-2</v>
      </c>
      <c r="C1115" t="str">
        <f t="shared" si="119"/>
        <v>15</v>
      </c>
      <c r="D1115" t="str">
        <f t="shared" si="120"/>
        <v>02</v>
      </c>
      <c r="E1115" t="str">
        <f t="shared" si="121"/>
        <v>21</v>
      </c>
      <c r="F1115">
        <f t="shared" si="122"/>
        <v>2015</v>
      </c>
      <c r="G1115">
        <f t="shared" si="123"/>
        <v>2</v>
      </c>
      <c r="H1115">
        <f t="shared" si="124"/>
        <v>21</v>
      </c>
      <c r="I1115" t="str">
        <f t="shared" si="125"/>
        <v>15</v>
      </c>
    </row>
    <row r="1116" spans="1:9" x14ac:dyDescent="0.25">
      <c r="A1116" s="19">
        <v>41800</v>
      </c>
      <c r="B1116" s="20">
        <v>7.013888888888889E-2</v>
      </c>
      <c r="C1116" t="str">
        <f t="shared" si="119"/>
        <v>14</v>
      </c>
      <c r="D1116" t="str">
        <f t="shared" si="120"/>
        <v>06</v>
      </c>
      <c r="E1116" t="str">
        <f t="shared" si="121"/>
        <v>10</v>
      </c>
      <c r="F1116">
        <f t="shared" si="122"/>
        <v>2014</v>
      </c>
      <c r="G1116">
        <f t="shared" si="123"/>
        <v>6</v>
      </c>
      <c r="H1116">
        <f t="shared" si="124"/>
        <v>10</v>
      </c>
      <c r="I1116" t="str">
        <f t="shared" si="125"/>
        <v>14</v>
      </c>
    </row>
    <row r="1117" spans="1:9" x14ac:dyDescent="0.25">
      <c r="A1117" s="19">
        <v>41261</v>
      </c>
      <c r="B1117" s="20">
        <v>3.2638888888888891E-2</v>
      </c>
      <c r="C1117" t="str">
        <f t="shared" si="119"/>
        <v>12</v>
      </c>
      <c r="D1117" t="str">
        <f t="shared" si="120"/>
        <v>12</v>
      </c>
      <c r="E1117" t="str">
        <f t="shared" si="121"/>
        <v>18</v>
      </c>
      <c r="F1117">
        <f t="shared" si="122"/>
        <v>2012</v>
      </c>
      <c r="G1117">
        <f t="shared" si="123"/>
        <v>12</v>
      </c>
      <c r="H1117">
        <f t="shared" si="124"/>
        <v>18</v>
      </c>
      <c r="I1117" t="str">
        <f t="shared" si="125"/>
        <v>12</v>
      </c>
    </row>
    <row r="1118" spans="1:9" x14ac:dyDescent="0.25">
      <c r="A1118" s="19">
        <v>41739</v>
      </c>
      <c r="B1118" s="20">
        <v>0.99375000000000002</v>
      </c>
      <c r="C1118" t="str">
        <f t="shared" si="119"/>
        <v>14</v>
      </c>
      <c r="D1118" t="str">
        <f t="shared" si="120"/>
        <v>04</v>
      </c>
      <c r="E1118" t="str">
        <f t="shared" si="121"/>
        <v>10</v>
      </c>
      <c r="F1118">
        <f t="shared" si="122"/>
        <v>2014</v>
      </c>
      <c r="G1118">
        <f t="shared" si="123"/>
        <v>4</v>
      </c>
      <c r="H1118">
        <f t="shared" si="124"/>
        <v>10</v>
      </c>
      <c r="I1118" t="str">
        <f t="shared" si="125"/>
        <v>14</v>
      </c>
    </row>
    <row r="1119" spans="1:9" x14ac:dyDescent="0.25">
      <c r="A1119" s="19">
        <v>42048</v>
      </c>
      <c r="B1119" s="20">
        <v>3.3333333333333333E-2</v>
      </c>
      <c r="C1119" t="str">
        <f t="shared" si="119"/>
        <v>15</v>
      </c>
      <c r="D1119" t="str">
        <f t="shared" si="120"/>
        <v>02</v>
      </c>
      <c r="E1119" t="str">
        <f t="shared" si="121"/>
        <v>13</v>
      </c>
      <c r="F1119">
        <f t="shared" si="122"/>
        <v>2015</v>
      </c>
      <c r="G1119">
        <f t="shared" si="123"/>
        <v>2</v>
      </c>
      <c r="H1119">
        <f t="shared" si="124"/>
        <v>13</v>
      </c>
      <c r="I1119" t="str">
        <f t="shared" si="125"/>
        <v>15</v>
      </c>
    </row>
    <row r="1120" spans="1:9" x14ac:dyDescent="0.25">
      <c r="A1120" s="19">
        <v>42175</v>
      </c>
      <c r="B1120" s="20">
        <v>1.3888888888888889E-3</v>
      </c>
      <c r="C1120" t="str">
        <f t="shared" si="119"/>
        <v>15</v>
      </c>
      <c r="D1120" t="str">
        <f t="shared" si="120"/>
        <v>06</v>
      </c>
      <c r="E1120" t="str">
        <f t="shared" si="121"/>
        <v>20</v>
      </c>
      <c r="F1120">
        <f t="shared" si="122"/>
        <v>2015</v>
      </c>
      <c r="G1120">
        <f t="shared" si="123"/>
        <v>6</v>
      </c>
      <c r="H1120">
        <f t="shared" si="124"/>
        <v>20</v>
      </c>
      <c r="I1120" t="str">
        <f t="shared" si="125"/>
        <v>15</v>
      </c>
    </row>
    <row r="1121" spans="1:9" x14ac:dyDescent="0.25">
      <c r="A1121" s="19">
        <v>42024</v>
      </c>
      <c r="B1121" s="20">
        <v>0.94374999999999998</v>
      </c>
      <c r="C1121" t="str">
        <f t="shared" si="119"/>
        <v>15</v>
      </c>
      <c r="D1121" t="str">
        <f t="shared" si="120"/>
        <v>01</v>
      </c>
      <c r="E1121" t="str">
        <f t="shared" si="121"/>
        <v>20</v>
      </c>
      <c r="F1121">
        <f t="shared" si="122"/>
        <v>2015</v>
      </c>
      <c r="G1121">
        <f t="shared" si="123"/>
        <v>1</v>
      </c>
      <c r="H1121">
        <f t="shared" si="124"/>
        <v>20</v>
      </c>
      <c r="I1121" t="str">
        <f t="shared" si="125"/>
        <v>15</v>
      </c>
    </row>
    <row r="1122" spans="1:9" x14ac:dyDescent="0.25">
      <c r="A1122" s="19">
        <v>41469</v>
      </c>
      <c r="B1122" s="20">
        <v>0.98055555555555551</v>
      </c>
      <c r="C1122" t="str">
        <f t="shared" si="119"/>
        <v>13</v>
      </c>
      <c r="D1122" t="str">
        <f t="shared" si="120"/>
        <v>07</v>
      </c>
      <c r="E1122" t="str">
        <f t="shared" si="121"/>
        <v>14</v>
      </c>
      <c r="F1122">
        <f t="shared" si="122"/>
        <v>2013</v>
      </c>
      <c r="G1122">
        <f t="shared" si="123"/>
        <v>7</v>
      </c>
      <c r="H1122">
        <f t="shared" si="124"/>
        <v>14</v>
      </c>
      <c r="I1122" t="str">
        <f t="shared" si="125"/>
        <v>13</v>
      </c>
    </row>
    <row r="1123" spans="1:9" x14ac:dyDescent="0.25">
      <c r="A1123" s="19">
        <v>41634</v>
      </c>
      <c r="B1123" s="20">
        <v>4.791666666666667E-2</v>
      </c>
      <c r="C1123" t="str">
        <f t="shared" si="119"/>
        <v>13</v>
      </c>
      <c r="D1123" t="str">
        <f t="shared" si="120"/>
        <v>12</v>
      </c>
      <c r="E1123" t="str">
        <f t="shared" si="121"/>
        <v>26</v>
      </c>
      <c r="F1123">
        <f t="shared" si="122"/>
        <v>2013</v>
      </c>
      <c r="G1123">
        <f t="shared" si="123"/>
        <v>12</v>
      </c>
      <c r="H1123">
        <f t="shared" si="124"/>
        <v>26</v>
      </c>
      <c r="I1123" t="str">
        <f t="shared" si="125"/>
        <v>13</v>
      </c>
    </row>
    <row r="1124" spans="1:9" x14ac:dyDescent="0.25">
      <c r="A1124" s="19">
        <v>41512</v>
      </c>
      <c r="B1124" s="20">
        <v>1.9444444444444445E-2</v>
      </c>
      <c r="C1124" t="str">
        <f t="shared" si="119"/>
        <v>13</v>
      </c>
      <c r="D1124" t="str">
        <f t="shared" si="120"/>
        <v>08</v>
      </c>
      <c r="E1124" t="str">
        <f t="shared" si="121"/>
        <v>26</v>
      </c>
      <c r="F1124">
        <f t="shared" si="122"/>
        <v>2013</v>
      </c>
      <c r="G1124">
        <f t="shared" si="123"/>
        <v>8</v>
      </c>
      <c r="H1124">
        <f t="shared" si="124"/>
        <v>26</v>
      </c>
      <c r="I1124" t="str">
        <f t="shared" si="125"/>
        <v>13</v>
      </c>
    </row>
    <row r="1125" spans="1:9" x14ac:dyDescent="0.25">
      <c r="A1125" s="19">
        <v>41159</v>
      </c>
      <c r="B1125" s="20">
        <v>2.7083333333333334E-2</v>
      </c>
      <c r="C1125" t="str">
        <f t="shared" si="119"/>
        <v>12</v>
      </c>
      <c r="D1125" t="str">
        <f t="shared" si="120"/>
        <v>09</v>
      </c>
      <c r="E1125" t="str">
        <f t="shared" si="121"/>
        <v>07</v>
      </c>
      <c r="F1125">
        <f t="shared" si="122"/>
        <v>2012</v>
      </c>
      <c r="G1125">
        <f t="shared" si="123"/>
        <v>9</v>
      </c>
      <c r="H1125">
        <f t="shared" si="124"/>
        <v>7</v>
      </c>
      <c r="I1125" t="str">
        <f t="shared" si="125"/>
        <v>12</v>
      </c>
    </row>
    <row r="1126" spans="1:9" x14ac:dyDescent="0.25">
      <c r="A1126" s="19">
        <v>42430</v>
      </c>
      <c r="B1126" s="20">
        <v>3.5416666666666666E-2</v>
      </c>
      <c r="C1126" t="str">
        <f t="shared" si="119"/>
        <v>16</v>
      </c>
      <c r="D1126" t="str">
        <f t="shared" si="120"/>
        <v>03</v>
      </c>
      <c r="E1126" t="str">
        <f t="shared" si="121"/>
        <v>01</v>
      </c>
      <c r="F1126">
        <f t="shared" si="122"/>
        <v>2016</v>
      </c>
      <c r="G1126">
        <f t="shared" si="123"/>
        <v>3</v>
      </c>
      <c r="H1126">
        <f t="shared" si="124"/>
        <v>1</v>
      </c>
      <c r="I1126" t="str">
        <f t="shared" si="125"/>
        <v>16</v>
      </c>
    </row>
    <row r="1127" spans="1:9" x14ac:dyDescent="0.25">
      <c r="A1127" s="19">
        <v>41364</v>
      </c>
      <c r="B1127" s="20">
        <v>0.99444444444444446</v>
      </c>
      <c r="C1127" t="str">
        <f t="shared" si="119"/>
        <v>13</v>
      </c>
      <c r="D1127" t="str">
        <f t="shared" si="120"/>
        <v>03</v>
      </c>
      <c r="E1127" t="str">
        <f t="shared" si="121"/>
        <v>31</v>
      </c>
      <c r="F1127">
        <f t="shared" si="122"/>
        <v>2013</v>
      </c>
      <c r="G1127">
        <f t="shared" si="123"/>
        <v>3</v>
      </c>
      <c r="H1127">
        <f t="shared" si="124"/>
        <v>31</v>
      </c>
      <c r="I1127" t="str">
        <f t="shared" si="125"/>
        <v>13</v>
      </c>
    </row>
    <row r="1128" spans="1:9" x14ac:dyDescent="0.25">
      <c r="A1128" s="19">
        <v>42137</v>
      </c>
      <c r="B1128" s="20">
        <v>5.486111111111111E-2</v>
      </c>
      <c r="C1128" t="str">
        <f t="shared" si="119"/>
        <v>15</v>
      </c>
      <c r="D1128" t="str">
        <f t="shared" si="120"/>
        <v>05</v>
      </c>
      <c r="E1128" t="str">
        <f t="shared" si="121"/>
        <v>13</v>
      </c>
      <c r="F1128">
        <f t="shared" si="122"/>
        <v>2015</v>
      </c>
      <c r="G1128">
        <f t="shared" si="123"/>
        <v>5</v>
      </c>
      <c r="H1128">
        <f t="shared" si="124"/>
        <v>13</v>
      </c>
      <c r="I1128" t="str">
        <f t="shared" si="125"/>
        <v>15</v>
      </c>
    </row>
    <row r="1129" spans="1:9" x14ac:dyDescent="0.25">
      <c r="A1129" s="19">
        <v>41939</v>
      </c>
      <c r="B1129" s="20">
        <v>0.99861111111111112</v>
      </c>
      <c r="C1129" t="str">
        <f t="shared" si="119"/>
        <v>14</v>
      </c>
      <c r="D1129" t="str">
        <f t="shared" si="120"/>
        <v>10</v>
      </c>
      <c r="E1129" t="str">
        <f t="shared" si="121"/>
        <v>27</v>
      </c>
      <c r="F1129">
        <f t="shared" si="122"/>
        <v>2014</v>
      </c>
      <c r="G1129">
        <f t="shared" si="123"/>
        <v>10</v>
      </c>
      <c r="H1129">
        <f t="shared" si="124"/>
        <v>27</v>
      </c>
      <c r="I1129" t="str">
        <f t="shared" si="125"/>
        <v>14</v>
      </c>
    </row>
    <row r="1130" spans="1:9" x14ac:dyDescent="0.25">
      <c r="A1130" s="19">
        <v>41163</v>
      </c>
      <c r="B1130" s="20">
        <v>2.7777777777777776E-2</v>
      </c>
      <c r="C1130" t="str">
        <f t="shared" si="119"/>
        <v>12</v>
      </c>
      <c r="D1130" t="str">
        <f t="shared" si="120"/>
        <v>09</v>
      </c>
      <c r="E1130" t="str">
        <f t="shared" si="121"/>
        <v>11</v>
      </c>
      <c r="F1130">
        <f t="shared" si="122"/>
        <v>2012</v>
      </c>
      <c r="G1130">
        <f t="shared" si="123"/>
        <v>9</v>
      </c>
      <c r="H1130">
        <f t="shared" si="124"/>
        <v>11</v>
      </c>
      <c r="I1130" t="str">
        <f t="shared" si="125"/>
        <v>12</v>
      </c>
    </row>
    <row r="1131" spans="1:9" x14ac:dyDescent="0.25">
      <c r="A1131" s="19">
        <v>41074</v>
      </c>
      <c r="B1131" s="20">
        <v>9.0277777777777769E-3</v>
      </c>
      <c r="C1131" t="str">
        <f t="shared" si="119"/>
        <v>12</v>
      </c>
      <c r="D1131" t="str">
        <f t="shared" si="120"/>
        <v>06</v>
      </c>
      <c r="E1131" t="str">
        <f t="shared" si="121"/>
        <v>14</v>
      </c>
      <c r="F1131">
        <f t="shared" si="122"/>
        <v>2012</v>
      </c>
      <c r="G1131">
        <f t="shared" si="123"/>
        <v>6</v>
      </c>
      <c r="H1131">
        <f t="shared" si="124"/>
        <v>14</v>
      </c>
      <c r="I1131" t="str">
        <f t="shared" si="125"/>
        <v>12</v>
      </c>
    </row>
    <row r="1132" spans="1:9" x14ac:dyDescent="0.25">
      <c r="A1132" s="19">
        <v>42456</v>
      </c>
      <c r="B1132" s="20">
        <v>4.7222222222222221E-2</v>
      </c>
      <c r="C1132" t="str">
        <f t="shared" si="119"/>
        <v>16</v>
      </c>
      <c r="D1132" t="str">
        <f t="shared" si="120"/>
        <v>03</v>
      </c>
      <c r="E1132" t="str">
        <f t="shared" si="121"/>
        <v>27</v>
      </c>
      <c r="F1132">
        <f t="shared" si="122"/>
        <v>2016</v>
      </c>
      <c r="G1132">
        <f t="shared" si="123"/>
        <v>3</v>
      </c>
      <c r="H1132">
        <f t="shared" si="124"/>
        <v>27</v>
      </c>
      <c r="I1132" t="str">
        <f t="shared" si="125"/>
        <v>16</v>
      </c>
    </row>
    <row r="1133" spans="1:9" x14ac:dyDescent="0.25">
      <c r="A1133" s="19">
        <v>41078</v>
      </c>
      <c r="B1133" s="20">
        <v>9.4444444444444442E-2</v>
      </c>
      <c r="C1133" t="str">
        <f t="shared" si="119"/>
        <v>12</v>
      </c>
      <c r="D1133" t="str">
        <f t="shared" si="120"/>
        <v>06</v>
      </c>
      <c r="E1133" t="str">
        <f t="shared" si="121"/>
        <v>18</v>
      </c>
      <c r="F1133">
        <f t="shared" si="122"/>
        <v>2012</v>
      </c>
      <c r="G1133">
        <f t="shared" si="123"/>
        <v>6</v>
      </c>
      <c r="H1133">
        <f t="shared" si="124"/>
        <v>18</v>
      </c>
      <c r="I1133" t="str">
        <f t="shared" si="125"/>
        <v>12</v>
      </c>
    </row>
    <row r="1134" spans="1:9" x14ac:dyDescent="0.25">
      <c r="A1134" s="19">
        <v>41595</v>
      </c>
      <c r="B1134" s="20">
        <v>0.9819444444444444</v>
      </c>
      <c r="C1134" t="str">
        <f t="shared" si="119"/>
        <v>13</v>
      </c>
      <c r="D1134" t="str">
        <f t="shared" si="120"/>
        <v>11</v>
      </c>
      <c r="E1134" t="str">
        <f t="shared" si="121"/>
        <v>17</v>
      </c>
      <c r="F1134">
        <f t="shared" si="122"/>
        <v>2013</v>
      </c>
      <c r="G1134">
        <f t="shared" si="123"/>
        <v>11</v>
      </c>
      <c r="H1134">
        <f t="shared" si="124"/>
        <v>17</v>
      </c>
      <c r="I1134" t="str">
        <f t="shared" si="125"/>
        <v>13</v>
      </c>
    </row>
    <row r="1135" spans="1:9" x14ac:dyDescent="0.25">
      <c r="A1135" s="19">
        <v>41022</v>
      </c>
      <c r="B1135" s="20">
        <v>0.99097222222222225</v>
      </c>
      <c r="C1135" t="str">
        <f t="shared" si="119"/>
        <v>12</v>
      </c>
      <c r="D1135" t="str">
        <f t="shared" si="120"/>
        <v>04</v>
      </c>
      <c r="E1135" t="str">
        <f t="shared" si="121"/>
        <v>23</v>
      </c>
      <c r="F1135">
        <f t="shared" si="122"/>
        <v>2012</v>
      </c>
      <c r="G1135">
        <f t="shared" si="123"/>
        <v>4</v>
      </c>
      <c r="H1135">
        <f t="shared" si="124"/>
        <v>23</v>
      </c>
      <c r="I1135" t="str">
        <f t="shared" si="125"/>
        <v>12</v>
      </c>
    </row>
    <row r="1136" spans="1:9" x14ac:dyDescent="0.25">
      <c r="A1136" s="19">
        <v>41012</v>
      </c>
      <c r="B1136" s="20">
        <v>0.98541666666666672</v>
      </c>
      <c r="C1136" t="str">
        <f t="shared" si="119"/>
        <v>12</v>
      </c>
      <c r="D1136" t="str">
        <f t="shared" si="120"/>
        <v>04</v>
      </c>
      <c r="E1136" t="str">
        <f t="shared" si="121"/>
        <v>13</v>
      </c>
      <c r="F1136">
        <f t="shared" si="122"/>
        <v>2012</v>
      </c>
      <c r="G1136">
        <f t="shared" si="123"/>
        <v>4</v>
      </c>
      <c r="H1136">
        <f t="shared" si="124"/>
        <v>13</v>
      </c>
      <c r="I1136" t="str">
        <f t="shared" si="125"/>
        <v>12</v>
      </c>
    </row>
    <row r="1137" spans="1:9" x14ac:dyDescent="0.25">
      <c r="A1137" s="19">
        <v>41605</v>
      </c>
      <c r="B1137" s="20">
        <v>7.8472222222222221E-2</v>
      </c>
      <c r="C1137" t="str">
        <f t="shared" si="119"/>
        <v>13</v>
      </c>
      <c r="D1137" t="str">
        <f t="shared" si="120"/>
        <v>11</v>
      </c>
      <c r="E1137" t="str">
        <f t="shared" si="121"/>
        <v>27</v>
      </c>
      <c r="F1137">
        <f t="shared" si="122"/>
        <v>2013</v>
      </c>
      <c r="G1137">
        <f t="shared" si="123"/>
        <v>11</v>
      </c>
      <c r="H1137">
        <f t="shared" si="124"/>
        <v>27</v>
      </c>
      <c r="I1137" t="str">
        <f t="shared" si="125"/>
        <v>13</v>
      </c>
    </row>
    <row r="1138" spans="1:9" x14ac:dyDescent="0.25">
      <c r="A1138" s="19">
        <v>41447</v>
      </c>
      <c r="B1138" s="20">
        <v>6.1805555555555558E-2</v>
      </c>
      <c r="C1138" t="str">
        <f t="shared" si="119"/>
        <v>13</v>
      </c>
      <c r="D1138" t="str">
        <f t="shared" si="120"/>
        <v>06</v>
      </c>
      <c r="E1138" t="str">
        <f t="shared" si="121"/>
        <v>22</v>
      </c>
      <c r="F1138">
        <f t="shared" si="122"/>
        <v>2013</v>
      </c>
      <c r="G1138">
        <f t="shared" si="123"/>
        <v>6</v>
      </c>
      <c r="H1138">
        <f t="shared" si="124"/>
        <v>22</v>
      </c>
      <c r="I1138" t="str">
        <f t="shared" si="125"/>
        <v>13</v>
      </c>
    </row>
    <row r="1139" spans="1:9" x14ac:dyDescent="0.25">
      <c r="A1139" s="19">
        <v>41662</v>
      </c>
      <c r="B1139" s="20">
        <v>4.6527777777777779E-2</v>
      </c>
      <c r="C1139" t="str">
        <f t="shared" si="119"/>
        <v>14</v>
      </c>
      <c r="D1139" t="str">
        <f t="shared" si="120"/>
        <v>01</v>
      </c>
      <c r="E1139" t="str">
        <f t="shared" si="121"/>
        <v>23</v>
      </c>
      <c r="F1139">
        <f t="shared" si="122"/>
        <v>2014</v>
      </c>
      <c r="G1139">
        <f t="shared" si="123"/>
        <v>1</v>
      </c>
      <c r="H1139">
        <f t="shared" si="124"/>
        <v>23</v>
      </c>
      <c r="I1139" t="str">
        <f t="shared" si="125"/>
        <v>14</v>
      </c>
    </row>
    <row r="1140" spans="1:9" x14ac:dyDescent="0.25">
      <c r="A1140" s="19">
        <v>42331</v>
      </c>
      <c r="B1140" s="20">
        <v>0.98611111111111116</v>
      </c>
      <c r="C1140" t="str">
        <f t="shared" si="119"/>
        <v>15</v>
      </c>
      <c r="D1140" t="str">
        <f t="shared" si="120"/>
        <v>11</v>
      </c>
      <c r="E1140" t="str">
        <f t="shared" si="121"/>
        <v>23</v>
      </c>
      <c r="F1140">
        <f t="shared" si="122"/>
        <v>2015</v>
      </c>
      <c r="G1140">
        <f t="shared" si="123"/>
        <v>11</v>
      </c>
      <c r="H1140">
        <f t="shared" si="124"/>
        <v>23</v>
      </c>
      <c r="I1140" t="str">
        <f t="shared" si="125"/>
        <v>15</v>
      </c>
    </row>
    <row r="1141" spans="1:9" x14ac:dyDescent="0.25">
      <c r="A1141" s="19">
        <v>41338</v>
      </c>
      <c r="B1141" s="20">
        <v>7.7083333333333337E-2</v>
      </c>
      <c r="C1141" t="str">
        <f t="shared" si="119"/>
        <v>13</v>
      </c>
      <c r="D1141" t="str">
        <f t="shared" si="120"/>
        <v>03</v>
      </c>
      <c r="E1141" t="str">
        <f t="shared" si="121"/>
        <v>05</v>
      </c>
      <c r="F1141">
        <f t="shared" si="122"/>
        <v>2013</v>
      </c>
      <c r="G1141">
        <f t="shared" si="123"/>
        <v>3</v>
      </c>
      <c r="H1141">
        <f t="shared" si="124"/>
        <v>5</v>
      </c>
      <c r="I1141" t="str">
        <f t="shared" si="125"/>
        <v>13</v>
      </c>
    </row>
    <row r="1142" spans="1:9" x14ac:dyDescent="0.25">
      <c r="A1142" s="19">
        <v>42181</v>
      </c>
      <c r="B1142" s="20">
        <v>5.9722222222222225E-2</v>
      </c>
      <c r="C1142" t="str">
        <f t="shared" si="119"/>
        <v>15</v>
      </c>
      <c r="D1142" t="str">
        <f t="shared" si="120"/>
        <v>06</v>
      </c>
      <c r="E1142" t="str">
        <f t="shared" si="121"/>
        <v>26</v>
      </c>
      <c r="F1142">
        <f t="shared" si="122"/>
        <v>2015</v>
      </c>
      <c r="G1142">
        <f t="shared" si="123"/>
        <v>6</v>
      </c>
      <c r="H1142">
        <f t="shared" si="124"/>
        <v>26</v>
      </c>
      <c r="I1142" t="str">
        <f t="shared" si="125"/>
        <v>15</v>
      </c>
    </row>
    <row r="1143" spans="1:9" x14ac:dyDescent="0.25">
      <c r="A1143" s="19">
        <v>42813</v>
      </c>
      <c r="B1143" s="20">
        <v>0.95416666666666672</v>
      </c>
      <c r="C1143" t="str">
        <f t="shared" si="119"/>
        <v>17</v>
      </c>
      <c r="D1143" t="str">
        <f t="shared" si="120"/>
        <v>03</v>
      </c>
      <c r="E1143" t="str">
        <f t="shared" si="121"/>
        <v>19</v>
      </c>
      <c r="F1143">
        <f t="shared" si="122"/>
        <v>2017</v>
      </c>
      <c r="G1143">
        <f t="shared" si="123"/>
        <v>3</v>
      </c>
      <c r="H1143">
        <f t="shared" si="124"/>
        <v>19</v>
      </c>
      <c r="I1143" t="str">
        <f t="shared" si="125"/>
        <v>17</v>
      </c>
    </row>
    <row r="1144" spans="1:9" x14ac:dyDescent="0.25">
      <c r="A1144" s="19">
        <v>41384</v>
      </c>
      <c r="B1144" s="20">
        <v>3.4027777777777775E-2</v>
      </c>
      <c r="C1144" t="str">
        <f t="shared" si="119"/>
        <v>13</v>
      </c>
      <c r="D1144" t="str">
        <f t="shared" si="120"/>
        <v>04</v>
      </c>
      <c r="E1144" t="str">
        <f t="shared" si="121"/>
        <v>20</v>
      </c>
      <c r="F1144">
        <f t="shared" si="122"/>
        <v>2013</v>
      </c>
      <c r="G1144">
        <f t="shared" si="123"/>
        <v>4</v>
      </c>
      <c r="H1144">
        <f t="shared" si="124"/>
        <v>20</v>
      </c>
      <c r="I1144" t="str">
        <f t="shared" si="125"/>
        <v>13</v>
      </c>
    </row>
    <row r="1145" spans="1:9" x14ac:dyDescent="0.25">
      <c r="A1145" s="19">
        <v>41955</v>
      </c>
      <c r="B1145" s="20">
        <v>0.94166666666666665</v>
      </c>
      <c r="C1145" t="str">
        <f t="shared" si="119"/>
        <v>14</v>
      </c>
      <c r="D1145" t="str">
        <f t="shared" si="120"/>
        <v>11</v>
      </c>
      <c r="E1145" t="str">
        <f t="shared" si="121"/>
        <v>12</v>
      </c>
      <c r="F1145">
        <f t="shared" si="122"/>
        <v>2014</v>
      </c>
      <c r="G1145">
        <f t="shared" si="123"/>
        <v>11</v>
      </c>
      <c r="H1145">
        <f t="shared" si="124"/>
        <v>12</v>
      </c>
      <c r="I1145" t="str">
        <f t="shared" si="125"/>
        <v>14</v>
      </c>
    </row>
    <row r="1146" spans="1:9" x14ac:dyDescent="0.25">
      <c r="A1146" s="19">
        <v>41556</v>
      </c>
      <c r="B1146" s="20">
        <v>2.7777777777777776E-2</v>
      </c>
      <c r="C1146" t="str">
        <f t="shared" si="119"/>
        <v>13</v>
      </c>
      <c r="D1146" t="str">
        <f t="shared" si="120"/>
        <v>10</v>
      </c>
      <c r="E1146" t="str">
        <f t="shared" si="121"/>
        <v>09</v>
      </c>
      <c r="F1146">
        <f t="shared" si="122"/>
        <v>2013</v>
      </c>
      <c r="G1146">
        <f t="shared" si="123"/>
        <v>10</v>
      </c>
      <c r="H1146">
        <f t="shared" si="124"/>
        <v>9</v>
      </c>
      <c r="I1146" t="str">
        <f t="shared" si="125"/>
        <v>13</v>
      </c>
    </row>
    <row r="1147" spans="1:9" x14ac:dyDescent="0.25">
      <c r="A1147" s="19">
        <v>41406</v>
      </c>
      <c r="B1147" s="20">
        <v>3.5416666666666666E-2</v>
      </c>
      <c r="C1147" t="str">
        <f t="shared" si="119"/>
        <v>13</v>
      </c>
      <c r="D1147" t="str">
        <f t="shared" si="120"/>
        <v>05</v>
      </c>
      <c r="E1147" t="str">
        <f t="shared" si="121"/>
        <v>12</v>
      </c>
      <c r="F1147">
        <f t="shared" si="122"/>
        <v>2013</v>
      </c>
      <c r="G1147">
        <f t="shared" si="123"/>
        <v>5</v>
      </c>
      <c r="H1147">
        <f t="shared" si="124"/>
        <v>12</v>
      </c>
      <c r="I1147" t="str">
        <f t="shared" si="125"/>
        <v>13</v>
      </c>
    </row>
    <row r="1148" spans="1:9" x14ac:dyDescent="0.25">
      <c r="A1148" s="19">
        <v>41108</v>
      </c>
      <c r="B1148" s="20">
        <v>0.98611111111111116</v>
      </c>
      <c r="C1148" t="str">
        <f t="shared" si="119"/>
        <v>12</v>
      </c>
      <c r="D1148" t="str">
        <f t="shared" si="120"/>
        <v>07</v>
      </c>
      <c r="E1148" t="str">
        <f t="shared" si="121"/>
        <v>18</v>
      </c>
      <c r="F1148">
        <f t="shared" si="122"/>
        <v>2012</v>
      </c>
      <c r="G1148">
        <f t="shared" si="123"/>
        <v>7</v>
      </c>
      <c r="H1148">
        <f t="shared" si="124"/>
        <v>18</v>
      </c>
      <c r="I1148" t="str">
        <f t="shared" si="125"/>
        <v>12</v>
      </c>
    </row>
    <row r="1149" spans="1:9" x14ac:dyDescent="0.25">
      <c r="A1149" s="19">
        <v>41210</v>
      </c>
      <c r="B1149" s="20">
        <v>6.9444444444444441E-3</v>
      </c>
      <c r="C1149" t="str">
        <f t="shared" si="119"/>
        <v>12</v>
      </c>
      <c r="D1149" t="str">
        <f t="shared" si="120"/>
        <v>10</v>
      </c>
      <c r="E1149" t="str">
        <f t="shared" si="121"/>
        <v>28</v>
      </c>
      <c r="F1149">
        <f t="shared" si="122"/>
        <v>2012</v>
      </c>
      <c r="G1149">
        <f t="shared" si="123"/>
        <v>10</v>
      </c>
      <c r="H1149">
        <f t="shared" si="124"/>
        <v>28</v>
      </c>
      <c r="I1149" t="str">
        <f t="shared" si="125"/>
        <v>12</v>
      </c>
    </row>
    <row r="1150" spans="1:9" x14ac:dyDescent="0.25">
      <c r="A1150" s="19">
        <v>42097</v>
      </c>
      <c r="B1150" s="20">
        <v>6.9444444444444441E-3</v>
      </c>
      <c r="C1150" t="str">
        <f t="shared" si="119"/>
        <v>15</v>
      </c>
      <c r="D1150" t="str">
        <f t="shared" si="120"/>
        <v>04</v>
      </c>
      <c r="E1150" t="str">
        <f t="shared" si="121"/>
        <v>03</v>
      </c>
      <c r="F1150">
        <f t="shared" si="122"/>
        <v>2015</v>
      </c>
      <c r="G1150">
        <f t="shared" si="123"/>
        <v>4</v>
      </c>
      <c r="H1150">
        <f t="shared" si="124"/>
        <v>3</v>
      </c>
      <c r="I1150" t="str">
        <f t="shared" si="125"/>
        <v>15</v>
      </c>
    </row>
    <row r="1151" spans="1:9" x14ac:dyDescent="0.25">
      <c r="A1151" s="19">
        <v>41497</v>
      </c>
      <c r="B1151" s="20">
        <v>9.0277777777777769E-3</v>
      </c>
      <c r="C1151" t="str">
        <f t="shared" si="119"/>
        <v>13</v>
      </c>
      <c r="D1151" t="str">
        <f t="shared" si="120"/>
        <v>08</v>
      </c>
      <c r="E1151" t="str">
        <f t="shared" si="121"/>
        <v>11</v>
      </c>
      <c r="F1151">
        <f t="shared" si="122"/>
        <v>2013</v>
      </c>
      <c r="G1151">
        <f t="shared" si="123"/>
        <v>8</v>
      </c>
      <c r="H1151">
        <f t="shared" si="124"/>
        <v>11</v>
      </c>
      <c r="I1151" t="str">
        <f t="shared" si="125"/>
        <v>13</v>
      </c>
    </row>
    <row r="1152" spans="1:9" x14ac:dyDescent="0.25">
      <c r="A1152" s="19">
        <v>42173</v>
      </c>
      <c r="B1152" s="20">
        <v>0.97986111111111107</v>
      </c>
      <c r="C1152" t="str">
        <f t="shared" si="119"/>
        <v>15</v>
      </c>
      <c r="D1152" t="str">
        <f t="shared" si="120"/>
        <v>06</v>
      </c>
      <c r="E1152" t="str">
        <f t="shared" si="121"/>
        <v>18</v>
      </c>
      <c r="F1152">
        <f t="shared" si="122"/>
        <v>2015</v>
      </c>
      <c r="G1152">
        <f t="shared" si="123"/>
        <v>6</v>
      </c>
      <c r="H1152">
        <f t="shared" si="124"/>
        <v>18</v>
      </c>
      <c r="I1152" t="str">
        <f t="shared" si="125"/>
        <v>15</v>
      </c>
    </row>
    <row r="1153" spans="1:9" x14ac:dyDescent="0.25">
      <c r="A1153" s="19">
        <v>41731</v>
      </c>
      <c r="B1153" s="20">
        <v>0.05</v>
      </c>
      <c r="C1153" t="str">
        <f t="shared" si="119"/>
        <v>14</v>
      </c>
      <c r="D1153" t="str">
        <f t="shared" si="120"/>
        <v>04</v>
      </c>
      <c r="E1153" t="str">
        <f t="shared" si="121"/>
        <v>02</v>
      </c>
      <c r="F1153">
        <f t="shared" si="122"/>
        <v>2014</v>
      </c>
      <c r="G1153">
        <f t="shared" si="123"/>
        <v>4</v>
      </c>
      <c r="H1153">
        <f t="shared" si="124"/>
        <v>2</v>
      </c>
      <c r="I1153" t="str">
        <f t="shared" si="125"/>
        <v>14</v>
      </c>
    </row>
    <row r="1154" spans="1:9" x14ac:dyDescent="0.25">
      <c r="A1154" s="19">
        <v>42020</v>
      </c>
      <c r="B1154" s="20">
        <v>1.8749999999999999E-2</v>
      </c>
      <c r="C1154" t="str">
        <f t="shared" si="119"/>
        <v>15</v>
      </c>
      <c r="D1154" t="str">
        <f t="shared" si="120"/>
        <v>01</v>
      </c>
      <c r="E1154" t="str">
        <f t="shared" si="121"/>
        <v>16</v>
      </c>
      <c r="F1154">
        <f t="shared" si="122"/>
        <v>2015</v>
      </c>
      <c r="G1154">
        <f t="shared" si="123"/>
        <v>1</v>
      </c>
      <c r="H1154">
        <f t="shared" si="124"/>
        <v>16</v>
      </c>
      <c r="I1154" t="str">
        <f t="shared" si="125"/>
        <v>15</v>
      </c>
    </row>
    <row r="1155" spans="1:9" x14ac:dyDescent="0.25">
      <c r="A1155" s="19">
        <v>41714</v>
      </c>
      <c r="B1155" s="20">
        <v>6.7361111111111108E-2</v>
      </c>
      <c r="C1155" t="str">
        <f t="shared" ref="C1155:C1218" si="126">TEXT(A1155,"YY")</f>
        <v>14</v>
      </c>
      <c r="D1155" t="str">
        <f t="shared" ref="D1155:D1218" si="127">TEXT(A1155,"mm")</f>
        <v>03</v>
      </c>
      <c r="E1155" t="str">
        <f t="shared" ref="E1155:E1218" si="128">TEXT(A1155,"dd")</f>
        <v>16</v>
      </c>
      <c r="F1155">
        <f t="shared" ref="F1155:F1218" si="129">YEAR($A1155)</f>
        <v>2014</v>
      </c>
      <c r="G1155">
        <f t="shared" ref="G1155:G1218" si="130">MONTH($A1155)</f>
        <v>3</v>
      </c>
      <c r="H1155">
        <f t="shared" ref="H1155:H1218" si="131">DAY($A1155)</f>
        <v>16</v>
      </c>
      <c r="I1155" t="str">
        <f t="shared" ref="I1155:I1218" si="132">TEXT($A1155,"YY")</f>
        <v>14</v>
      </c>
    </row>
    <row r="1156" spans="1:9" x14ac:dyDescent="0.25">
      <c r="A1156" s="19">
        <v>42300</v>
      </c>
      <c r="B1156" s="20">
        <v>0.97152777777777777</v>
      </c>
      <c r="C1156" t="str">
        <f t="shared" si="126"/>
        <v>15</v>
      </c>
      <c r="D1156" t="str">
        <f t="shared" si="127"/>
        <v>10</v>
      </c>
      <c r="E1156" t="str">
        <f t="shared" si="128"/>
        <v>23</v>
      </c>
      <c r="F1156">
        <f t="shared" si="129"/>
        <v>2015</v>
      </c>
      <c r="G1156">
        <f t="shared" si="130"/>
        <v>10</v>
      </c>
      <c r="H1156">
        <f t="shared" si="131"/>
        <v>23</v>
      </c>
      <c r="I1156" t="str">
        <f t="shared" si="132"/>
        <v>15</v>
      </c>
    </row>
    <row r="1157" spans="1:9" x14ac:dyDescent="0.25">
      <c r="A1157" s="19">
        <v>41769</v>
      </c>
      <c r="B1157" s="20">
        <v>1.5972222222222221E-2</v>
      </c>
      <c r="C1157" t="str">
        <f t="shared" si="126"/>
        <v>14</v>
      </c>
      <c r="D1157" t="str">
        <f t="shared" si="127"/>
        <v>05</v>
      </c>
      <c r="E1157" t="str">
        <f t="shared" si="128"/>
        <v>10</v>
      </c>
      <c r="F1157">
        <f t="shared" si="129"/>
        <v>2014</v>
      </c>
      <c r="G1157">
        <f t="shared" si="130"/>
        <v>5</v>
      </c>
      <c r="H1157">
        <f t="shared" si="131"/>
        <v>10</v>
      </c>
      <c r="I1157" t="str">
        <f t="shared" si="132"/>
        <v>14</v>
      </c>
    </row>
    <row r="1158" spans="1:9" x14ac:dyDescent="0.25">
      <c r="A1158" s="19">
        <v>42174</v>
      </c>
      <c r="B1158" s="20">
        <v>0.95625000000000004</v>
      </c>
      <c r="C1158" t="str">
        <f t="shared" si="126"/>
        <v>15</v>
      </c>
      <c r="D1158" t="str">
        <f t="shared" si="127"/>
        <v>06</v>
      </c>
      <c r="E1158" t="str">
        <f t="shared" si="128"/>
        <v>19</v>
      </c>
      <c r="F1158">
        <f t="shared" si="129"/>
        <v>2015</v>
      </c>
      <c r="G1158">
        <f t="shared" si="130"/>
        <v>6</v>
      </c>
      <c r="H1158">
        <f t="shared" si="131"/>
        <v>19</v>
      </c>
      <c r="I1158" t="str">
        <f t="shared" si="132"/>
        <v>15</v>
      </c>
    </row>
    <row r="1159" spans="1:9" x14ac:dyDescent="0.25">
      <c r="A1159" s="19">
        <v>42003</v>
      </c>
      <c r="B1159" s="20">
        <v>2.4305555555555556E-2</v>
      </c>
      <c r="C1159" t="str">
        <f t="shared" si="126"/>
        <v>14</v>
      </c>
      <c r="D1159" t="str">
        <f t="shared" si="127"/>
        <v>12</v>
      </c>
      <c r="E1159" t="str">
        <f t="shared" si="128"/>
        <v>30</v>
      </c>
      <c r="F1159">
        <f t="shared" si="129"/>
        <v>2014</v>
      </c>
      <c r="G1159">
        <f t="shared" si="130"/>
        <v>12</v>
      </c>
      <c r="H1159">
        <f t="shared" si="131"/>
        <v>30</v>
      </c>
      <c r="I1159" t="str">
        <f t="shared" si="132"/>
        <v>14</v>
      </c>
    </row>
    <row r="1160" spans="1:9" x14ac:dyDescent="0.25">
      <c r="A1160" s="19">
        <v>41196</v>
      </c>
      <c r="B1160" s="20">
        <v>3.125E-2</v>
      </c>
      <c r="C1160" t="str">
        <f t="shared" si="126"/>
        <v>12</v>
      </c>
      <c r="D1160" t="str">
        <f t="shared" si="127"/>
        <v>10</v>
      </c>
      <c r="E1160" t="str">
        <f t="shared" si="128"/>
        <v>14</v>
      </c>
      <c r="F1160">
        <f t="shared" si="129"/>
        <v>2012</v>
      </c>
      <c r="G1160">
        <f t="shared" si="130"/>
        <v>10</v>
      </c>
      <c r="H1160">
        <f t="shared" si="131"/>
        <v>14</v>
      </c>
      <c r="I1160" t="str">
        <f t="shared" si="132"/>
        <v>12</v>
      </c>
    </row>
    <row r="1161" spans="1:9" x14ac:dyDescent="0.25">
      <c r="A1161" s="19">
        <v>41699</v>
      </c>
      <c r="B1161" s="20">
        <v>2.0833333333333332E-2</v>
      </c>
      <c r="C1161" t="str">
        <f t="shared" si="126"/>
        <v>14</v>
      </c>
      <c r="D1161" t="str">
        <f t="shared" si="127"/>
        <v>03</v>
      </c>
      <c r="E1161" t="str">
        <f t="shared" si="128"/>
        <v>01</v>
      </c>
      <c r="F1161">
        <f t="shared" si="129"/>
        <v>2014</v>
      </c>
      <c r="G1161">
        <f t="shared" si="130"/>
        <v>3</v>
      </c>
      <c r="H1161">
        <f t="shared" si="131"/>
        <v>1</v>
      </c>
      <c r="I1161" t="str">
        <f t="shared" si="132"/>
        <v>14</v>
      </c>
    </row>
    <row r="1162" spans="1:9" x14ac:dyDescent="0.25">
      <c r="A1162" s="19">
        <v>41805</v>
      </c>
      <c r="B1162" s="20">
        <v>2.9861111111111113E-2</v>
      </c>
      <c r="C1162" t="str">
        <f t="shared" si="126"/>
        <v>14</v>
      </c>
      <c r="D1162" t="str">
        <f t="shared" si="127"/>
        <v>06</v>
      </c>
      <c r="E1162" t="str">
        <f t="shared" si="128"/>
        <v>15</v>
      </c>
      <c r="F1162">
        <f t="shared" si="129"/>
        <v>2014</v>
      </c>
      <c r="G1162">
        <f t="shared" si="130"/>
        <v>6</v>
      </c>
      <c r="H1162">
        <f t="shared" si="131"/>
        <v>15</v>
      </c>
      <c r="I1162" t="str">
        <f t="shared" si="132"/>
        <v>14</v>
      </c>
    </row>
    <row r="1163" spans="1:9" x14ac:dyDescent="0.25">
      <c r="A1163" s="19">
        <v>42004</v>
      </c>
      <c r="B1163" s="20">
        <v>7.7083333333333337E-2</v>
      </c>
      <c r="C1163" t="str">
        <f t="shared" si="126"/>
        <v>14</v>
      </c>
      <c r="D1163" t="str">
        <f t="shared" si="127"/>
        <v>12</v>
      </c>
      <c r="E1163" t="str">
        <f t="shared" si="128"/>
        <v>31</v>
      </c>
      <c r="F1163">
        <f t="shared" si="129"/>
        <v>2014</v>
      </c>
      <c r="G1163">
        <f t="shared" si="130"/>
        <v>12</v>
      </c>
      <c r="H1163">
        <f t="shared" si="131"/>
        <v>31</v>
      </c>
      <c r="I1163" t="str">
        <f t="shared" si="132"/>
        <v>14</v>
      </c>
    </row>
    <row r="1164" spans="1:9" x14ac:dyDescent="0.25">
      <c r="A1164" s="19">
        <v>42284</v>
      </c>
      <c r="B1164" s="20">
        <v>0.95763888888888893</v>
      </c>
      <c r="C1164" t="str">
        <f t="shared" si="126"/>
        <v>15</v>
      </c>
      <c r="D1164" t="str">
        <f t="shared" si="127"/>
        <v>10</v>
      </c>
      <c r="E1164" t="str">
        <f t="shared" si="128"/>
        <v>07</v>
      </c>
      <c r="F1164">
        <f t="shared" si="129"/>
        <v>2015</v>
      </c>
      <c r="G1164">
        <f t="shared" si="130"/>
        <v>10</v>
      </c>
      <c r="H1164">
        <f t="shared" si="131"/>
        <v>7</v>
      </c>
      <c r="I1164" t="str">
        <f t="shared" si="132"/>
        <v>15</v>
      </c>
    </row>
    <row r="1165" spans="1:9" x14ac:dyDescent="0.25">
      <c r="A1165" s="19">
        <v>41723</v>
      </c>
      <c r="B1165" s="20">
        <v>6.9444444444444447E-4</v>
      </c>
      <c r="C1165" t="str">
        <f t="shared" si="126"/>
        <v>14</v>
      </c>
      <c r="D1165" t="str">
        <f t="shared" si="127"/>
        <v>03</v>
      </c>
      <c r="E1165" t="str">
        <f t="shared" si="128"/>
        <v>25</v>
      </c>
      <c r="F1165">
        <f t="shared" si="129"/>
        <v>2014</v>
      </c>
      <c r="G1165">
        <f t="shared" si="130"/>
        <v>3</v>
      </c>
      <c r="H1165">
        <f t="shared" si="131"/>
        <v>25</v>
      </c>
      <c r="I1165" t="str">
        <f t="shared" si="132"/>
        <v>14</v>
      </c>
    </row>
    <row r="1166" spans="1:9" x14ac:dyDescent="0.25">
      <c r="A1166" s="19">
        <v>41123</v>
      </c>
      <c r="B1166" s="20">
        <v>0.10138888888888889</v>
      </c>
      <c r="C1166" t="str">
        <f t="shared" si="126"/>
        <v>12</v>
      </c>
      <c r="D1166" t="str">
        <f t="shared" si="127"/>
        <v>08</v>
      </c>
      <c r="E1166" t="str">
        <f t="shared" si="128"/>
        <v>02</v>
      </c>
      <c r="F1166">
        <f t="shared" si="129"/>
        <v>2012</v>
      </c>
      <c r="G1166">
        <f t="shared" si="130"/>
        <v>8</v>
      </c>
      <c r="H1166">
        <f t="shared" si="131"/>
        <v>2</v>
      </c>
      <c r="I1166" t="str">
        <f t="shared" si="132"/>
        <v>12</v>
      </c>
    </row>
    <row r="1167" spans="1:9" x14ac:dyDescent="0.25">
      <c r="A1167" s="19">
        <v>41760</v>
      </c>
      <c r="B1167" s="20">
        <v>0.97847222222222219</v>
      </c>
      <c r="C1167" t="str">
        <f t="shared" si="126"/>
        <v>14</v>
      </c>
      <c r="D1167" t="str">
        <f t="shared" si="127"/>
        <v>05</v>
      </c>
      <c r="E1167" t="str">
        <f t="shared" si="128"/>
        <v>01</v>
      </c>
      <c r="F1167">
        <f t="shared" si="129"/>
        <v>2014</v>
      </c>
      <c r="G1167">
        <f t="shared" si="130"/>
        <v>5</v>
      </c>
      <c r="H1167">
        <f t="shared" si="131"/>
        <v>1</v>
      </c>
      <c r="I1167" t="str">
        <f t="shared" si="132"/>
        <v>14</v>
      </c>
    </row>
    <row r="1168" spans="1:9" x14ac:dyDescent="0.25">
      <c r="A1168" s="19">
        <v>41355</v>
      </c>
      <c r="B1168" s="20">
        <v>6.9444444444444441E-3</v>
      </c>
      <c r="C1168" t="str">
        <f t="shared" si="126"/>
        <v>13</v>
      </c>
      <c r="D1168" t="str">
        <f t="shared" si="127"/>
        <v>03</v>
      </c>
      <c r="E1168" t="str">
        <f t="shared" si="128"/>
        <v>22</v>
      </c>
      <c r="F1168">
        <f t="shared" si="129"/>
        <v>2013</v>
      </c>
      <c r="G1168">
        <f t="shared" si="130"/>
        <v>3</v>
      </c>
      <c r="H1168">
        <f t="shared" si="131"/>
        <v>22</v>
      </c>
      <c r="I1168" t="str">
        <f t="shared" si="132"/>
        <v>13</v>
      </c>
    </row>
    <row r="1169" spans="1:9" x14ac:dyDescent="0.25">
      <c r="A1169" s="19">
        <v>41762</v>
      </c>
      <c r="B1169" s="20">
        <v>3.8194444444444448E-2</v>
      </c>
      <c r="C1169" t="str">
        <f t="shared" si="126"/>
        <v>14</v>
      </c>
      <c r="D1169" t="str">
        <f t="shared" si="127"/>
        <v>05</v>
      </c>
      <c r="E1169" t="str">
        <f t="shared" si="128"/>
        <v>03</v>
      </c>
      <c r="F1169">
        <f t="shared" si="129"/>
        <v>2014</v>
      </c>
      <c r="G1169">
        <f t="shared" si="130"/>
        <v>5</v>
      </c>
      <c r="H1169">
        <f t="shared" si="131"/>
        <v>3</v>
      </c>
      <c r="I1169" t="str">
        <f t="shared" si="132"/>
        <v>14</v>
      </c>
    </row>
    <row r="1170" spans="1:9" x14ac:dyDescent="0.25">
      <c r="A1170" s="19">
        <v>42545</v>
      </c>
      <c r="B1170" s="20">
        <v>0.95972222222222225</v>
      </c>
      <c r="C1170" t="str">
        <f t="shared" si="126"/>
        <v>16</v>
      </c>
      <c r="D1170" t="str">
        <f t="shared" si="127"/>
        <v>06</v>
      </c>
      <c r="E1170" t="str">
        <f t="shared" si="128"/>
        <v>24</v>
      </c>
      <c r="F1170">
        <f t="shared" si="129"/>
        <v>2016</v>
      </c>
      <c r="G1170">
        <f t="shared" si="130"/>
        <v>6</v>
      </c>
      <c r="H1170">
        <f t="shared" si="131"/>
        <v>24</v>
      </c>
      <c r="I1170" t="str">
        <f t="shared" si="132"/>
        <v>16</v>
      </c>
    </row>
    <row r="1171" spans="1:9" x14ac:dyDescent="0.25">
      <c r="A1171" s="19">
        <v>41898</v>
      </c>
      <c r="B1171" s="20">
        <v>0.96319444444444446</v>
      </c>
      <c r="C1171" t="str">
        <f t="shared" si="126"/>
        <v>14</v>
      </c>
      <c r="D1171" t="str">
        <f t="shared" si="127"/>
        <v>09</v>
      </c>
      <c r="E1171" t="str">
        <f t="shared" si="128"/>
        <v>16</v>
      </c>
      <c r="F1171">
        <f t="shared" si="129"/>
        <v>2014</v>
      </c>
      <c r="G1171">
        <f t="shared" si="130"/>
        <v>9</v>
      </c>
      <c r="H1171">
        <f t="shared" si="131"/>
        <v>16</v>
      </c>
      <c r="I1171" t="str">
        <f t="shared" si="132"/>
        <v>14</v>
      </c>
    </row>
    <row r="1172" spans="1:9" x14ac:dyDescent="0.25">
      <c r="A1172" s="19">
        <v>41927</v>
      </c>
      <c r="B1172" s="20">
        <v>1.6666666666666666E-2</v>
      </c>
      <c r="C1172" t="str">
        <f t="shared" si="126"/>
        <v>14</v>
      </c>
      <c r="D1172" t="str">
        <f t="shared" si="127"/>
        <v>10</v>
      </c>
      <c r="E1172" t="str">
        <f t="shared" si="128"/>
        <v>15</v>
      </c>
      <c r="F1172">
        <f t="shared" si="129"/>
        <v>2014</v>
      </c>
      <c r="G1172">
        <f t="shared" si="130"/>
        <v>10</v>
      </c>
      <c r="H1172">
        <f t="shared" si="131"/>
        <v>15</v>
      </c>
      <c r="I1172" t="str">
        <f t="shared" si="132"/>
        <v>14</v>
      </c>
    </row>
    <row r="1173" spans="1:9" x14ac:dyDescent="0.25">
      <c r="A1173" s="19">
        <v>41951</v>
      </c>
      <c r="B1173" s="20">
        <v>6.2500000000000003E-3</v>
      </c>
      <c r="C1173" t="str">
        <f t="shared" si="126"/>
        <v>14</v>
      </c>
      <c r="D1173" t="str">
        <f t="shared" si="127"/>
        <v>11</v>
      </c>
      <c r="E1173" t="str">
        <f t="shared" si="128"/>
        <v>08</v>
      </c>
      <c r="F1173">
        <f t="shared" si="129"/>
        <v>2014</v>
      </c>
      <c r="G1173">
        <f t="shared" si="130"/>
        <v>11</v>
      </c>
      <c r="H1173">
        <f t="shared" si="131"/>
        <v>8</v>
      </c>
      <c r="I1173" t="str">
        <f t="shared" si="132"/>
        <v>14</v>
      </c>
    </row>
    <row r="1174" spans="1:9" x14ac:dyDescent="0.25">
      <c r="A1174" s="19">
        <v>41800</v>
      </c>
      <c r="B1174" s="20">
        <v>0.99791666666666667</v>
      </c>
      <c r="C1174" t="str">
        <f t="shared" si="126"/>
        <v>14</v>
      </c>
      <c r="D1174" t="str">
        <f t="shared" si="127"/>
        <v>06</v>
      </c>
      <c r="E1174" t="str">
        <f t="shared" si="128"/>
        <v>10</v>
      </c>
      <c r="F1174">
        <f t="shared" si="129"/>
        <v>2014</v>
      </c>
      <c r="G1174">
        <f t="shared" si="130"/>
        <v>6</v>
      </c>
      <c r="H1174">
        <f t="shared" si="131"/>
        <v>10</v>
      </c>
      <c r="I1174" t="str">
        <f t="shared" si="132"/>
        <v>14</v>
      </c>
    </row>
    <row r="1175" spans="1:9" x14ac:dyDescent="0.25">
      <c r="A1175" s="19">
        <v>41126</v>
      </c>
      <c r="B1175" s="20">
        <v>7.4999999999999997E-2</v>
      </c>
      <c r="C1175" t="str">
        <f t="shared" si="126"/>
        <v>12</v>
      </c>
      <c r="D1175" t="str">
        <f t="shared" si="127"/>
        <v>08</v>
      </c>
      <c r="E1175" t="str">
        <f t="shared" si="128"/>
        <v>05</v>
      </c>
      <c r="F1175">
        <f t="shared" si="129"/>
        <v>2012</v>
      </c>
      <c r="G1175">
        <f t="shared" si="130"/>
        <v>8</v>
      </c>
      <c r="H1175">
        <f t="shared" si="131"/>
        <v>5</v>
      </c>
      <c r="I1175" t="str">
        <f t="shared" si="132"/>
        <v>12</v>
      </c>
    </row>
    <row r="1176" spans="1:9" x14ac:dyDescent="0.25">
      <c r="A1176" s="19">
        <v>41843</v>
      </c>
      <c r="B1176" s="20">
        <v>7.0833333333333331E-2</v>
      </c>
      <c r="C1176" t="str">
        <f t="shared" si="126"/>
        <v>14</v>
      </c>
      <c r="D1176" t="str">
        <f t="shared" si="127"/>
        <v>07</v>
      </c>
      <c r="E1176" t="str">
        <f t="shared" si="128"/>
        <v>23</v>
      </c>
      <c r="F1176">
        <f t="shared" si="129"/>
        <v>2014</v>
      </c>
      <c r="G1176">
        <f t="shared" si="130"/>
        <v>7</v>
      </c>
      <c r="H1176">
        <f t="shared" si="131"/>
        <v>23</v>
      </c>
      <c r="I1176" t="str">
        <f t="shared" si="132"/>
        <v>14</v>
      </c>
    </row>
    <row r="1177" spans="1:9" x14ac:dyDescent="0.25">
      <c r="A1177" s="19">
        <v>42499</v>
      </c>
      <c r="B1177" s="20">
        <v>0.99375000000000002</v>
      </c>
      <c r="C1177" t="str">
        <f t="shared" si="126"/>
        <v>16</v>
      </c>
      <c r="D1177" t="str">
        <f t="shared" si="127"/>
        <v>05</v>
      </c>
      <c r="E1177" t="str">
        <f t="shared" si="128"/>
        <v>09</v>
      </c>
      <c r="F1177">
        <f t="shared" si="129"/>
        <v>2016</v>
      </c>
      <c r="G1177">
        <f t="shared" si="130"/>
        <v>5</v>
      </c>
      <c r="H1177">
        <f t="shared" si="131"/>
        <v>9</v>
      </c>
      <c r="I1177" t="str">
        <f t="shared" si="132"/>
        <v>16</v>
      </c>
    </row>
    <row r="1178" spans="1:9" x14ac:dyDescent="0.25">
      <c r="A1178" s="19">
        <v>42490</v>
      </c>
      <c r="B1178" s="20">
        <v>0.99444444444444446</v>
      </c>
      <c r="C1178" t="str">
        <f t="shared" si="126"/>
        <v>16</v>
      </c>
      <c r="D1178" t="str">
        <f t="shared" si="127"/>
        <v>04</v>
      </c>
      <c r="E1178" t="str">
        <f t="shared" si="128"/>
        <v>30</v>
      </c>
      <c r="F1178">
        <f t="shared" si="129"/>
        <v>2016</v>
      </c>
      <c r="G1178">
        <f t="shared" si="130"/>
        <v>4</v>
      </c>
      <c r="H1178">
        <f t="shared" si="131"/>
        <v>30</v>
      </c>
      <c r="I1178" t="str">
        <f t="shared" si="132"/>
        <v>16</v>
      </c>
    </row>
    <row r="1179" spans="1:9" x14ac:dyDescent="0.25">
      <c r="A1179" s="19">
        <v>42393</v>
      </c>
      <c r="B1179" s="20">
        <v>4.027777777777778E-2</v>
      </c>
      <c r="C1179" t="str">
        <f t="shared" si="126"/>
        <v>16</v>
      </c>
      <c r="D1179" t="str">
        <f t="shared" si="127"/>
        <v>01</v>
      </c>
      <c r="E1179" t="str">
        <f t="shared" si="128"/>
        <v>24</v>
      </c>
      <c r="F1179">
        <f t="shared" si="129"/>
        <v>2016</v>
      </c>
      <c r="G1179">
        <f t="shared" si="130"/>
        <v>1</v>
      </c>
      <c r="H1179">
        <f t="shared" si="131"/>
        <v>24</v>
      </c>
      <c r="I1179" t="str">
        <f t="shared" si="132"/>
        <v>16</v>
      </c>
    </row>
    <row r="1180" spans="1:9" x14ac:dyDescent="0.25">
      <c r="A1180" s="19">
        <v>41580</v>
      </c>
      <c r="B1180" s="20">
        <v>7.6388888888888886E-3</v>
      </c>
      <c r="C1180" t="str">
        <f t="shared" si="126"/>
        <v>13</v>
      </c>
      <c r="D1180" t="str">
        <f t="shared" si="127"/>
        <v>11</v>
      </c>
      <c r="E1180" t="str">
        <f t="shared" si="128"/>
        <v>02</v>
      </c>
      <c r="F1180">
        <f t="shared" si="129"/>
        <v>2013</v>
      </c>
      <c r="G1180">
        <f t="shared" si="130"/>
        <v>11</v>
      </c>
      <c r="H1180">
        <f t="shared" si="131"/>
        <v>2</v>
      </c>
      <c r="I1180" t="str">
        <f t="shared" si="132"/>
        <v>13</v>
      </c>
    </row>
    <row r="1181" spans="1:9" x14ac:dyDescent="0.25">
      <c r="A1181" s="19">
        <v>41317</v>
      </c>
      <c r="B1181" s="20">
        <v>6.9444444444444441E-3</v>
      </c>
      <c r="C1181" t="str">
        <f t="shared" si="126"/>
        <v>13</v>
      </c>
      <c r="D1181" t="str">
        <f t="shared" si="127"/>
        <v>02</v>
      </c>
      <c r="E1181" t="str">
        <f t="shared" si="128"/>
        <v>12</v>
      </c>
      <c r="F1181">
        <f t="shared" si="129"/>
        <v>2013</v>
      </c>
      <c r="G1181">
        <f t="shared" si="130"/>
        <v>2</v>
      </c>
      <c r="H1181">
        <f t="shared" si="131"/>
        <v>12</v>
      </c>
      <c r="I1181" t="str">
        <f t="shared" si="132"/>
        <v>13</v>
      </c>
    </row>
    <row r="1182" spans="1:9" x14ac:dyDescent="0.25">
      <c r="A1182" s="19">
        <v>42219</v>
      </c>
      <c r="B1182" s="20">
        <v>1.8749999999999999E-2</v>
      </c>
      <c r="C1182" t="str">
        <f t="shared" si="126"/>
        <v>15</v>
      </c>
      <c r="D1182" t="str">
        <f t="shared" si="127"/>
        <v>08</v>
      </c>
      <c r="E1182" t="str">
        <f t="shared" si="128"/>
        <v>03</v>
      </c>
      <c r="F1182">
        <f t="shared" si="129"/>
        <v>2015</v>
      </c>
      <c r="G1182">
        <f t="shared" si="130"/>
        <v>8</v>
      </c>
      <c r="H1182">
        <f t="shared" si="131"/>
        <v>3</v>
      </c>
      <c r="I1182" t="str">
        <f t="shared" si="132"/>
        <v>15</v>
      </c>
    </row>
    <row r="1183" spans="1:9" x14ac:dyDescent="0.25">
      <c r="A1183" s="19">
        <v>41475</v>
      </c>
      <c r="B1183" s="20">
        <v>6.3888888888888884E-2</v>
      </c>
      <c r="C1183" t="str">
        <f t="shared" si="126"/>
        <v>13</v>
      </c>
      <c r="D1183" t="str">
        <f t="shared" si="127"/>
        <v>07</v>
      </c>
      <c r="E1183" t="str">
        <f t="shared" si="128"/>
        <v>20</v>
      </c>
      <c r="F1183">
        <f t="shared" si="129"/>
        <v>2013</v>
      </c>
      <c r="G1183">
        <f t="shared" si="130"/>
        <v>7</v>
      </c>
      <c r="H1183">
        <f t="shared" si="131"/>
        <v>20</v>
      </c>
      <c r="I1183" t="str">
        <f t="shared" si="132"/>
        <v>13</v>
      </c>
    </row>
    <row r="1184" spans="1:9" x14ac:dyDescent="0.25">
      <c r="A1184" s="19">
        <v>41966</v>
      </c>
      <c r="B1184" s="20">
        <v>0.98124999999999996</v>
      </c>
      <c r="C1184" t="str">
        <f t="shared" si="126"/>
        <v>14</v>
      </c>
      <c r="D1184" t="str">
        <f t="shared" si="127"/>
        <v>11</v>
      </c>
      <c r="E1184" t="str">
        <f t="shared" si="128"/>
        <v>23</v>
      </c>
      <c r="F1184">
        <f t="shared" si="129"/>
        <v>2014</v>
      </c>
      <c r="G1184">
        <f t="shared" si="130"/>
        <v>11</v>
      </c>
      <c r="H1184">
        <f t="shared" si="131"/>
        <v>23</v>
      </c>
      <c r="I1184" t="str">
        <f t="shared" si="132"/>
        <v>14</v>
      </c>
    </row>
    <row r="1185" spans="1:9" x14ac:dyDescent="0.25">
      <c r="A1185" s="19">
        <v>41632</v>
      </c>
      <c r="B1185" s="20">
        <v>7.1527777777777773E-2</v>
      </c>
      <c r="C1185" t="str">
        <f t="shared" si="126"/>
        <v>13</v>
      </c>
      <c r="D1185" t="str">
        <f t="shared" si="127"/>
        <v>12</v>
      </c>
      <c r="E1185" t="str">
        <f t="shared" si="128"/>
        <v>24</v>
      </c>
      <c r="F1185">
        <f t="shared" si="129"/>
        <v>2013</v>
      </c>
      <c r="G1185">
        <f t="shared" si="130"/>
        <v>12</v>
      </c>
      <c r="H1185">
        <f t="shared" si="131"/>
        <v>24</v>
      </c>
      <c r="I1185" t="str">
        <f t="shared" si="132"/>
        <v>13</v>
      </c>
    </row>
    <row r="1186" spans="1:9" x14ac:dyDescent="0.25">
      <c r="A1186" s="19">
        <v>41574</v>
      </c>
      <c r="B1186" s="20">
        <v>0.94513888888888886</v>
      </c>
      <c r="C1186" t="str">
        <f t="shared" si="126"/>
        <v>13</v>
      </c>
      <c r="D1186" t="str">
        <f t="shared" si="127"/>
        <v>10</v>
      </c>
      <c r="E1186" t="str">
        <f t="shared" si="128"/>
        <v>27</v>
      </c>
      <c r="F1186">
        <f t="shared" si="129"/>
        <v>2013</v>
      </c>
      <c r="G1186">
        <f t="shared" si="130"/>
        <v>10</v>
      </c>
      <c r="H1186">
        <f t="shared" si="131"/>
        <v>27</v>
      </c>
      <c r="I1186" t="str">
        <f t="shared" si="132"/>
        <v>13</v>
      </c>
    </row>
    <row r="1187" spans="1:9" x14ac:dyDescent="0.25">
      <c r="A1187" s="19">
        <v>41895</v>
      </c>
      <c r="B1187" s="20">
        <v>3.0555555555555555E-2</v>
      </c>
      <c r="C1187" t="str">
        <f t="shared" si="126"/>
        <v>14</v>
      </c>
      <c r="D1187" t="str">
        <f t="shared" si="127"/>
        <v>09</v>
      </c>
      <c r="E1187" t="str">
        <f t="shared" si="128"/>
        <v>13</v>
      </c>
      <c r="F1187">
        <f t="shared" si="129"/>
        <v>2014</v>
      </c>
      <c r="G1187">
        <f t="shared" si="130"/>
        <v>9</v>
      </c>
      <c r="H1187">
        <f t="shared" si="131"/>
        <v>13</v>
      </c>
      <c r="I1187" t="str">
        <f t="shared" si="132"/>
        <v>14</v>
      </c>
    </row>
    <row r="1188" spans="1:9" x14ac:dyDescent="0.25">
      <c r="A1188" s="19">
        <v>41776</v>
      </c>
      <c r="B1188" s="20">
        <v>3.6805555555555557E-2</v>
      </c>
      <c r="C1188" t="str">
        <f t="shared" si="126"/>
        <v>14</v>
      </c>
      <c r="D1188" t="str">
        <f t="shared" si="127"/>
        <v>05</v>
      </c>
      <c r="E1188" t="str">
        <f t="shared" si="128"/>
        <v>17</v>
      </c>
      <c r="F1188">
        <f t="shared" si="129"/>
        <v>2014</v>
      </c>
      <c r="G1188">
        <f t="shared" si="130"/>
        <v>5</v>
      </c>
      <c r="H1188">
        <f t="shared" si="131"/>
        <v>17</v>
      </c>
      <c r="I1188" t="str">
        <f t="shared" si="132"/>
        <v>14</v>
      </c>
    </row>
    <row r="1189" spans="1:9" x14ac:dyDescent="0.25">
      <c r="A1189" s="19">
        <v>41439</v>
      </c>
      <c r="B1189" s="20">
        <v>0.99791666666666667</v>
      </c>
      <c r="C1189" t="str">
        <f t="shared" si="126"/>
        <v>13</v>
      </c>
      <c r="D1189" t="str">
        <f t="shared" si="127"/>
        <v>06</v>
      </c>
      <c r="E1189" t="str">
        <f t="shared" si="128"/>
        <v>14</v>
      </c>
      <c r="F1189">
        <f t="shared" si="129"/>
        <v>2013</v>
      </c>
      <c r="G1189">
        <f t="shared" si="130"/>
        <v>6</v>
      </c>
      <c r="H1189">
        <f t="shared" si="131"/>
        <v>14</v>
      </c>
      <c r="I1189" t="str">
        <f t="shared" si="132"/>
        <v>13</v>
      </c>
    </row>
    <row r="1190" spans="1:9" x14ac:dyDescent="0.25">
      <c r="A1190" s="19">
        <v>42510</v>
      </c>
      <c r="B1190" s="20">
        <v>2.5000000000000001E-2</v>
      </c>
      <c r="C1190" t="str">
        <f t="shared" si="126"/>
        <v>16</v>
      </c>
      <c r="D1190" t="str">
        <f t="shared" si="127"/>
        <v>05</v>
      </c>
      <c r="E1190" t="str">
        <f t="shared" si="128"/>
        <v>20</v>
      </c>
      <c r="F1190">
        <f t="shared" si="129"/>
        <v>2016</v>
      </c>
      <c r="G1190">
        <f t="shared" si="130"/>
        <v>5</v>
      </c>
      <c r="H1190">
        <f t="shared" si="131"/>
        <v>20</v>
      </c>
      <c r="I1190" t="str">
        <f t="shared" si="132"/>
        <v>16</v>
      </c>
    </row>
    <row r="1191" spans="1:9" x14ac:dyDescent="0.25">
      <c r="A1191" s="19">
        <v>41566</v>
      </c>
      <c r="B1191" s="20">
        <v>8.3333333333333332E-3</v>
      </c>
      <c r="C1191" t="str">
        <f t="shared" si="126"/>
        <v>13</v>
      </c>
      <c r="D1191" t="str">
        <f t="shared" si="127"/>
        <v>10</v>
      </c>
      <c r="E1191" t="str">
        <f t="shared" si="128"/>
        <v>19</v>
      </c>
      <c r="F1191">
        <f t="shared" si="129"/>
        <v>2013</v>
      </c>
      <c r="G1191">
        <f t="shared" si="130"/>
        <v>10</v>
      </c>
      <c r="H1191">
        <f t="shared" si="131"/>
        <v>19</v>
      </c>
      <c r="I1191" t="str">
        <f t="shared" si="132"/>
        <v>13</v>
      </c>
    </row>
    <row r="1192" spans="1:9" x14ac:dyDescent="0.25">
      <c r="A1192" s="19">
        <v>42012</v>
      </c>
      <c r="B1192" s="20">
        <v>4.4444444444444446E-2</v>
      </c>
      <c r="C1192" t="str">
        <f t="shared" si="126"/>
        <v>15</v>
      </c>
      <c r="D1192" t="str">
        <f t="shared" si="127"/>
        <v>01</v>
      </c>
      <c r="E1192" t="str">
        <f t="shared" si="128"/>
        <v>08</v>
      </c>
      <c r="F1192">
        <f t="shared" si="129"/>
        <v>2015</v>
      </c>
      <c r="G1192">
        <f t="shared" si="130"/>
        <v>1</v>
      </c>
      <c r="H1192">
        <f t="shared" si="131"/>
        <v>8</v>
      </c>
      <c r="I1192" t="str">
        <f t="shared" si="132"/>
        <v>15</v>
      </c>
    </row>
    <row r="1193" spans="1:9" x14ac:dyDescent="0.25">
      <c r="A1193" s="19">
        <v>41515</v>
      </c>
      <c r="B1193" s="20">
        <v>4.9305555555555554E-2</v>
      </c>
      <c r="C1193" t="str">
        <f t="shared" si="126"/>
        <v>13</v>
      </c>
      <c r="D1193" t="str">
        <f t="shared" si="127"/>
        <v>08</v>
      </c>
      <c r="E1193" t="str">
        <f t="shared" si="128"/>
        <v>29</v>
      </c>
      <c r="F1193">
        <f t="shared" si="129"/>
        <v>2013</v>
      </c>
      <c r="G1193">
        <f t="shared" si="130"/>
        <v>8</v>
      </c>
      <c r="H1193">
        <f t="shared" si="131"/>
        <v>29</v>
      </c>
      <c r="I1193" t="str">
        <f t="shared" si="132"/>
        <v>13</v>
      </c>
    </row>
    <row r="1194" spans="1:9" x14ac:dyDescent="0.25">
      <c r="A1194" s="19">
        <v>41194</v>
      </c>
      <c r="B1194" s="20">
        <v>1.0416666666666666E-2</v>
      </c>
      <c r="C1194" t="str">
        <f t="shared" si="126"/>
        <v>12</v>
      </c>
      <c r="D1194" t="str">
        <f t="shared" si="127"/>
        <v>10</v>
      </c>
      <c r="E1194" t="str">
        <f t="shared" si="128"/>
        <v>12</v>
      </c>
      <c r="F1194">
        <f t="shared" si="129"/>
        <v>2012</v>
      </c>
      <c r="G1194">
        <f t="shared" si="130"/>
        <v>10</v>
      </c>
      <c r="H1194">
        <f t="shared" si="131"/>
        <v>12</v>
      </c>
      <c r="I1194" t="str">
        <f t="shared" si="132"/>
        <v>12</v>
      </c>
    </row>
    <row r="1195" spans="1:9" x14ac:dyDescent="0.25">
      <c r="A1195" s="19">
        <v>41883</v>
      </c>
      <c r="B1195" s="20">
        <v>0.99097222222222225</v>
      </c>
      <c r="C1195" t="str">
        <f t="shared" si="126"/>
        <v>14</v>
      </c>
      <c r="D1195" t="str">
        <f t="shared" si="127"/>
        <v>09</v>
      </c>
      <c r="E1195" t="str">
        <f t="shared" si="128"/>
        <v>01</v>
      </c>
      <c r="F1195">
        <f t="shared" si="129"/>
        <v>2014</v>
      </c>
      <c r="G1195">
        <f t="shared" si="130"/>
        <v>9</v>
      </c>
      <c r="H1195">
        <f t="shared" si="131"/>
        <v>1</v>
      </c>
      <c r="I1195" t="str">
        <f t="shared" si="132"/>
        <v>14</v>
      </c>
    </row>
    <row r="1196" spans="1:9" x14ac:dyDescent="0.25">
      <c r="A1196" s="19">
        <v>41824</v>
      </c>
      <c r="B1196" s="20">
        <v>3.4722222222222224E-2</v>
      </c>
      <c r="C1196" t="str">
        <f t="shared" si="126"/>
        <v>14</v>
      </c>
      <c r="D1196" t="str">
        <f t="shared" si="127"/>
        <v>07</v>
      </c>
      <c r="E1196" t="str">
        <f t="shared" si="128"/>
        <v>04</v>
      </c>
      <c r="F1196">
        <f t="shared" si="129"/>
        <v>2014</v>
      </c>
      <c r="G1196">
        <f t="shared" si="130"/>
        <v>7</v>
      </c>
      <c r="H1196">
        <f t="shared" si="131"/>
        <v>4</v>
      </c>
      <c r="I1196" t="str">
        <f t="shared" si="132"/>
        <v>14</v>
      </c>
    </row>
    <row r="1197" spans="1:9" x14ac:dyDescent="0.25">
      <c r="A1197" s="19">
        <v>42057</v>
      </c>
      <c r="B1197" s="20">
        <v>5.8333333333333334E-2</v>
      </c>
      <c r="C1197" t="str">
        <f t="shared" si="126"/>
        <v>15</v>
      </c>
      <c r="D1197" t="str">
        <f t="shared" si="127"/>
        <v>02</v>
      </c>
      <c r="E1197" t="str">
        <f t="shared" si="128"/>
        <v>22</v>
      </c>
      <c r="F1197">
        <f t="shared" si="129"/>
        <v>2015</v>
      </c>
      <c r="G1197">
        <f t="shared" si="130"/>
        <v>2</v>
      </c>
      <c r="H1197">
        <f t="shared" si="131"/>
        <v>22</v>
      </c>
      <c r="I1197" t="str">
        <f t="shared" si="132"/>
        <v>15</v>
      </c>
    </row>
    <row r="1198" spans="1:9" x14ac:dyDescent="0.25">
      <c r="A1198" s="19">
        <v>41616</v>
      </c>
      <c r="B1198" s="20">
        <v>6.2500000000000003E-3</v>
      </c>
      <c r="C1198" t="str">
        <f t="shared" si="126"/>
        <v>13</v>
      </c>
      <c r="D1198" t="str">
        <f t="shared" si="127"/>
        <v>12</v>
      </c>
      <c r="E1198" t="str">
        <f t="shared" si="128"/>
        <v>08</v>
      </c>
      <c r="F1198">
        <f t="shared" si="129"/>
        <v>2013</v>
      </c>
      <c r="G1198">
        <f t="shared" si="130"/>
        <v>12</v>
      </c>
      <c r="H1198">
        <f t="shared" si="131"/>
        <v>8</v>
      </c>
      <c r="I1198" t="str">
        <f t="shared" si="132"/>
        <v>13</v>
      </c>
    </row>
    <row r="1199" spans="1:9" x14ac:dyDescent="0.25">
      <c r="A1199" s="19">
        <v>41747</v>
      </c>
      <c r="B1199" s="20">
        <v>0.95486111111111116</v>
      </c>
      <c r="C1199" t="str">
        <f t="shared" si="126"/>
        <v>14</v>
      </c>
      <c r="D1199" t="str">
        <f t="shared" si="127"/>
        <v>04</v>
      </c>
      <c r="E1199" t="str">
        <f t="shared" si="128"/>
        <v>18</v>
      </c>
      <c r="F1199">
        <f t="shared" si="129"/>
        <v>2014</v>
      </c>
      <c r="G1199">
        <f t="shared" si="130"/>
        <v>4</v>
      </c>
      <c r="H1199">
        <f t="shared" si="131"/>
        <v>18</v>
      </c>
      <c r="I1199" t="str">
        <f t="shared" si="132"/>
        <v>14</v>
      </c>
    </row>
    <row r="1200" spans="1:9" x14ac:dyDescent="0.25">
      <c r="A1200" s="19">
        <v>42713</v>
      </c>
      <c r="B1200" s="20">
        <v>0</v>
      </c>
      <c r="C1200" t="str">
        <f t="shared" si="126"/>
        <v>16</v>
      </c>
      <c r="D1200" t="str">
        <f t="shared" si="127"/>
        <v>12</v>
      </c>
      <c r="E1200" t="str">
        <f t="shared" si="128"/>
        <v>09</v>
      </c>
      <c r="F1200">
        <f t="shared" si="129"/>
        <v>2016</v>
      </c>
      <c r="G1200">
        <f t="shared" si="130"/>
        <v>12</v>
      </c>
      <c r="H1200">
        <f t="shared" si="131"/>
        <v>9</v>
      </c>
      <c r="I1200" t="str">
        <f t="shared" si="132"/>
        <v>16</v>
      </c>
    </row>
    <row r="1201" spans="1:9" x14ac:dyDescent="0.25">
      <c r="A1201" s="19">
        <v>41624</v>
      </c>
      <c r="B1201" s="20">
        <v>4.8611111111111112E-2</v>
      </c>
      <c r="C1201" t="str">
        <f t="shared" si="126"/>
        <v>13</v>
      </c>
      <c r="D1201" t="str">
        <f t="shared" si="127"/>
        <v>12</v>
      </c>
      <c r="E1201" t="str">
        <f t="shared" si="128"/>
        <v>16</v>
      </c>
      <c r="F1201">
        <f t="shared" si="129"/>
        <v>2013</v>
      </c>
      <c r="G1201">
        <f t="shared" si="130"/>
        <v>12</v>
      </c>
      <c r="H1201">
        <f t="shared" si="131"/>
        <v>16</v>
      </c>
      <c r="I1201" t="str">
        <f t="shared" si="132"/>
        <v>13</v>
      </c>
    </row>
    <row r="1202" spans="1:9" x14ac:dyDescent="0.25">
      <c r="A1202" s="19">
        <v>41512</v>
      </c>
      <c r="B1202" s="20">
        <v>0.98472222222222228</v>
      </c>
      <c r="C1202" t="str">
        <f t="shared" si="126"/>
        <v>13</v>
      </c>
      <c r="D1202" t="str">
        <f t="shared" si="127"/>
        <v>08</v>
      </c>
      <c r="E1202" t="str">
        <f t="shared" si="128"/>
        <v>26</v>
      </c>
      <c r="F1202">
        <f t="shared" si="129"/>
        <v>2013</v>
      </c>
      <c r="G1202">
        <f t="shared" si="130"/>
        <v>8</v>
      </c>
      <c r="H1202">
        <f t="shared" si="131"/>
        <v>26</v>
      </c>
      <c r="I1202" t="str">
        <f t="shared" si="132"/>
        <v>13</v>
      </c>
    </row>
    <row r="1203" spans="1:9" x14ac:dyDescent="0.25">
      <c r="A1203" s="19">
        <v>41631</v>
      </c>
      <c r="B1203" s="20">
        <v>5.2083333333333336E-2</v>
      </c>
      <c r="C1203" t="str">
        <f t="shared" si="126"/>
        <v>13</v>
      </c>
      <c r="D1203" t="str">
        <f t="shared" si="127"/>
        <v>12</v>
      </c>
      <c r="E1203" t="str">
        <f t="shared" si="128"/>
        <v>23</v>
      </c>
      <c r="F1203">
        <f t="shared" si="129"/>
        <v>2013</v>
      </c>
      <c r="G1203">
        <f t="shared" si="130"/>
        <v>12</v>
      </c>
      <c r="H1203">
        <f t="shared" si="131"/>
        <v>23</v>
      </c>
      <c r="I1203" t="str">
        <f t="shared" si="132"/>
        <v>13</v>
      </c>
    </row>
    <row r="1204" spans="1:9" x14ac:dyDescent="0.25">
      <c r="A1204" s="19">
        <v>41241</v>
      </c>
      <c r="B1204" s="20">
        <v>0.97986111111111107</v>
      </c>
      <c r="C1204" t="str">
        <f t="shared" si="126"/>
        <v>12</v>
      </c>
      <c r="D1204" t="str">
        <f t="shared" si="127"/>
        <v>11</v>
      </c>
      <c r="E1204" t="str">
        <f t="shared" si="128"/>
        <v>28</v>
      </c>
      <c r="F1204">
        <f t="shared" si="129"/>
        <v>2012</v>
      </c>
      <c r="G1204">
        <f t="shared" si="130"/>
        <v>11</v>
      </c>
      <c r="H1204">
        <f t="shared" si="131"/>
        <v>28</v>
      </c>
      <c r="I1204" t="str">
        <f t="shared" si="132"/>
        <v>12</v>
      </c>
    </row>
    <row r="1205" spans="1:9" x14ac:dyDescent="0.25">
      <c r="A1205" s="19">
        <v>41730</v>
      </c>
      <c r="B1205" s="20">
        <v>3.4027777777777775E-2</v>
      </c>
      <c r="C1205" t="str">
        <f t="shared" si="126"/>
        <v>14</v>
      </c>
      <c r="D1205" t="str">
        <f t="shared" si="127"/>
        <v>04</v>
      </c>
      <c r="E1205" t="str">
        <f t="shared" si="128"/>
        <v>01</v>
      </c>
      <c r="F1205">
        <f t="shared" si="129"/>
        <v>2014</v>
      </c>
      <c r="G1205">
        <f t="shared" si="130"/>
        <v>4</v>
      </c>
      <c r="H1205">
        <f t="shared" si="131"/>
        <v>1</v>
      </c>
      <c r="I1205" t="str">
        <f t="shared" si="132"/>
        <v>14</v>
      </c>
    </row>
    <row r="1206" spans="1:9" x14ac:dyDescent="0.25">
      <c r="A1206" s="19">
        <v>41843</v>
      </c>
      <c r="B1206" s="20">
        <v>5.6250000000000001E-2</v>
      </c>
      <c r="C1206" t="str">
        <f t="shared" si="126"/>
        <v>14</v>
      </c>
      <c r="D1206" t="str">
        <f t="shared" si="127"/>
        <v>07</v>
      </c>
      <c r="E1206" t="str">
        <f t="shared" si="128"/>
        <v>23</v>
      </c>
      <c r="F1206">
        <f t="shared" si="129"/>
        <v>2014</v>
      </c>
      <c r="G1206">
        <f t="shared" si="130"/>
        <v>7</v>
      </c>
      <c r="H1206">
        <f t="shared" si="131"/>
        <v>23</v>
      </c>
      <c r="I1206" t="str">
        <f t="shared" si="132"/>
        <v>14</v>
      </c>
    </row>
    <row r="1207" spans="1:9" x14ac:dyDescent="0.25">
      <c r="A1207" s="19">
        <v>41481</v>
      </c>
      <c r="B1207" s="20">
        <v>8.3333333333333329E-2</v>
      </c>
      <c r="C1207" t="str">
        <f t="shared" si="126"/>
        <v>13</v>
      </c>
      <c r="D1207" t="str">
        <f t="shared" si="127"/>
        <v>07</v>
      </c>
      <c r="E1207" t="str">
        <f t="shared" si="128"/>
        <v>26</v>
      </c>
      <c r="F1207">
        <f t="shared" si="129"/>
        <v>2013</v>
      </c>
      <c r="G1207">
        <f t="shared" si="130"/>
        <v>7</v>
      </c>
      <c r="H1207">
        <f t="shared" si="131"/>
        <v>26</v>
      </c>
      <c r="I1207" t="str">
        <f t="shared" si="132"/>
        <v>13</v>
      </c>
    </row>
    <row r="1208" spans="1:9" x14ac:dyDescent="0.25">
      <c r="A1208" s="19">
        <v>42095</v>
      </c>
      <c r="B1208" s="20">
        <v>7.3611111111111113E-2</v>
      </c>
      <c r="C1208" t="str">
        <f t="shared" si="126"/>
        <v>15</v>
      </c>
      <c r="D1208" t="str">
        <f t="shared" si="127"/>
        <v>04</v>
      </c>
      <c r="E1208" t="str">
        <f t="shared" si="128"/>
        <v>01</v>
      </c>
      <c r="F1208">
        <f t="shared" si="129"/>
        <v>2015</v>
      </c>
      <c r="G1208">
        <f t="shared" si="130"/>
        <v>4</v>
      </c>
      <c r="H1208">
        <f t="shared" si="131"/>
        <v>1</v>
      </c>
      <c r="I1208" t="str">
        <f t="shared" si="132"/>
        <v>15</v>
      </c>
    </row>
    <row r="1209" spans="1:9" x14ac:dyDescent="0.25">
      <c r="A1209" s="19">
        <v>41799</v>
      </c>
      <c r="B1209" s="20">
        <v>4.3749999999999997E-2</v>
      </c>
      <c r="C1209" t="str">
        <f t="shared" si="126"/>
        <v>14</v>
      </c>
      <c r="D1209" t="str">
        <f t="shared" si="127"/>
        <v>06</v>
      </c>
      <c r="E1209" t="str">
        <f t="shared" si="128"/>
        <v>09</v>
      </c>
      <c r="F1209">
        <f t="shared" si="129"/>
        <v>2014</v>
      </c>
      <c r="G1209">
        <f t="shared" si="130"/>
        <v>6</v>
      </c>
      <c r="H1209">
        <f t="shared" si="131"/>
        <v>9</v>
      </c>
      <c r="I1209" t="str">
        <f t="shared" si="132"/>
        <v>14</v>
      </c>
    </row>
    <row r="1210" spans="1:9" x14ac:dyDescent="0.25">
      <c r="A1210" s="19">
        <v>41641</v>
      </c>
      <c r="B1210" s="20">
        <v>5.486111111111111E-2</v>
      </c>
      <c r="C1210" t="str">
        <f t="shared" si="126"/>
        <v>14</v>
      </c>
      <c r="D1210" t="str">
        <f t="shared" si="127"/>
        <v>01</v>
      </c>
      <c r="E1210" t="str">
        <f t="shared" si="128"/>
        <v>02</v>
      </c>
      <c r="F1210">
        <f t="shared" si="129"/>
        <v>2014</v>
      </c>
      <c r="G1210">
        <f t="shared" si="130"/>
        <v>1</v>
      </c>
      <c r="H1210">
        <f t="shared" si="131"/>
        <v>2</v>
      </c>
      <c r="I1210" t="str">
        <f t="shared" si="132"/>
        <v>14</v>
      </c>
    </row>
    <row r="1211" spans="1:9" x14ac:dyDescent="0.25">
      <c r="A1211" s="19">
        <v>41134</v>
      </c>
      <c r="B1211" s="20">
        <v>9.0277777777777769E-3</v>
      </c>
      <c r="C1211" t="str">
        <f t="shared" si="126"/>
        <v>12</v>
      </c>
      <c r="D1211" t="str">
        <f t="shared" si="127"/>
        <v>08</v>
      </c>
      <c r="E1211" t="str">
        <f t="shared" si="128"/>
        <v>13</v>
      </c>
      <c r="F1211">
        <f t="shared" si="129"/>
        <v>2012</v>
      </c>
      <c r="G1211">
        <f t="shared" si="130"/>
        <v>8</v>
      </c>
      <c r="H1211">
        <f t="shared" si="131"/>
        <v>13</v>
      </c>
      <c r="I1211" t="str">
        <f t="shared" si="132"/>
        <v>12</v>
      </c>
    </row>
    <row r="1212" spans="1:9" x14ac:dyDescent="0.25">
      <c r="A1212" s="19">
        <v>41887</v>
      </c>
      <c r="B1212" s="20">
        <v>8.819444444444445E-2</v>
      </c>
      <c r="C1212" t="str">
        <f t="shared" si="126"/>
        <v>14</v>
      </c>
      <c r="D1212" t="str">
        <f t="shared" si="127"/>
        <v>09</v>
      </c>
      <c r="E1212" t="str">
        <f t="shared" si="128"/>
        <v>05</v>
      </c>
      <c r="F1212">
        <f t="shared" si="129"/>
        <v>2014</v>
      </c>
      <c r="G1212">
        <f t="shared" si="130"/>
        <v>9</v>
      </c>
      <c r="H1212">
        <f t="shared" si="131"/>
        <v>5</v>
      </c>
      <c r="I1212" t="str">
        <f t="shared" si="132"/>
        <v>14</v>
      </c>
    </row>
    <row r="1213" spans="1:9" x14ac:dyDescent="0.25">
      <c r="A1213" s="19">
        <v>41522</v>
      </c>
      <c r="B1213" s="20">
        <v>7.3611111111111113E-2</v>
      </c>
      <c r="C1213" t="str">
        <f t="shared" si="126"/>
        <v>13</v>
      </c>
      <c r="D1213" t="str">
        <f t="shared" si="127"/>
        <v>09</v>
      </c>
      <c r="E1213" t="str">
        <f t="shared" si="128"/>
        <v>05</v>
      </c>
      <c r="F1213">
        <f t="shared" si="129"/>
        <v>2013</v>
      </c>
      <c r="G1213">
        <f t="shared" si="130"/>
        <v>9</v>
      </c>
      <c r="H1213">
        <f t="shared" si="131"/>
        <v>5</v>
      </c>
      <c r="I1213" t="str">
        <f t="shared" si="132"/>
        <v>13</v>
      </c>
    </row>
    <row r="1214" spans="1:9" x14ac:dyDescent="0.25">
      <c r="A1214" s="19">
        <v>41131</v>
      </c>
      <c r="B1214" s="20">
        <v>1.5277777777777777E-2</v>
      </c>
      <c r="C1214" t="str">
        <f t="shared" si="126"/>
        <v>12</v>
      </c>
      <c r="D1214" t="str">
        <f t="shared" si="127"/>
        <v>08</v>
      </c>
      <c r="E1214" t="str">
        <f t="shared" si="128"/>
        <v>10</v>
      </c>
      <c r="F1214">
        <f t="shared" si="129"/>
        <v>2012</v>
      </c>
      <c r="G1214">
        <f t="shared" si="130"/>
        <v>8</v>
      </c>
      <c r="H1214">
        <f t="shared" si="131"/>
        <v>10</v>
      </c>
      <c r="I1214" t="str">
        <f t="shared" si="132"/>
        <v>12</v>
      </c>
    </row>
    <row r="1215" spans="1:9" x14ac:dyDescent="0.25">
      <c r="A1215" s="19">
        <v>42867</v>
      </c>
      <c r="B1215" s="20">
        <v>0.97222222222222221</v>
      </c>
      <c r="C1215" t="str">
        <f t="shared" si="126"/>
        <v>17</v>
      </c>
      <c r="D1215" t="str">
        <f t="shared" si="127"/>
        <v>05</v>
      </c>
      <c r="E1215" t="str">
        <f t="shared" si="128"/>
        <v>12</v>
      </c>
      <c r="F1215">
        <f t="shared" si="129"/>
        <v>2017</v>
      </c>
      <c r="G1215">
        <f t="shared" si="130"/>
        <v>5</v>
      </c>
      <c r="H1215">
        <f t="shared" si="131"/>
        <v>12</v>
      </c>
      <c r="I1215" t="str">
        <f t="shared" si="132"/>
        <v>17</v>
      </c>
    </row>
    <row r="1216" spans="1:9" x14ac:dyDescent="0.25">
      <c r="A1216" s="19">
        <v>40953</v>
      </c>
      <c r="B1216" s="20">
        <v>6.7361111111111108E-2</v>
      </c>
      <c r="C1216" t="str">
        <f t="shared" si="126"/>
        <v>12</v>
      </c>
      <c r="D1216" t="str">
        <f t="shared" si="127"/>
        <v>02</v>
      </c>
      <c r="E1216" t="str">
        <f t="shared" si="128"/>
        <v>14</v>
      </c>
      <c r="F1216">
        <f t="shared" si="129"/>
        <v>2012</v>
      </c>
      <c r="G1216">
        <f t="shared" si="130"/>
        <v>2</v>
      </c>
      <c r="H1216">
        <f t="shared" si="131"/>
        <v>14</v>
      </c>
      <c r="I1216" t="str">
        <f t="shared" si="132"/>
        <v>12</v>
      </c>
    </row>
    <row r="1217" spans="1:9" x14ac:dyDescent="0.25">
      <c r="A1217" s="19">
        <v>42638</v>
      </c>
      <c r="B1217" s="20">
        <v>0.98541666666666672</v>
      </c>
      <c r="C1217" t="str">
        <f t="shared" si="126"/>
        <v>16</v>
      </c>
      <c r="D1217" t="str">
        <f t="shared" si="127"/>
        <v>09</v>
      </c>
      <c r="E1217" t="str">
        <f t="shared" si="128"/>
        <v>25</v>
      </c>
      <c r="F1217">
        <f t="shared" si="129"/>
        <v>2016</v>
      </c>
      <c r="G1217">
        <f t="shared" si="130"/>
        <v>9</v>
      </c>
      <c r="H1217">
        <f t="shared" si="131"/>
        <v>25</v>
      </c>
      <c r="I1217" t="str">
        <f t="shared" si="132"/>
        <v>16</v>
      </c>
    </row>
    <row r="1218" spans="1:9" x14ac:dyDescent="0.25">
      <c r="A1218" s="19">
        <v>41471</v>
      </c>
      <c r="B1218" s="20">
        <v>0.97847222222222219</v>
      </c>
      <c r="C1218" t="str">
        <f t="shared" si="126"/>
        <v>13</v>
      </c>
      <c r="D1218" t="str">
        <f t="shared" si="127"/>
        <v>07</v>
      </c>
      <c r="E1218" t="str">
        <f t="shared" si="128"/>
        <v>16</v>
      </c>
      <c r="F1218">
        <f t="shared" si="129"/>
        <v>2013</v>
      </c>
      <c r="G1218">
        <f t="shared" si="130"/>
        <v>7</v>
      </c>
      <c r="H1218">
        <f t="shared" si="131"/>
        <v>16</v>
      </c>
      <c r="I1218" t="str">
        <f t="shared" si="132"/>
        <v>13</v>
      </c>
    </row>
    <row r="1219" spans="1:9" x14ac:dyDescent="0.25">
      <c r="A1219" s="19">
        <v>42159</v>
      </c>
      <c r="B1219" s="20">
        <v>8.2638888888888887E-2</v>
      </c>
      <c r="C1219" t="str">
        <f t="shared" ref="C1219:C1282" si="133">TEXT(A1219,"YY")</f>
        <v>15</v>
      </c>
      <c r="D1219" t="str">
        <f t="shared" ref="D1219:D1282" si="134">TEXT(A1219,"mm")</f>
        <v>06</v>
      </c>
      <c r="E1219" t="str">
        <f t="shared" ref="E1219:E1282" si="135">TEXT(A1219,"dd")</f>
        <v>04</v>
      </c>
      <c r="F1219">
        <f t="shared" ref="F1219:F1282" si="136">YEAR($A1219)</f>
        <v>2015</v>
      </c>
      <c r="G1219">
        <f t="shared" ref="G1219:G1282" si="137">MONTH($A1219)</f>
        <v>6</v>
      </c>
      <c r="H1219">
        <f t="shared" ref="H1219:H1282" si="138">DAY($A1219)</f>
        <v>4</v>
      </c>
      <c r="I1219" t="str">
        <f t="shared" ref="I1219:I1282" si="139">TEXT($A1219,"YY")</f>
        <v>15</v>
      </c>
    </row>
    <row r="1220" spans="1:9" x14ac:dyDescent="0.25">
      <c r="A1220" s="19">
        <v>41487</v>
      </c>
      <c r="B1220" s="20">
        <v>0.97499999999999998</v>
      </c>
      <c r="C1220" t="str">
        <f t="shared" si="133"/>
        <v>13</v>
      </c>
      <c r="D1220" t="str">
        <f t="shared" si="134"/>
        <v>08</v>
      </c>
      <c r="E1220" t="str">
        <f t="shared" si="135"/>
        <v>01</v>
      </c>
      <c r="F1220">
        <f t="shared" si="136"/>
        <v>2013</v>
      </c>
      <c r="G1220">
        <f t="shared" si="137"/>
        <v>8</v>
      </c>
      <c r="H1220">
        <f t="shared" si="138"/>
        <v>1</v>
      </c>
      <c r="I1220" t="str">
        <f t="shared" si="139"/>
        <v>13</v>
      </c>
    </row>
    <row r="1221" spans="1:9" x14ac:dyDescent="0.25">
      <c r="A1221" s="19">
        <v>41813</v>
      </c>
      <c r="B1221" s="20">
        <v>4.3749999999999997E-2</v>
      </c>
      <c r="C1221" t="str">
        <f t="shared" si="133"/>
        <v>14</v>
      </c>
      <c r="D1221" t="str">
        <f t="shared" si="134"/>
        <v>06</v>
      </c>
      <c r="E1221" t="str">
        <f t="shared" si="135"/>
        <v>23</v>
      </c>
      <c r="F1221">
        <f t="shared" si="136"/>
        <v>2014</v>
      </c>
      <c r="G1221">
        <f t="shared" si="137"/>
        <v>6</v>
      </c>
      <c r="H1221">
        <f t="shared" si="138"/>
        <v>23</v>
      </c>
      <c r="I1221" t="str">
        <f t="shared" si="139"/>
        <v>14</v>
      </c>
    </row>
    <row r="1222" spans="1:9" x14ac:dyDescent="0.25">
      <c r="A1222" s="19">
        <v>41239</v>
      </c>
      <c r="B1222" s="20">
        <v>6.1805555555555558E-2</v>
      </c>
      <c r="C1222" t="str">
        <f t="shared" si="133"/>
        <v>12</v>
      </c>
      <c r="D1222" t="str">
        <f t="shared" si="134"/>
        <v>11</v>
      </c>
      <c r="E1222" t="str">
        <f t="shared" si="135"/>
        <v>26</v>
      </c>
      <c r="F1222">
        <f t="shared" si="136"/>
        <v>2012</v>
      </c>
      <c r="G1222">
        <f t="shared" si="137"/>
        <v>11</v>
      </c>
      <c r="H1222">
        <f t="shared" si="138"/>
        <v>26</v>
      </c>
      <c r="I1222" t="str">
        <f t="shared" si="139"/>
        <v>12</v>
      </c>
    </row>
    <row r="1223" spans="1:9" x14ac:dyDescent="0.25">
      <c r="A1223" s="19">
        <v>42593</v>
      </c>
      <c r="B1223" s="20">
        <v>7.6388888888888886E-3</v>
      </c>
      <c r="C1223" t="str">
        <f t="shared" si="133"/>
        <v>16</v>
      </c>
      <c r="D1223" t="str">
        <f t="shared" si="134"/>
        <v>08</v>
      </c>
      <c r="E1223" t="str">
        <f t="shared" si="135"/>
        <v>11</v>
      </c>
      <c r="F1223">
        <f t="shared" si="136"/>
        <v>2016</v>
      </c>
      <c r="G1223">
        <f t="shared" si="137"/>
        <v>8</v>
      </c>
      <c r="H1223">
        <f t="shared" si="138"/>
        <v>11</v>
      </c>
      <c r="I1223" t="str">
        <f t="shared" si="139"/>
        <v>16</v>
      </c>
    </row>
    <row r="1224" spans="1:9" x14ac:dyDescent="0.25">
      <c r="A1224" s="19">
        <v>42692</v>
      </c>
      <c r="B1224" s="20">
        <v>0.94513888888888886</v>
      </c>
      <c r="C1224" t="str">
        <f t="shared" si="133"/>
        <v>16</v>
      </c>
      <c r="D1224" t="str">
        <f t="shared" si="134"/>
        <v>11</v>
      </c>
      <c r="E1224" t="str">
        <f t="shared" si="135"/>
        <v>18</v>
      </c>
      <c r="F1224">
        <f t="shared" si="136"/>
        <v>2016</v>
      </c>
      <c r="G1224">
        <f t="shared" si="137"/>
        <v>11</v>
      </c>
      <c r="H1224">
        <f t="shared" si="138"/>
        <v>18</v>
      </c>
      <c r="I1224" t="str">
        <f t="shared" si="139"/>
        <v>16</v>
      </c>
    </row>
    <row r="1225" spans="1:9" x14ac:dyDescent="0.25">
      <c r="A1225" s="19">
        <v>41694</v>
      </c>
      <c r="B1225" s="20">
        <v>0.97291666666666665</v>
      </c>
      <c r="C1225" t="str">
        <f t="shared" si="133"/>
        <v>14</v>
      </c>
      <c r="D1225" t="str">
        <f t="shared" si="134"/>
        <v>02</v>
      </c>
      <c r="E1225" t="str">
        <f t="shared" si="135"/>
        <v>24</v>
      </c>
      <c r="F1225">
        <f t="shared" si="136"/>
        <v>2014</v>
      </c>
      <c r="G1225">
        <f t="shared" si="137"/>
        <v>2</v>
      </c>
      <c r="H1225">
        <f t="shared" si="138"/>
        <v>24</v>
      </c>
      <c r="I1225" t="str">
        <f t="shared" si="139"/>
        <v>14</v>
      </c>
    </row>
    <row r="1226" spans="1:9" x14ac:dyDescent="0.25">
      <c r="A1226" s="19">
        <v>42108</v>
      </c>
      <c r="B1226" s="20">
        <v>0.95138888888888884</v>
      </c>
      <c r="C1226" t="str">
        <f t="shared" si="133"/>
        <v>15</v>
      </c>
      <c r="D1226" t="str">
        <f t="shared" si="134"/>
        <v>04</v>
      </c>
      <c r="E1226" t="str">
        <f t="shared" si="135"/>
        <v>14</v>
      </c>
      <c r="F1226">
        <f t="shared" si="136"/>
        <v>2015</v>
      </c>
      <c r="G1226">
        <f t="shared" si="137"/>
        <v>4</v>
      </c>
      <c r="H1226">
        <f t="shared" si="138"/>
        <v>14</v>
      </c>
      <c r="I1226" t="str">
        <f t="shared" si="139"/>
        <v>15</v>
      </c>
    </row>
    <row r="1227" spans="1:9" x14ac:dyDescent="0.25">
      <c r="A1227" s="19">
        <v>41728</v>
      </c>
      <c r="B1227" s="20">
        <v>3.8194444444444448E-2</v>
      </c>
      <c r="C1227" t="str">
        <f t="shared" si="133"/>
        <v>14</v>
      </c>
      <c r="D1227" t="str">
        <f t="shared" si="134"/>
        <v>03</v>
      </c>
      <c r="E1227" t="str">
        <f t="shared" si="135"/>
        <v>30</v>
      </c>
      <c r="F1227">
        <f t="shared" si="136"/>
        <v>2014</v>
      </c>
      <c r="G1227">
        <f t="shared" si="137"/>
        <v>3</v>
      </c>
      <c r="H1227">
        <f t="shared" si="138"/>
        <v>30</v>
      </c>
      <c r="I1227" t="str">
        <f t="shared" si="139"/>
        <v>14</v>
      </c>
    </row>
    <row r="1228" spans="1:9" x14ac:dyDescent="0.25">
      <c r="A1228" s="19">
        <v>41737</v>
      </c>
      <c r="B1228" s="20">
        <v>1.8749999999999999E-2</v>
      </c>
      <c r="C1228" t="str">
        <f t="shared" si="133"/>
        <v>14</v>
      </c>
      <c r="D1228" t="str">
        <f t="shared" si="134"/>
        <v>04</v>
      </c>
      <c r="E1228" t="str">
        <f t="shared" si="135"/>
        <v>08</v>
      </c>
      <c r="F1228">
        <f t="shared" si="136"/>
        <v>2014</v>
      </c>
      <c r="G1228">
        <f t="shared" si="137"/>
        <v>4</v>
      </c>
      <c r="H1228">
        <f t="shared" si="138"/>
        <v>8</v>
      </c>
      <c r="I1228" t="str">
        <f t="shared" si="139"/>
        <v>14</v>
      </c>
    </row>
    <row r="1229" spans="1:9" x14ac:dyDescent="0.25">
      <c r="A1229" s="19">
        <v>41893</v>
      </c>
      <c r="B1229" s="20">
        <v>0.97777777777777775</v>
      </c>
      <c r="C1229" t="str">
        <f t="shared" si="133"/>
        <v>14</v>
      </c>
      <c r="D1229" t="str">
        <f t="shared" si="134"/>
        <v>09</v>
      </c>
      <c r="E1229" t="str">
        <f t="shared" si="135"/>
        <v>11</v>
      </c>
      <c r="F1229">
        <f t="shared" si="136"/>
        <v>2014</v>
      </c>
      <c r="G1229">
        <f t="shared" si="137"/>
        <v>9</v>
      </c>
      <c r="H1229">
        <f t="shared" si="138"/>
        <v>11</v>
      </c>
      <c r="I1229" t="str">
        <f t="shared" si="139"/>
        <v>14</v>
      </c>
    </row>
    <row r="1230" spans="1:9" x14ac:dyDescent="0.25">
      <c r="A1230" s="19">
        <v>41643</v>
      </c>
      <c r="B1230" s="20">
        <v>0.98333333333333328</v>
      </c>
      <c r="C1230" t="str">
        <f t="shared" si="133"/>
        <v>14</v>
      </c>
      <c r="D1230" t="str">
        <f t="shared" si="134"/>
        <v>01</v>
      </c>
      <c r="E1230" t="str">
        <f t="shared" si="135"/>
        <v>04</v>
      </c>
      <c r="F1230">
        <f t="shared" si="136"/>
        <v>2014</v>
      </c>
      <c r="G1230">
        <f t="shared" si="137"/>
        <v>1</v>
      </c>
      <c r="H1230">
        <f t="shared" si="138"/>
        <v>4</v>
      </c>
      <c r="I1230" t="str">
        <f t="shared" si="139"/>
        <v>14</v>
      </c>
    </row>
    <row r="1231" spans="1:9" x14ac:dyDescent="0.25">
      <c r="A1231" s="19">
        <v>41460</v>
      </c>
      <c r="B1231" s="20">
        <v>2.361111111111111E-2</v>
      </c>
      <c r="C1231" t="str">
        <f t="shared" si="133"/>
        <v>13</v>
      </c>
      <c r="D1231" t="str">
        <f t="shared" si="134"/>
        <v>07</v>
      </c>
      <c r="E1231" t="str">
        <f t="shared" si="135"/>
        <v>05</v>
      </c>
      <c r="F1231">
        <f t="shared" si="136"/>
        <v>2013</v>
      </c>
      <c r="G1231">
        <f t="shared" si="137"/>
        <v>7</v>
      </c>
      <c r="H1231">
        <f t="shared" si="138"/>
        <v>5</v>
      </c>
      <c r="I1231" t="str">
        <f t="shared" si="139"/>
        <v>13</v>
      </c>
    </row>
    <row r="1232" spans="1:9" x14ac:dyDescent="0.25">
      <c r="A1232" s="19">
        <v>42380</v>
      </c>
      <c r="B1232" s="20">
        <v>3.7499999999999999E-2</v>
      </c>
      <c r="C1232" t="str">
        <f t="shared" si="133"/>
        <v>16</v>
      </c>
      <c r="D1232" t="str">
        <f t="shared" si="134"/>
        <v>01</v>
      </c>
      <c r="E1232" t="str">
        <f t="shared" si="135"/>
        <v>11</v>
      </c>
      <c r="F1232">
        <f t="shared" si="136"/>
        <v>2016</v>
      </c>
      <c r="G1232">
        <f t="shared" si="137"/>
        <v>1</v>
      </c>
      <c r="H1232">
        <f t="shared" si="138"/>
        <v>11</v>
      </c>
      <c r="I1232" t="str">
        <f t="shared" si="139"/>
        <v>16</v>
      </c>
    </row>
    <row r="1233" spans="1:9" x14ac:dyDescent="0.25">
      <c r="A1233" s="19">
        <v>41521</v>
      </c>
      <c r="B1233" s="20">
        <v>8.3333333333333329E-2</v>
      </c>
      <c r="C1233" t="str">
        <f t="shared" si="133"/>
        <v>13</v>
      </c>
      <c r="D1233" t="str">
        <f t="shared" si="134"/>
        <v>09</v>
      </c>
      <c r="E1233" t="str">
        <f t="shared" si="135"/>
        <v>04</v>
      </c>
      <c r="F1233">
        <f t="shared" si="136"/>
        <v>2013</v>
      </c>
      <c r="G1233">
        <f t="shared" si="137"/>
        <v>9</v>
      </c>
      <c r="H1233">
        <f t="shared" si="138"/>
        <v>4</v>
      </c>
      <c r="I1233" t="str">
        <f t="shared" si="139"/>
        <v>13</v>
      </c>
    </row>
    <row r="1234" spans="1:9" x14ac:dyDescent="0.25">
      <c r="A1234" s="19">
        <v>41914</v>
      </c>
      <c r="B1234" s="20">
        <v>2.013888888888889E-2</v>
      </c>
      <c r="C1234" t="str">
        <f t="shared" si="133"/>
        <v>14</v>
      </c>
      <c r="D1234" t="str">
        <f t="shared" si="134"/>
        <v>10</v>
      </c>
      <c r="E1234" t="str">
        <f t="shared" si="135"/>
        <v>02</v>
      </c>
      <c r="F1234">
        <f t="shared" si="136"/>
        <v>2014</v>
      </c>
      <c r="G1234">
        <f t="shared" si="137"/>
        <v>10</v>
      </c>
      <c r="H1234">
        <f t="shared" si="138"/>
        <v>2</v>
      </c>
      <c r="I1234" t="str">
        <f t="shared" si="139"/>
        <v>14</v>
      </c>
    </row>
    <row r="1235" spans="1:9" x14ac:dyDescent="0.25">
      <c r="A1235" s="19">
        <v>41974</v>
      </c>
      <c r="B1235" s="20">
        <v>0.96875</v>
      </c>
      <c r="C1235" t="str">
        <f t="shared" si="133"/>
        <v>14</v>
      </c>
      <c r="D1235" t="str">
        <f t="shared" si="134"/>
        <v>12</v>
      </c>
      <c r="E1235" t="str">
        <f t="shared" si="135"/>
        <v>01</v>
      </c>
      <c r="F1235">
        <f t="shared" si="136"/>
        <v>2014</v>
      </c>
      <c r="G1235">
        <f t="shared" si="137"/>
        <v>12</v>
      </c>
      <c r="H1235">
        <f t="shared" si="138"/>
        <v>1</v>
      </c>
      <c r="I1235" t="str">
        <f t="shared" si="139"/>
        <v>14</v>
      </c>
    </row>
    <row r="1236" spans="1:9" x14ac:dyDescent="0.25">
      <c r="A1236" s="19">
        <v>41767</v>
      </c>
      <c r="B1236" s="20">
        <v>4.4444444444444446E-2</v>
      </c>
      <c r="C1236" t="str">
        <f t="shared" si="133"/>
        <v>14</v>
      </c>
      <c r="D1236" t="str">
        <f t="shared" si="134"/>
        <v>05</v>
      </c>
      <c r="E1236" t="str">
        <f t="shared" si="135"/>
        <v>08</v>
      </c>
      <c r="F1236">
        <f t="shared" si="136"/>
        <v>2014</v>
      </c>
      <c r="G1236">
        <f t="shared" si="137"/>
        <v>5</v>
      </c>
      <c r="H1236">
        <f t="shared" si="138"/>
        <v>8</v>
      </c>
      <c r="I1236" t="str">
        <f t="shared" si="139"/>
        <v>14</v>
      </c>
    </row>
    <row r="1237" spans="1:9" x14ac:dyDescent="0.25">
      <c r="A1237" s="19">
        <v>41746</v>
      </c>
      <c r="B1237" s="20">
        <v>4.027777777777778E-2</v>
      </c>
      <c r="C1237" t="str">
        <f t="shared" si="133"/>
        <v>14</v>
      </c>
      <c r="D1237" t="str">
        <f t="shared" si="134"/>
        <v>04</v>
      </c>
      <c r="E1237" t="str">
        <f t="shared" si="135"/>
        <v>17</v>
      </c>
      <c r="F1237">
        <f t="shared" si="136"/>
        <v>2014</v>
      </c>
      <c r="G1237">
        <f t="shared" si="137"/>
        <v>4</v>
      </c>
      <c r="H1237">
        <f t="shared" si="138"/>
        <v>17</v>
      </c>
      <c r="I1237" t="str">
        <f t="shared" si="139"/>
        <v>14</v>
      </c>
    </row>
    <row r="1238" spans="1:9" x14ac:dyDescent="0.25">
      <c r="A1238" s="19">
        <v>41276</v>
      </c>
      <c r="B1238" s="20">
        <v>3.3333333333333333E-2</v>
      </c>
      <c r="C1238" t="str">
        <f t="shared" si="133"/>
        <v>13</v>
      </c>
      <c r="D1238" t="str">
        <f t="shared" si="134"/>
        <v>01</v>
      </c>
      <c r="E1238" t="str">
        <f t="shared" si="135"/>
        <v>02</v>
      </c>
      <c r="F1238">
        <f t="shared" si="136"/>
        <v>2013</v>
      </c>
      <c r="G1238">
        <f t="shared" si="137"/>
        <v>1</v>
      </c>
      <c r="H1238">
        <f t="shared" si="138"/>
        <v>2</v>
      </c>
      <c r="I1238" t="str">
        <f t="shared" si="139"/>
        <v>13</v>
      </c>
    </row>
    <row r="1239" spans="1:9" x14ac:dyDescent="0.25">
      <c r="A1239" s="19">
        <v>41236</v>
      </c>
      <c r="B1239" s="20">
        <v>3.4027777777777775E-2</v>
      </c>
      <c r="C1239" t="str">
        <f t="shared" si="133"/>
        <v>12</v>
      </c>
      <c r="D1239" t="str">
        <f t="shared" si="134"/>
        <v>11</v>
      </c>
      <c r="E1239" t="str">
        <f t="shared" si="135"/>
        <v>23</v>
      </c>
      <c r="F1239">
        <f t="shared" si="136"/>
        <v>2012</v>
      </c>
      <c r="G1239">
        <f t="shared" si="137"/>
        <v>11</v>
      </c>
      <c r="H1239">
        <f t="shared" si="138"/>
        <v>23</v>
      </c>
      <c r="I1239" t="str">
        <f t="shared" si="139"/>
        <v>12</v>
      </c>
    </row>
    <row r="1240" spans="1:9" x14ac:dyDescent="0.25">
      <c r="A1240" s="19">
        <v>42748</v>
      </c>
      <c r="B1240" s="20">
        <v>0.97361111111111109</v>
      </c>
      <c r="C1240" t="str">
        <f t="shared" si="133"/>
        <v>17</v>
      </c>
      <c r="D1240" t="str">
        <f t="shared" si="134"/>
        <v>01</v>
      </c>
      <c r="E1240" t="str">
        <f t="shared" si="135"/>
        <v>13</v>
      </c>
      <c r="F1240">
        <f t="shared" si="136"/>
        <v>2017</v>
      </c>
      <c r="G1240">
        <f t="shared" si="137"/>
        <v>1</v>
      </c>
      <c r="H1240">
        <f t="shared" si="138"/>
        <v>13</v>
      </c>
      <c r="I1240" t="str">
        <f t="shared" si="139"/>
        <v>17</v>
      </c>
    </row>
    <row r="1241" spans="1:9" x14ac:dyDescent="0.25">
      <c r="A1241" s="19">
        <v>41442</v>
      </c>
      <c r="B1241" s="20">
        <v>3.4722222222222224E-2</v>
      </c>
      <c r="C1241" t="str">
        <f t="shared" si="133"/>
        <v>13</v>
      </c>
      <c r="D1241" t="str">
        <f t="shared" si="134"/>
        <v>06</v>
      </c>
      <c r="E1241" t="str">
        <f t="shared" si="135"/>
        <v>17</v>
      </c>
      <c r="F1241">
        <f t="shared" si="136"/>
        <v>2013</v>
      </c>
      <c r="G1241">
        <f t="shared" si="137"/>
        <v>6</v>
      </c>
      <c r="H1241">
        <f t="shared" si="138"/>
        <v>17</v>
      </c>
      <c r="I1241" t="str">
        <f t="shared" si="139"/>
        <v>13</v>
      </c>
    </row>
    <row r="1242" spans="1:9" x14ac:dyDescent="0.25">
      <c r="A1242" s="19">
        <v>42386</v>
      </c>
      <c r="B1242" s="20">
        <v>2.361111111111111E-2</v>
      </c>
      <c r="C1242" t="str">
        <f t="shared" si="133"/>
        <v>16</v>
      </c>
      <c r="D1242" t="str">
        <f t="shared" si="134"/>
        <v>01</v>
      </c>
      <c r="E1242" t="str">
        <f t="shared" si="135"/>
        <v>17</v>
      </c>
      <c r="F1242">
        <f t="shared" si="136"/>
        <v>2016</v>
      </c>
      <c r="G1242">
        <f t="shared" si="137"/>
        <v>1</v>
      </c>
      <c r="H1242">
        <f t="shared" si="138"/>
        <v>17</v>
      </c>
      <c r="I1242" t="str">
        <f t="shared" si="139"/>
        <v>16</v>
      </c>
    </row>
    <row r="1243" spans="1:9" x14ac:dyDescent="0.25">
      <c r="A1243" s="19">
        <v>42261</v>
      </c>
      <c r="B1243" s="20">
        <v>1.1111111111111112E-2</v>
      </c>
      <c r="C1243" t="str">
        <f t="shared" si="133"/>
        <v>15</v>
      </c>
      <c r="D1243" t="str">
        <f t="shared" si="134"/>
        <v>09</v>
      </c>
      <c r="E1243" t="str">
        <f t="shared" si="135"/>
        <v>14</v>
      </c>
      <c r="F1243">
        <f t="shared" si="136"/>
        <v>2015</v>
      </c>
      <c r="G1243">
        <f t="shared" si="137"/>
        <v>9</v>
      </c>
      <c r="H1243">
        <f t="shared" si="138"/>
        <v>14</v>
      </c>
      <c r="I1243" t="str">
        <f t="shared" si="139"/>
        <v>15</v>
      </c>
    </row>
    <row r="1244" spans="1:9" x14ac:dyDescent="0.25">
      <c r="A1244" s="19">
        <v>41163</v>
      </c>
      <c r="B1244" s="20">
        <v>2.4305555555555556E-2</v>
      </c>
      <c r="C1244" t="str">
        <f t="shared" si="133"/>
        <v>12</v>
      </c>
      <c r="D1244" t="str">
        <f t="shared" si="134"/>
        <v>09</v>
      </c>
      <c r="E1244" t="str">
        <f t="shared" si="135"/>
        <v>11</v>
      </c>
      <c r="F1244">
        <f t="shared" si="136"/>
        <v>2012</v>
      </c>
      <c r="G1244">
        <f t="shared" si="137"/>
        <v>9</v>
      </c>
      <c r="H1244">
        <f t="shared" si="138"/>
        <v>11</v>
      </c>
      <c r="I1244" t="str">
        <f t="shared" si="139"/>
        <v>12</v>
      </c>
    </row>
    <row r="1245" spans="1:9" x14ac:dyDescent="0.25">
      <c r="A1245" s="19">
        <v>41782</v>
      </c>
      <c r="B1245" s="20">
        <v>2.4305555555555556E-2</v>
      </c>
      <c r="C1245" t="str">
        <f t="shared" si="133"/>
        <v>14</v>
      </c>
      <c r="D1245" t="str">
        <f t="shared" si="134"/>
        <v>05</v>
      </c>
      <c r="E1245" t="str">
        <f t="shared" si="135"/>
        <v>23</v>
      </c>
      <c r="F1245">
        <f t="shared" si="136"/>
        <v>2014</v>
      </c>
      <c r="G1245">
        <f t="shared" si="137"/>
        <v>5</v>
      </c>
      <c r="H1245">
        <f t="shared" si="138"/>
        <v>23</v>
      </c>
      <c r="I1245" t="str">
        <f t="shared" si="139"/>
        <v>14</v>
      </c>
    </row>
    <row r="1246" spans="1:9" x14ac:dyDescent="0.25">
      <c r="A1246" s="19">
        <v>42364</v>
      </c>
      <c r="B1246" s="20">
        <v>3.7499999999999999E-2</v>
      </c>
      <c r="C1246" t="str">
        <f t="shared" si="133"/>
        <v>15</v>
      </c>
      <c r="D1246" t="str">
        <f t="shared" si="134"/>
        <v>12</v>
      </c>
      <c r="E1246" t="str">
        <f t="shared" si="135"/>
        <v>26</v>
      </c>
      <c r="F1246">
        <f t="shared" si="136"/>
        <v>2015</v>
      </c>
      <c r="G1246">
        <f t="shared" si="137"/>
        <v>12</v>
      </c>
      <c r="H1246">
        <f t="shared" si="138"/>
        <v>26</v>
      </c>
      <c r="I1246" t="str">
        <f t="shared" si="139"/>
        <v>15</v>
      </c>
    </row>
    <row r="1247" spans="1:9" x14ac:dyDescent="0.25">
      <c r="A1247" s="19">
        <v>41409</v>
      </c>
      <c r="B1247" s="20">
        <v>3.9583333333333331E-2</v>
      </c>
      <c r="C1247" t="str">
        <f t="shared" si="133"/>
        <v>13</v>
      </c>
      <c r="D1247" t="str">
        <f t="shared" si="134"/>
        <v>05</v>
      </c>
      <c r="E1247" t="str">
        <f t="shared" si="135"/>
        <v>15</v>
      </c>
      <c r="F1247">
        <f t="shared" si="136"/>
        <v>2013</v>
      </c>
      <c r="G1247">
        <f t="shared" si="137"/>
        <v>5</v>
      </c>
      <c r="H1247">
        <f t="shared" si="138"/>
        <v>15</v>
      </c>
      <c r="I1247" t="str">
        <f t="shared" si="139"/>
        <v>13</v>
      </c>
    </row>
    <row r="1248" spans="1:9" x14ac:dyDescent="0.25">
      <c r="A1248" s="19">
        <v>42429</v>
      </c>
      <c r="B1248" s="20">
        <v>3.4722222222222224E-2</v>
      </c>
      <c r="C1248" t="str">
        <f t="shared" si="133"/>
        <v>16</v>
      </c>
      <c r="D1248" t="str">
        <f t="shared" si="134"/>
        <v>02</v>
      </c>
      <c r="E1248" t="str">
        <f t="shared" si="135"/>
        <v>29</v>
      </c>
      <c r="F1248">
        <f t="shared" si="136"/>
        <v>2016</v>
      </c>
      <c r="G1248">
        <f t="shared" si="137"/>
        <v>2</v>
      </c>
      <c r="H1248">
        <f t="shared" si="138"/>
        <v>29</v>
      </c>
      <c r="I1248" t="str">
        <f t="shared" si="139"/>
        <v>16</v>
      </c>
    </row>
    <row r="1249" spans="1:9" x14ac:dyDescent="0.25">
      <c r="A1249" s="19">
        <v>41808</v>
      </c>
      <c r="B1249" s="20">
        <v>0.99722222222222223</v>
      </c>
      <c r="C1249" t="str">
        <f t="shared" si="133"/>
        <v>14</v>
      </c>
      <c r="D1249" t="str">
        <f t="shared" si="134"/>
        <v>06</v>
      </c>
      <c r="E1249" t="str">
        <f t="shared" si="135"/>
        <v>18</v>
      </c>
      <c r="F1249">
        <f t="shared" si="136"/>
        <v>2014</v>
      </c>
      <c r="G1249">
        <f t="shared" si="137"/>
        <v>6</v>
      </c>
      <c r="H1249">
        <f t="shared" si="138"/>
        <v>18</v>
      </c>
      <c r="I1249" t="str">
        <f t="shared" si="139"/>
        <v>14</v>
      </c>
    </row>
    <row r="1250" spans="1:9" x14ac:dyDescent="0.25">
      <c r="A1250" s="19">
        <v>41989</v>
      </c>
      <c r="B1250" s="20">
        <v>0.98750000000000004</v>
      </c>
      <c r="C1250" t="str">
        <f t="shared" si="133"/>
        <v>14</v>
      </c>
      <c r="D1250" t="str">
        <f t="shared" si="134"/>
        <v>12</v>
      </c>
      <c r="E1250" t="str">
        <f t="shared" si="135"/>
        <v>16</v>
      </c>
      <c r="F1250">
        <f t="shared" si="136"/>
        <v>2014</v>
      </c>
      <c r="G1250">
        <f t="shared" si="137"/>
        <v>12</v>
      </c>
      <c r="H1250">
        <f t="shared" si="138"/>
        <v>16</v>
      </c>
      <c r="I1250" t="str">
        <f t="shared" si="139"/>
        <v>14</v>
      </c>
    </row>
    <row r="1251" spans="1:9" x14ac:dyDescent="0.25">
      <c r="A1251" s="19">
        <v>42362</v>
      </c>
      <c r="B1251" s="20">
        <v>1.2500000000000001E-2</v>
      </c>
      <c r="C1251" t="str">
        <f t="shared" si="133"/>
        <v>15</v>
      </c>
      <c r="D1251" t="str">
        <f t="shared" si="134"/>
        <v>12</v>
      </c>
      <c r="E1251" t="str">
        <f t="shared" si="135"/>
        <v>24</v>
      </c>
      <c r="F1251">
        <f t="shared" si="136"/>
        <v>2015</v>
      </c>
      <c r="G1251">
        <f t="shared" si="137"/>
        <v>12</v>
      </c>
      <c r="H1251">
        <f t="shared" si="138"/>
        <v>24</v>
      </c>
      <c r="I1251" t="str">
        <f t="shared" si="139"/>
        <v>15</v>
      </c>
    </row>
    <row r="1252" spans="1:9" x14ac:dyDescent="0.25">
      <c r="A1252" s="19">
        <v>42443</v>
      </c>
      <c r="B1252" s="20">
        <v>3.5416666666666666E-2</v>
      </c>
      <c r="C1252" t="str">
        <f t="shared" si="133"/>
        <v>16</v>
      </c>
      <c r="D1252" t="str">
        <f t="shared" si="134"/>
        <v>03</v>
      </c>
      <c r="E1252" t="str">
        <f t="shared" si="135"/>
        <v>14</v>
      </c>
      <c r="F1252">
        <f t="shared" si="136"/>
        <v>2016</v>
      </c>
      <c r="G1252">
        <f t="shared" si="137"/>
        <v>3</v>
      </c>
      <c r="H1252">
        <f t="shared" si="138"/>
        <v>14</v>
      </c>
      <c r="I1252" t="str">
        <f t="shared" si="139"/>
        <v>16</v>
      </c>
    </row>
    <row r="1253" spans="1:9" x14ac:dyDescent="0.25">
      <c r="A1253" s="19">
        <v>42086</v>
      </c>
      <c r="B1253" s="20">
        <v>1.5277777777777777E-2</v>
      </c>
      <c r="C1253" t="str">
        <f t="shared" si="133"/>
        <v>15</v>
      </c>
      <c r="D1253" t="str">
        <f t="shared" si="134"/>
        <v>03</v>
      </c>
      <c r="E1253" t="str">
        <f t="shared" si="135"/>
        <v>23</v>
      </c>
      <c r="F1253">
        <f t="shared" si="136"/>
        <v>2015</v>
      </c>
      <c r="G1253">
        <f t="shared" si="137"/>
        <v>3</v>
      </c>
      <c r="H1253">
        <f t="shared" si="138"/>
        <v>23</v>
      </c>
      <c r="I1253" t="str">
        <f t="shared" si="139"/>
        <v>15</v>
      </c>
    </row>
    <row r="1254" spans="1:9" x14ac:dyDescent="0.25">
      <c r="A1254" s="19">
        <v>42467</v>
      </c>
      <c r="B1254" s="20">
        <v>3.8194444444444448E-2</v>
      </c>
      <c r="C1254" t="str">
        <f t="shared" si="133"/>
        <v>16</v>
      </c>
      <c r="D1254" t="str">
        <f t="shared" si="134"/>
        <v>04</v>
      </c>
      <c r="E1254" t="str">
        <f t="shared" si="135"/>
        <v>07</v>
      </c>
      <c r="F1254">
        <f t="shared" si="136"/>
        <v>2016</v>
      </c>
      <c r="G1254">
        <f t="shared" si="137"/>
        <v>4</v>
      </c>
      <c r="H1254">
        <f t="shared" si="138"/>
        <v>7</v>
      </c>
      <c r="I1254" t="str">
        <f t="shared" si="139"/>
        <v>16</v>
      </c>
    </row>
    <row r="1255" spans="1:9" x14ac:dyDescent="0.25">
      <c r="A1255" s="19">
        <v>42717</v>
      </c>
      <c r="B1255" s="20">
        <v>0.97777777777777775</v>
      </c>
      <c r="C1255" t="str">
        <f t="shared" si="133"/>
        <v>16</v>
      </c>
      <c r="D1255" t="str">
        <f t="shared" si="134"/>
        <v>12</v>
      </c>
      <c r="E1255" t="str">
        <f t="shared" si="135"/>
        <v>13</v>
      </c>
      <c r="F1255">
        <f t="shared" si="136"/>
        <v>2016</v>
      </c>
      <c r="G1255">
        <f t="shared" si="137"/>
        <v>12</v>
      </c>
      <c r="H1255">
        <f t="shared" si="138"/>
        <v>13</v>
      </c>
      <c r="I1255" t="str">
        <f t="shared" si="139"/>
        <v>16</v>
      </c>
    </row>
    <row r="1256" spans="1:9" x14ac:dyDescent="0.25">
      <c r="A1256" s="19">
        <v>42617</v>
      </c>
      <c r="B1256" s="20">
        <v>0.99444444444444446</v>
      </c>
      <c r="C1256" t="str">
        <f t="shared" si="133"/>
        <v>16</v>
      </c>
      <c r="D1256" t="str">
        <f t="shared" si="134"/>
        <v>09</v>
      </c>
      <c r="E1256" t="str">
        <f t="shared" si="135"/>
        <v>04</v>
      </c>
      <c r="F1256">
        <f t="shared" si="136"/>
        <v>2016</v>
      </c>
      <c r="G1256">
        <f t="shared" si="137"/>
        <v>9</v>
      </c>
      <c r="H1256">
        <f t="shared" si="138"/>
        <v>4</v>
      </c>
      <c r="I1256" t="str">
        <f t="shared" si="139"/>
        <v>16</v>
      </c>
    </row>
    <row r="1257" spans="1:9" x14ac:dyDescent="0.25">
      <c r="A1257" s="19">
        <v>41280</v>
      </c>
      <c r="B1257" s="20">
        <v>7.8472222222222221E-2</v>
      </c>
      <c r="C1257" t="str">
        <f t="shared" si="133"/>
        <v>13</v>
      </c>
      <c r="D1257" t="str">
        <f t="shared" si="134"/>
        <v>01</v>
      </c>
      <c r="E1257" t="str">
        <f t="shared" si="135"/>
        <v>06</v>
      </c>
      <c r="F1257">
        <f t="shared" si="136"/>
        <v>2013</v>
      </c>
      <c r="G1257">
        <f t="shared" si="137"/>
        <v>1</v>
      </c>
      <c r="H1257">
        <f t="shared" si="138"/>
        <v>6</v>
      </c>
      <c r="I1257" t="str">
        <f t="shared" si="139"/>
        <v>13</v>
      </c>
    </row>
    <row r="1258" spans="1:9" x14ac:dyDescent="0.25">
      <c r="A1258" s="19">
        <v>42244</v>
      </c>
      <c r="B1258" s="20">
        <v>0.97083333333333333</v>
      </c>
      <c r="C1258" t="str">
        <f t="shared" si="133"/>
        <v>15</v>
      </c>
      <c r="D1258" t="str">
        <f t="shared" si="134"/>
        <v>08</v>
      </c>
      <c r="E1258" t="str">
        <f t="shared" si="135"/>
        <v>28</v>
      </c>
      <c r="F1258">
        <f t="shared" si="136"/>
        <v>2015</v>
      </c>
      <c r="G1258">
        <f t="shared" si="137"/>
        <v>8</v>
      </c>
      <c r="H1258">
        <f t="shared" si="138"/>
        <v>28</v>
      </c>
      <c r="I1258" t="str">
        <f t="shared" si="139"/>
        <v>15</v>
      </c>
    </row>
    <row r="1259" spans="1:9" x14ac:dyDescent="0.25">
      <c r="A1259" s="19">
        <v>42238</v>
      </c>
      <c r="B1259" s="20">
        <v>3.0555555555555555E-2</v>
      </c>
      <c r="C1259" t="str">
        <f t="shared" si="133"/>
        <v>15</v>
      </c>
      <c r="D1259" t="str">
        <f t="shared" si="134"/>
        <v>08</v>
      </c>
      <c r="E1259" t="str">
        <f t="shared" si="135"/>
        <v>22</v>
      </c>
      <c r="F1259">
        <f t="shared" si="136"/>
        <v>2015</v>
      </c>
      <c r="G1259">
        <f t="shared" si="137"/>
        <v>8</v>
      </c>
      <c r="H1259">
        <f t="shared" si="138"/>
        <v>22</v>
      </c>
      <c r="I1259" t="str">
        <f t="shared" si="139"/>
        <v>15</v>
      </c>
    </row>
    <row r="1260" spans="1:9" x14ac:dyDescent="0.25">
      <c r="A1260" s="19">
        <v>42272</v>
      </c>
      <c r="B1260" s="20">
        <v>0.97222222222222221</v>
      </c>
      <c r="C1260" t="str">
        <f t="shared" si="133"/>
        <v>15</v>
      </c>
      <c r="D1260" t="str">
        <f t="shared" si="134"/>
        <v>09</v>
      </c>
      <c r="E1260" t="str">
        <f t="shared" si="135"/>
        <v>25</v>
      </c>
      <c r="F1260">
        <f t="shared" si="136"/>
        <v>2015</v>
      </c>
      <c r="G1260">
        <f t="shared" si="137"/>
        <v>9</v>
      </c>
      <c r="H1260">
        <f t="shared" si="138"/>
        <v>25</v>
      </c>
      <c r="I1260" t="str">
        <f t="shared" si="139"/>
        <v>15</v>
      </c>
    </row>
    <row r="1261" spans="1:9" x14ac:dyDescent="0.25">
      <c r="A1261" s="19">
        <v>41214</v>
      </c>
      <c r="B1261" s="20">
        <v>0.97569444444444442</v>
      </c>
      <c r="C1261" t="str">
        <f t="shared" si="133"/>
        <v>12</v>
      </c>
      <c r="D1261" t="str">
        <f t="shared" si="134"/>
        <v>11</v>
      </c>
      <c r="E1261" t="str">
        <f t="shared" si="135"/>
        <v>01</v>
      </c>
      <c r="F1261">
        <f t="shared" si="136"/>
        <v>2012</v>
      </c>
      <c r="G1261">
        <f t="shared" si="137"/>
        <v>11</v>
      </c>
      <c r="H1261">
        <f t="shared" si="138"/>
        <v>1</v>
      </c>
      <c r="I1261" t="str">
        <f t="shared" si="139"/>
        <v>12</v>
      </c>
    </row>
    <row r="1262" spans="1:9" x14ac:dyDescent="0.25">
      <c r="A1262" s="19">
        <v>42554</v>
      </c>
      <c r="B1262" s="20">
        <v>5.6944444444444443E-2</v>
      </c>
      <c r="C1262" t="str">
        <f t="shared" si="133"/>
        <v>16</v>
      </c>
      <c r="D1262" t="str">
        <f t="shared" si="134"/>
        <v>07</v>
      </c>
      <c r="E1262" t="str">
        <f t="shared" si="135"/>
        <v>03</v>
      </c>
      <c r="F1262">
        <f t="shared" si="136"/>
        <v>2016</v>
      </c>
      <c r="G1262">
        <f t="shared" si="137"/>
        <v>7</v>
      </c>
      <c r="H1262">
        <f t="shared" si="138"/>
        <v>3</v>
      </c>
      <c r="I1262" t="str">
        <f t="shared" si="139"/>
        <v>16</v>
      </c>
    </row>
    <row r="1263" spans="1:9" x14ac:dyDescent="0.25">
      <c r="A1263" s="19">
        <v>42429</v>
      </c>
      <c r="B1263" s="20">
        <v>0.94166666666666665</v>
      </c>
      <c r="C1263" t="str">
        <f t="shared" si="133"/>
        <v>16</v>
      </c>
      <c r="D1263" t="str">
        <f t="shared" si="134"/>
        <v>02</v>
      </c>
      <c r="E1263" t="str">
        <f t="shared" si="135"/>
        <v>29</v>
      </c>
      <c r="F1263">
        <f t="shared" si="136"/>
        <v>2016</v>
      </c>
      <c r="G1263">
        <f t="shared" si="137"/>
        <v>2</v>
      </c>
      <c r="H1263">
        <f t="shared" si="138"/>
        <v>29</v>
      </c>
      <c r="I1263" t="str">
        <f t="shared" si="139"/>
        <v>16</v>
      </c>
    </row>
    <row r="1264" spans="1:9" x14ac:dyDescent="0.25">
      <c r="A1264" s="19">
        <v>41479</v>
      </c>
      <c r="B1264" s="20">
        <v>2.7777777777777776E-2</v>
      </c>
      <c r="C1264" t="str">
        <f t="shared" si="133"/>
        <v>13</v>
      </c>
      <c r="D1264" t="str">
        <f t="shared" si="134"/>
        <v>07</v>
      </c>
      <c r="E1264" t="str">
        <f t="shared" si="135"/>
        <v>24</v>
      </c>
      <c r="F1264">
        <f t="shared" si="136"/>
        <v>2013</v>
      </c>
      <c r="G1264">
        <f t="shared" si="137"/>
        <v>7</v>
      </c>
      <c r="H1264">
        <f t="shared" si="138"/>
        <v>24</v>
      </c>
      <c r="I1264" t="str">
        <f t="shared" si="139"/>
        <v>13</v>
      </c>
    </row>
    <row r="1265" spans="1:9" x14ac:dyDescent="0.25">
      <c r="A1265" s="19">
        <v>41869</v>
      </c>
      <c r="B1265" s="20">
        <v>0.94097222222222221</v>
      </c>
      <c r="C1265" t="str">
        <f t="shared" si="133"/>
        <v>14</v>
      </c>
      <c r="D1265" t="str">
        <f t="shared" si="134"/>
        <v>08</v>
      </c>
      <c r="E1265" t="str">
        <f t="shared" si="135"/>
        <v>18</v>
      </c>
      <c r="F1265">
        <f t="shared" si="136"/>
        <v>2014</v>
      </c>
      <c r="G1265">
        <f t="shared" si="137"/>
        <v>8</v>
      </c>
      <c r="H1265">
        <f t="shared" si="138"/>
        <v>18</v>
      </c>
      <c r="I1265" t="str">
        <f t="shared" si="139"/>
        <v>14</v>
      </c>
    </row>
    <row r="1266" spans="1:9" x14ac:dyDescent="0.25">
      <c r="A1266" s="19">
        <v>41550</v>
      </c>
      <c r="B1266" s="20">
        <v>3.472222222222222E-3</v>
      </c>
      <c r="C1266" t="str">
        <f t="shared" si="133"/>
        <v>13</v>
      </c>
      <c r="D1266" t="str">
        <f t="shared" si="134"/>
        <v>10</v>
      </c>
      <c r="E1266" t="str">
        <f t="shared" si="135"/>
        <v>03</v>
      </c>
      <c r="F1266">
        <f t="shared" si="136"/>
        <v>2013</v>
      </c>
      <c r="G1266">
        <f t="shared" si="137"/>
        <v>10</v>
      </c>
      <c r="H1266">
        <f t="shared" si="138"/>
        <v>3</v>
      </c>
      <c r="I1266" t="str">
        <f t="shared" si="139"/>
        <v>13</v>
      </c>
    </row>
    <row r="1267" spans="1:9" x14ac:dyDescent="0.25">
      <c r="A1267" s="19">
        <v>41579</v>
      </c>
      <c r="B1267" s="20">
        <v>7.9166666666666663E-2</v>
      </c>
      <c r="C1267" t="str">
        <f t="shared" si="133"/>
        <v>13</v>
      </c>
      <c r="D1267" t="str">
        <f t="shared" si="134"/>
        <v>11</v>
      </c>
      <c r="E1267" t="str">
        <f t="shared" si="135"/>
        <v>01</v>
      </c>
      <c r="F1267">
        <f t="shared" si="136"/>
        <v>2013</v>
      </c>
      <c r="G1267">
        <f t="shared" si="137"/>
        <v>11</v>
      </c>
      <c r="H1267">
        <f t="shared" si="138"/>
        <v>1</v>
      </c>
      <c r="I1267" t="str">
        <f t="shared" si="139"/>
        <v>13</v>
      </c>
    </row>
    <row r="1268" spans="1:9" x14ac:dyDescent="0.25">
      <c r="A1268" s="19">
        <v>42041</v>
      </c>
      <c r="B1268" s="20">
        <v>2.2916666666666665E-2</v>
      </c>
      <c r="C1268" t="str">
        <f t="shared" si="133"/>
        <v>15</v>
      </c>
      <c r="D1268" t="str">
        <f t="shared" si="134"/>
        <v>02</v>
      </c>
      <c r="E1268" t="str">
        <f t="shared" si="135"/>
        <v>06</v>
      </c>
      <c r="F1268">
        <f t="shared" si="136"/>
        <v>2015</v>
      </c>
      <c r="G1268">
        <f t="shared" si="137"/>
        <v>2</v>
      </c>
      <c r="H1268">
        <f t="shared" si="138"/>
        <v>6</v>
      </c>
      <c r="I1268" t="str">
        <f t="shared" si="139"/>
        <v>15</v>
      </c>
    </row>
    <row r="1269" spans="1:9" x14ac:dyDescent="0.25">
      <c r="A1269" s="19">
        <v>42781</v>
      </c>
      <c r="B1269" s="20">
        <v>0.95902777777777781</v>
      </c>
      <c r="C1269" t="str">
        <f t="shared" si="133"/>
        <v>17</v>
      </c>
      <c r="D1269" t="str">
        <f t="shared" si="134"/>
        <v>02</v>
      </c>
      <c r="E1269" t="str">
        <f t="shared" si="135"/>
        <v>15</v>
      </c>
      <c r="F1269">
        <f t="shared" si="136"/>
        <v>2017</v>
      </c>
      <c r="G1269">
        <f t="shared" si="137"/>
        <v>2</v>
      </c>
      <c r="H1269">
        <f t="shared" si="138"/>
        <v>15</v>
      </c>
      <c r="I1269" t="str">
        <f t="shared" si="139"/>
        <v>17</v>
      </c>
    </row>
    <row r="1270" spans="1:9" x14ac:dyDescent="0.25">
      <c r="A1270" s="19">
        <v>41567</v>
      </c>
      <c r="B1270" s="20">
        <v>2.4305555555555556E-2</v>
      </c>
      <c r="C1270" t="str">
        <f t="shared" si="133"/>
        <v>13</v>
      </c>
      <c r="D1270" t="str">
        <f t="shared" si="134"/>
        <v>10</v>
      </c>
      <c r="E1270" t="str">
        <f t="shared" si="135"/>
        <v>20</v>
      </c>
      <c r="F1270">
        <f t="shared" si="136"/>
        <v>2013</v>
      </c>
      <c r="G1270">
        <f t="shared" si="137"/>
        <v>10</v>
      </c>
      <c r="H1270">
        <f t="shared" si="138"/>
        <v>20</v>
      </c>
      <c r="I1270" t="str">
        <f t="shared" si="139"/>
        <v>13</v>
      </c>
    </row>
    <row r="1271" spans="1:9" x14ac:dyDescent="0.25">
      <c r="A1271" s="19">
        <v>41837</v>
      </c>
      <c r="B1271" s="20">
        <v>2.0833333333333333E-3</v>
      </c>
      <c r="C1271" t="str">
        <f t="shared" si="133"/>
        <v>14</v>
      </c>
      <c r="D1271" t="str">
        <f t="shared" si="134"/>
        <v>07</v>
      </c>
      <c r="E1271" t="str">
        <f t="shared" si="135"/>
        <v>17</v>
      </c>
      <c r="F1271">
        <f t="shared" si="136"/>
        <v>2014</v>
      </c>
      <c r="G1271">
        <f t="shared" si="137"/>
        <v>7</v>
      </c>
      <c r="H1271">
        <f t="shared" si="138"/>
        <v>17</v>
      </c>
      <c r="I1271" t="str">
        <f t="shared" si="139"/>
        <v>14</v>
      </c>
    </row>
    <row r="1272" spans="1:9" x14ac:dyDescent="0.25">
      <c r="A1272" s="19">
        <v>42679</v>
      </c>
      <c r="B1272" s="20">
        <v>0.95972222222222225</v>
      </c>
      <c r="C1272" t="str">
        <f t="shared" si="133"/>
        <v>16</v>
      </c>
      <c r="D1272" t="str">
        <f t="shared" si="134"/>
        <v>11</v>
      </c>
      <c r="E1272" t="str">
        <f t="shared" si="135"/>
        <v>05</v>
      </c>
      <c r="F1272">
        <f t="shared" si="136"/>
        <v>2016</v>
      </c>
      <c r="G1272">
        <f t="shared" si="137"/>
        <v>11</v>
      </c>
      <c r="H1272">
        <f t="shared" si="138"/>
        <v>5</v>
      </c>
      <c r="I1272" t="str">
        <f t="shared" si="139"/>
        <v>16</v>
      </c>
    </row>
    <row r="1273" spans="1:9" x14ac:dyDescent="0.25">
      <c r="A1273" s="19">
        <v>42055</v>
      </c>
      <c r="B1273" s="20">
        <v>4.027777777777778E-2</v>
      </c>
      <c r="C1273" t="str">
        <f t="shared" si="133"/>
        <v>15</v>
      </c>
      <c r="D1273" t="str">
        <f t="shared" si="134"/>
        <v>02</v>
      </c>
      <c r="E1273" t="str">
        <f t="shared" si="135"/>
        <v>20</v>
      </c>
      <c r="F1273">
        <f t="shared" si="136"/>
        <v>2015</v>
      </c>
      <c r="G1273">
        <f t="shared" si="137"/>
        <v>2</v>
      </c>
      <c r="H1273">
        <f t="shared" si="138"/>
        <v>20</v>
      </c>
      <c r="I1273" t="str">
        <f t="shared" si="139"/>
        <v>15</v>
      </c>
    </row>
    <row r="1274" spans="1:9" x14ac:dyDescent="0.25">
      <c r="A1274" s="19">
        <v>42158</v>
      </c>
      <c r="B1274" s="20">
        <v>0.94444444444444442</v>
      </c>
      <c r="C1274" t="str">
        <f t="shared" si="133"/>
        <v>15</v>
      </c>
      <c r="D1274" t="str">
        <f t="shared" si="134"/>
        <v>06</v>
      </c>
      <c r="E1274" t="str">
        <f t="shared" si="135"/>
        <v>03</v>
      </c>
      <c r="F1274">
        <f t="shared" si="136"/>
        <v>2015</v>
      </c>
      <c r="G1274">
        <f t="shared" si="137"/>
        <v>6</v>
      </c>
      <c r="H1274">
        <f t="shared" si="138"/>
        <v>3</v>
      </c>
      <c r="I1274" t="str">
        <f t="shared" si="139"/>
        <v>15</v>
      </c>
    </row>
    <row r="1275" spans="1:9" x14ac:dyDescent="0.25">
      <c r="A1275" s="19">
        <v>41141</v>
      </c>
      <c r="B1275" s="20">
        <v>8.819444444444445E-2</v>
      </c>
      <c r="C1275" t="str">
        <f t="shared" si="133"/>
        <v>12</v>
      </c>
      <c r="D1275" t="str">
        <f t="shared" si="134"/>
        <v>08</v>
      </c>
      <c r="E1275" t="str">
        <f t="shared" si="135"/>
        <v>20</v>
      </c>
      <c r="F1275">
        <f t="shared" si="136"/>
        <v>2012</v>
      </c>
      <c r="G1275">
        <f t="shared" si="137"/>
        <v>8</v>
      </c>
      <c r="H1275">
        <f t="shared" si="138"/>
        <v>20</v>
      </c>
      <c r="I1275" t="str">
        <f t="shared" si="139"/>
        <v>12</v>
      </c>
    </row>
    <row r="1276" spans="1:9" x14ac:dyDescent="0.25">
      <c r="A1276" s="19">
        <v>41463</v>
      </c>
      <c r="B1276" s="20">
        <v>5.6944444444444443E-2</v>
      </c>
      <c r="C1276" t="str">
        <f t="shared" si="133"/>
        <v>13</v>
      </c>
      <c r="D1276" t="str">
        <f t="shared" si="134"/>
        <v>07</v>
      </c>
      <c r="E1276" t="str">
        <f t="shared" si="135"/>
        <v>08</v>
      </c>
      <c r="F1276">
        <f t="shared" si="136"/>
        <v>2013</v>
      </c>
      <c r="G1276">
        <f t="shared" si="137"/>
        <v>7</v>
      </c>
      <c r="H1276">
        <f t="shared" si="138"/>
        <v>8</v>
      </c>
      <c r="I1276" t="str">
        <f t="shared" si="139"/>
        <v>13</v>
      </c>
    </row>
    <row r="1277" spans="1:9" x14ac:dyDescent="0.25">
      <c r="A1277" s="19">
        <v>42029</v>
      </c>
      <c r="B1277" s="20">
        <v>8.3333333333333332E-3</v>
      </c>
      <c r="C1277" t="str">
        <f t="shared" si="133"/>
        <v>15</v>
      </c>
      <c r="D1277" t="str">
        <f t="shared" si="134"/>
        <v>01</v>
      </c>
      <c r="E1277" t="str">
        <f t="shared" si="135"/>
        <v>25</v>
      </c>
      <c r="F1277">
        <f t="shared" si="136"/>
        <v>2015</v>
      </c>
      <c r="G1277">
        <f t="shared" si="137"/>
        <v>1</v>
      </c>
      <c r="H1277">
        <f t="shared" si="138"/>
        <v>25</v>
      </c>
      <c r="I1277" t="str">
        <f t="shared" si="139"/>
        <v>15</v>
      </c>
    </row>
    <row r="1278" spans="1:9" x14ac:dyDescent="0.25">
      <c r="A1278" s="19">
        <v>41115</v>
      </c>
      <c r="B1278" s="20">
        <v>0.98888888888888893</v>
      </c>
      <c r="C1278" t="str">
        <f t="shared" si="133"/>
        <v>12</v>
      </c>
      <c r="D1278" t="str">
        <f t="shared" si="134"/>
        <v>07</v>
      </c>
      <c r="E1278" t="str">
        <f t="shared" si="135"/>
        <v>25</v>
      </c>
      <c r="F1278">
        <f t="shared" si="136"/>
        <v>2012</v>
      </c>
      <c r="G1278">
        <f t="shared" si="137"/>
        <v>7</v>
      </c>
      <c r="H1278">
        <f t="shared" si="138"/>
        <v>25</v>
      </c>
      <c r="I1278" t="str">
        <f t="shared" si="139"/>
        <v>12</v>
      </c>
    </row>
    <row r="1279" spans="1:9" x14ac:dyDescent="0.25">
      <c r="A1279" s="19">
        <v>41653</v>
      </c>
      <c r="B1279" s="20">
        <v>0.95902777777777781</v>
      </c>
      <c r="C1279" t="str">
        <f t="shared" si="133"/>
        <v>14</v>
      </c>
      <c r="D1279" t="str">
        <f t="shared" si="134"/>
        <v>01</v>
      </c>
      <c r="E1279" t="str">
        <f t="shared" si="135"/>
        <v>14</v>
      </c>
      <c r="F1279">
        <f t="shared" si="136"/>
        <v>2014</v>
      </c>
      <c r="G1279">
        <f t="shared" si="137"/>
        <v>1</v>
      </c>
      <c r="H1279">
        <f t="shared" si="138"/>
        <v>14</v>
      </c>
      <c r="I1279" t="str">
        <f t="shared" si="139"/>
        <v>14</v>
      </c>
    </row>
    <row r="1280" spans="1:9" x14ac:dyDescent="0.25">
      <c r="A1280" s="19">
        <v>41213</v>
      </c>
      <c r="B1280" s="20">
        <v>0.98611111111111116</v>
      </c>
      <c r="C1280" t="str">
        <f t="shared" si="133"/>
        <v>12</v>
      </c>
      <c r="D1280" t="str">
        <f t="shared" si="134"/>
        <v>10</v>
      </c>
      <c r="E1280" t="str">
        <f t="shared" si="135"/>
        <v>31</v>
      </c>
      <c r="F1280">
        <f t="shared" si="136"/>
        <v>2012</v>
      </c>
      <c r="G1280">
        <f t="shared" si="137"/>
        <v>10</v>
      </c>
      <c r="H1280">
        <f t="shared" si="138"/>
        <v>31</v>
      </c>
      <c r="I1280" t="str">
        <f t="shared" si="139"/>
        <v>12</v>
      </c>
    </row>
    <row r="1281" spans="1:9" x14ac:dyDescent="0.25">
      <c r="A1281" s="19">
        <v>41444</v>
      </c>
      <c r="B1281" s="20">
        <v>7.1527777777777773E-2</v>
      </c>
      <c r="C1281" t="str">
        <f t="shared" si="133"/>
        <v>13</v>
      </c>
      <c r="D1281" t="str">
        <f t="shared" si="134"/>
        <v>06</v>
      </c>
      <c r="E1281" t="str">
        <f t="shared" si="135"/>
        <v>19</v>
      </c>
      <c r="F1281">
        <f t="shared" si="136"/>
        <v>2013</v>
      </c>
      <c r="G1281">
        <f t="shared" si="137"/>
        <v>6</v>
      </c>
      <c r="H1281">
        <f t="shared" si="138"/>
        <v>19</v>
      </c>
      <c r="I1281" t="str">
        <f t="shared" si="139"/>
        <v>13</v>
      </c>
    </row>
    <row r="1282" spans="1:9" x14ac:dyDescent="0.25">
      <c r="A1282" s="19">
        <v>42134</v>
      </c>
      <c r="B1282" s="20">
        <v>2.7777777777777776E-2</v>
      </c>
      <c r="C1282" t="str">
        <f t="shared" si="133"/>
        <v>15</v>
      </c>
      <c r="D1282" t="str">
        <f t="shared" si="134"/>
        <v>05</v>
      </c>
      <c r="E1282" t="str">
        <f t="shared" si="135"/>
        <v>10</v>
      </c>
      <c r="F1282">
        <f t="shared" si="136"/>
        <v>2015</v>
      </c>
      <c r="G1282">
        <f t="shared" si="137"/>
        <v>5</v>
      </c>
      <c r="H1282">
        <f t="shared" si="138"/>
        <v>10</v>
      </c>
      <c r="I1282" t="str">
        <f t="shared" si="139"/>
        <v>15</v>
      </c>
    </row>
    <row r="1283" spans="1:9" x14ac:dyDescent="0.25">
      <c r="A1283" s="19">
        <v>41991</v>
      </c>
      <c r="B1283" s="20">
        <v>0.94722222222222219</v>
      </c>
      <c r="C1283" t="str">
        <f t="shared" ref="C1283:C1346" si="140">TEXT(A1283,"YY")</f>
        <v>14</v>
      </c>
      <c r="D1283" t="str">
        <f t="shared" ref="D1283:D1346" si="141">TEXT(A1283,"mm")</f>
        <v>12</v>
      </c>
      <c r="E1283" t="str">
        <f t="shared" ref="E1283:E1346" si="142">TEXT(A1283,"dd")</f>
        <v>18</v>
      </c>
      <c r="F1283">
        <f t="shared" ref="F1283:F1346" si="143">YEAR($A1283)</f>
        <v>2014</v>
      </c>
      <c r="G1283">
        <f t="shared" ref="G1283:G1346" si="144">MONTH($A1283)</f>
        <v>12</v>
      </c>
      <c r="H1283">
        <f t="shared" ref="H1283:H1346" si="145">DAY($A1283)</f>
        <v>18</v>
      </c>
      <c r="I1283" t="str">
        <f t="shared" ref="I1283:I1346" si="146">TEXT($A1283,"YY")</f>
        <v>14</v>
      </c>
    </row>
    <row r="1284" spans="1:9" x14ac:dyDescent="0.25">
      <c r="A1284" s="19">
        <v>41345</v>
      </c>
      <c r="B1284" s="20">
        <v>4.4444444444444446E-2</v>
      </c>
      <c r="C1284" t="str">
        <f t="shared" si="140"/>
        <v>13</v>
      </c>
      <c r="D1284" t="str">
        <f t="shared" si="141"/>
        <v>03</v>
      </c>
      <c r="E1284" t="str">
        <f t="shared" si="142"/>
        <v>12</v>
      </c>
      <c r="F1284">
        <f t="shared" si="143"/>
        <v>2013</v>
      </c>
      <c r="G1284">
        <f t="shared" si="144"/>
        <v>3</v>
      </c>
      <c r="H1284">
        <f t="shared" si="145"/>
        <v>12</v>
      </c>
      <c r="I1284" t="str">
        <f t="shared" si="146"/>
        <v>13</v>
      </c>
    </row>
    <row r="1285" spans="1:9" x14ac:dyDescent="0.25">
      <c r="A1285" s="19">
        <v>41717</v>
      </c>
      <c r="B1285" s="20">
        <v>1.7361111111111112E-2</v>
      </c>
      <c r="C1285" t="str">
        <f t="shared" si="140"/>
        <v>14</v>
      </c>
      <c r="D1285" t="str">
        <f t="shared" si="141"/>
        <v>03</v>
      </c>
      <c r="E1285" t="str">
        <f t="shared" si="142"/>
        <v>19</v>
      </c>
      <c r="F1285">
        <f t="shared" si="143"/>
        <v>2014</v>
      </c>
      <c r="G1285">
        <f t="shared" si="144"/>
        <v>3</v>
      </c>
      <c r="H1285">
        <f t="shared" si="145"/>
        <v>19</v>
      </c>
      <c r="I1285" t="str">
        <f t="shared" si="146"/>
        <v>14</v>
      </c>
    </row>
    <row r="1286" spans="1:9" x14ac:dyDescent="0.25">
      <c r="A1286" s="19">
        <v>42164</v>
      </c>
      <c r="B1286" s="20">
        <v>5.5555555555555558E-3</v>
      </c>
      <c r="C1286" t="str">
        <f t="shared" si="140"/>
        <v>15</v>
      </c>
      <c r="D1286" t="str">
        <f t="shared" si="141"/>
        <v>06</v>
      </c>
      <c r="E1286" t="str">
        <f t="shared" si="142"/>
        <v>09</v>
      </c>
      <c r="F1286">
        <f t="shared" si="143"/>
        <v>2015</v>
      </c>
      <c r="G1286">
        <f t="shared" si="144"/>
        <v>6</v>
      </c>
      <c r="H1286">
        <f t="shared" si="145"/>
        <v>9</v>
      </c>
      <c r="I1286" t="str">
        <f t="shared" si="146"/>
        <v>15</v>
      </c>
    </row>
    <row r="1287" spans="1:9" x14ac:dyDescent="0.25">
      <c r="A1287" s="19">
        <v>41086</v>
      </c>
      <c r="B1287" s="20">
        <v>4.791666666666667E-2</v>
      </c>
      <c r="C1287" t="str">
        <f t="shared" si="140"/>
        <v>12</v>
      </c>
      <c r="D1287" t="str">
        <f t="shared" si="141"/>
        <v>06</v>
      </c>
      <c r="E1287" t="str">
        <f t="shared" si="142"/>
        <v>26</v>
      </c>
      <c r="F1287">
        <f t="shared" si="143"/>
        <v>2012</v>
      </c>
      <c r="G1287">
        <f t="shared" si="144"/>
        <v>6</v>
      </c>
      <c r="H1287">
        <f t="shared" si="145"/>
        <v>26</v>
      </c>
      <c r="I1287" t="str">
        <f t="shared" si="146"/>
        <v>12</v>
      </c>
    </row>
    <row r="1288" spans="1:9" x14ac:dyDescent="0.25">
      <c r="A1288" s="19">
        <v>42358</v>
      </c>
      <c r="B1288" s="20">
        <v>5.0694444444444445E-2</v>
      </c>
      <c r="C1288" t="str">
        <f t="shared" si="140"/>
        <v>15</v>
      </c>
      <c r="D1288" t="str">
        <f t="shared" si="141"/>
        <v>12</v>
      </c>
      <c r="E1288" t="str">
        <f t="shared" si="142"/>
        <v>20</v>
      </c>
      <c r="F1288">
        <f t="shared" si="143"/>
        <v>2015</v>
      </c>
      <c r="G1288">
        <f t="shared" si="144"/>
        <v>12</v>
      </c>
      <c r="H1288">
        <f t="shared" si="145"/>
        <v>20</v>
      </c>
      <c r="I1288" t="str">
        <f t="shared" si="146"/>
        <v>15</v>
      </c>
    </row>
    <row r="1289" spans="1:9" x14ac:dyDescent="0.25">
      <c r="A1289" s="19">
        <v>41230</v>
      </c>
      <c r="B1289" s="20">
        <v>3.888888888888889E-2</v>
      </c>
      <c r="C1289" t="str">
        <f t="shared" si="140"/>
        <v>12</v>
      </c>
      <c r="D1289" t="str">
        <f t="shared" si="141"/>
        <v>11</v>
      </c>
      <c r="E1289" t="str">
        <f t="shared" si="142"/>
        <v>17</v>
      </c>
      <c r="F1289">
        <f t="shared" si="143"/>
        <v>2012</v>
      </c>
      <c r="G1289">
        <f t="shared" si="144"/>
        <v>11</v>
      </c>
      <c r="H1289">
        <f t="shared" si="145"/>
        <v>17</v>
      </c>
      <c r="I1289" t="str">
        <f t="shared" si="146"/>
        <v>12</v>
      </c>
    </row>
    <row r="1290" spans="1:9" x14ac:dyDescent="0.25">
      <c r="A1290" s="19">
        <v>41083</v>
      </c>
      <c r="B1290" s="20">
        <v>1.8055555555555554E-2</v>
      </c>
      <c r="C1290" t="str">
        <f t="shared" si="140"/>
        <v>12</v>
      </c>
      <c r="D1290" t="str">
        <f t="shared" si="141"/>
        <v>06</v>
      </c>
      <c r="E1290" t="str">
        <f t="shared" si="142"/>
        <v>23</v>
      </c>
      <c r="F1290">
        <f t="shared" si="143"/>
        <v>2012</v>
      </c>
      <c r="G1290">
        <f t="shared" si="144"/>
        <v>6</v>
      </c>
      <c r="H1290">
        <f t="shared" si="145"/>
        <v>23</v>
      </c>
      <c r="I1290" t="str">
        <f t="shared" si="146"/>
        <v>12</v>
      </c>
    </row>
    <row r="1291" spans="1:9" x14ac:dyDescent="0.25">
      <c r="A1291" s="19">
        <v>41406</v>
      </c>
      <c r="B1291" s="20">
        <v>3.0555555555555555E-2</v>
      </c>
      <c r="C1291" t="str">
        <f t="shared" si="140"/>
        <v>13</v>
      </c>
      <c r="D1291" t="str">
        <f t="shared" si="141"/>
        <v>05</v>
      </c>
      <c r="E1291" t="str">
        <f t="shared" si="142"/>
        <v>12</v>
      </c>
      <c r="F1291">
        <f t="shared" si="143"/>
        <v>2013</v>
      </c>
      <c r="G1291">
        <f t="shared" si="144"/>
        <v>5</v>
      </c>
      <c r="H1291">
        <f t="shared" si="145"/>
        <v>12</v>
      </c>
      <c r="I1291" t="str">
        <f t="shared" si="146"/>
        <v>13</v>
      </c>
    </row>
    <row r="1292" spans="1:9" x14ac:dyDescent="0.25">
      <c r="A1292" s="19">
        <v>41488</v>
      </c>
      <c r="B1292" s="20">
        <v>5.7638888888888892E-2</v>
      </c>
      <c r="C1292" t="str">
        <f t="shared" si="140"/>
        <v>13</v>
      </c>
      <c r="D1292" t="str">
        <f t="shared" si="141"/>
        <v>08</v>
      </c>
      <c r="E1292" t="str">
        <f t="shared" si="142"/>
        <v>02</v>
      </c>
      <c r="F1292">
        <f t="shared" si="143"/>
        <v>2013</v>
      </c>
      <c r="G1292">
        <f t="shared" si="144"/>
        <v>8</v>
      </c>
      <c r="H1292">
        <f t="shared" si="145"/>
        <v>2</v>
      </c>
      <c r="I1292" t="str">
        <f t="shared" si="146"/>
        <v>13</v>
      </c>
    </row>
    <row r="1293" spans="1:9" x14ac:dyDescent="0.25">
      <c r="A1293" s="19">
        <v>41449</v>
      </c>
      <c r="B1293" s="20">
        <v>3.1944444444444442E-2</v>
      </c>
      <c r="C1293" t="str">
        <f t="shared" si="140"/>
        <v>13</v>
      </c>
      <c r="D1293" t="str">
        <f t="shared" si="141"/>
        <v>06</v>
      </c>
      <c r="E1293" t="str">
        <f t="shared" si="142"/>
        <v>24</v>
      </c>
      <c r="F1293">
        <f t="shared" si="143"/>
        <v>2013</v>
      </c>
      <c r="G1293">
        <f t="shared" si="144"/>
        <v>6</v>
      </c>
      <c r="H1293">
        <f t="shared" si="145"/>
        <v>24</v>
      </c>
      <c r="I1293" t="str">
        <f t="shared" si="146"/>
        <v>13</v>
      </c>
    </row>
    <row r="1294" spans="1:9" x14ac:dyDescent="0.25">
      <c r="A1294" s="19">
        <v>41442</v>
      </c>
      <c r="B1294" s="20">
        <v>0.97222222222222221</v>
      </c>
      <c r="C1294" t="str">
        <f t="shared" si="140"/>
        <v>13</v>
      </c>
      <c r="D1294" t="str">
        <f t="shared" si="141"/>
        <v>06</v>
      </c>
      <c r="E1294" t="str">
        <f t="shared" si="142"/>
        <v>17</v>
      </c>
      <c r="F1294">
        <f t="shared" si="143"/>
        <v>2013</v>
      </c>
      <c r="G1294">
        <f t="shared" si="144"/>
        <v>6</v>
      </c>
      <c r="H1294">
        <f t="shared" si="145"/>
        <v>17</v>
      </c>
      <c r="I1294" t="str">
        <f t="shared" si="146"/>
        <v>13</v>
      </c>
    </row>
    <row r="1295" spans="1:9" x14ac:dyDescent="0.25">
      <c r="A1295" s="19">
        <v>41142</v>
      </c>
      <c r="B1295" s="20">
        <v>5.8333333333333334E-2</v>
      </c>
      <c r="C1295" t="str">
        <f t="shared" si="140"/>
        <v>12</v>
      </c>
      <c r="D1295" t="str">
        <f t="shared" si="141"/>
        <v>08</v>
      </c>
      <c r="E1295" t="str">
        <f t="shared" si="142"/>
        <v>21</v>
      </c>
      <c r="F1295">
        <f t="shared" si="143"/>
        <v>2012</v>
      </c>
      <c r="G1295">
        <f t="shared" si="144"/>
        <v>8</v>
      </c>
      <c r="H1295">
        <f t="shared" si="145"/>
        <v>21</v>
      </c>
      <c r="I1295" t="str">
        <f t="shared" si="146"/>
        <v>12</v>
      </c>
    </row>
    <row r="1296" spans="1:9" x14ac:dyDescent="0.25">
      <c r="A1296" s="19">
        <v>41623</v>
      </c>
      <c r="B1296" s="20">
        <v>3.8194444444444448E-2</v>
      </c>
      <c r="C1296" t="str">
        <f t="shared" si="140"/>
        <v>13</v>
      </c>
      <c r="D1296" t="str">
        <f t="shared" si="141"/>
        <v>12</v>
      </c>
      <c r="E1296" t="str">
        <f t="shared" si="142"/>
        <v>15</v>
      </c>
      <c r="F1296">
        <f t="shared" si="143"/>
        <v>2013</v>
      </c>
      <c r="G1296">
        <f t="shared" si="144"/>
        <v>12</v>
      </c>
      <c r="H1296">
        <f t="shared" si="145"/>
        <v>15</v>
      </c>
      <c r="I1296" t="str">
        <f t="shared" si="146"/>
        <v>13</v>
      </c>
    </row>
    <row r="1297" spans="1:9" x14ac:dyDescent="0.25">
      <c r="A1297" s="19">
        <v>41375</v>
      </c>
      <c r="B1297" s="20">
        <v>7.2916666666666671E-2</v>
      </c>
      <c r="C1297" t="str">
        <f t="shared" si="140"/>
        <v>13</v>
      </c>
      <c r="D1297" t="str">
        <f t="shared" si="141"/>
        <v>04</v>
      </c>
      <c r="E1297" t="str">
        <f t="shared" si="142"/>
        <v>11</v>
      </c>
      <c r="F1297">
        <f t="shared" si="143"/>
        <v>2013</v>
      </c>
      <c r="G1297">
        <f t="shared" si="144"/>
        <v>4</v>
      </c>
      <c r="H1297">
        <f t="shared" si="145"/>
        <v>11</v>
      </c>
      <c r="I1297" t="str">
        <f t="shared" si="146"/>
        <v>13</v>
      </c>
    </row>
    <row r="1298" spans="1:9" x14ac:dyDescent="0.25">
      <c r="A1298" s="19">
        <v>41668</v>
      </c>
      <c r="B1298" s="20">
        <v>0.98541666666666672</v>
      </c>
      <c r="C1298" t="str">
        <f t="shared" si="140"/>
        <v>14</v>
      </c>
      <c r="D1298" t="str">
        <f t="shared" si="141"/>
        <v>01</v>
      </c>
      <c r="E1298" t="str">
        <f t="shared" si="142"/>
        <v>29</v>
      </c>
      <c r="F1298">
        <f t="shared" si="143"/>
        <v>2014</v>
      </c>
      <c r="G1298">
        <f t="shared" si="144"/>
        <v>1</v>
      </c>
      <c r="H1298">
        <f t="shared" si="145"/>
        <v>29</v>
      </c>
      <c r="I1298" t="str">
        <f t="shared" si="146"/>
        <v>14</v>
      </c>
    </row>
    <row r="1299" spans="1:9" x14ac:dyDescent="0.25">
      <c r="A1299" s="19">
        <v>42273</v>
      </c>
      <c r="B1299" s="20">
        <v>5.0694444444444445E-2</v>
      </c>
      <c r="C1299" t="str">
        <f t="shared" si="140"/>
        <v>15</v>
      </c>
      <c r="D1299" t="str">
        <f t="shared" si="141"/>
        <v>09</v>
      </c>
      <c r="E1299" t="str">
        <f t="shared" si="142"/>
        <v>26</v>
      </c>
      <c r="F1299">
        <f t="shared" si="143"/>
        <v>2015</v>
      </c>
      <c r="G1299">
        <f t="shared" si="144"/>
        <v>9</v>
      </c>
      <c r="H1299">
        <f t="shared" si="145"/>
        <v>26</v>
      </c>
      <c r="I1299" t="str">
        <f t="shared" si="146"/>
        <v>15</v>
      </c>
    </row>
    <row r="1300" spans="1:9" x14ac:dyDescent="0.25">
      <c r="A1300" s="19">
        <v>42252</v>
      </c>
      <c r="B1300" s="20">
        <v>6.8750000000000006E-2</v>
      </c>
      <c r="C1300" t="str">
        <f t="shared" si="140"/>
        <v>15</v>
      </c>
      <c r="D1300" t="str">
        <f t="shared" si="141"/>
        <v>09</v>
      </c>
      <c r="E1300" t="str">
        <f t="shared" si="142"/>
        <v>05</v>
      </c>
      <c r="F1300">
        <f t="shared" si="143"/>
        <v>2015</v>
      </c>
      <c r="G1300">
        <f t="shared" si="144"/>
        <v>9</v>
      </c>
      <c r="H1300">
        <f t="shared" si="145"/>
        <v>5</v>
      </c>
      <c r="I1300" t="str">
        <f t="shared" si="146"/>
        <v>15</v>
      </c>
    </row>
    <row r="1301" spans="1:9" x14ac:dyDescent="0.25">
      <c r="A1301" s="19">
        <v>41092</v>
      </c>
      <c r="B1301" s="20">
        <v>0.9916666666666667</v>
      </c>
      <c r="C1301" t="str">
        <f t="shared" si="140"/>
        <v>12</v>
      </c>
      <c r="D1301" t="str">
        <f t="shared" si="141"/>
        <v>07</v>
      </c>
      <c r="E1301" t="str">
        <f t="shared" si="142"/>
        <v>02</v>
      </c>
      <c r="F1301">
        <f t="shared" si="143"/>
        <v>2012</v>
      </c>
      <c r="G1301">
        <f t="shared" si="144"/>
        <v>7</v>
      </c>
      <c r="H1301">
        <f t="shared" si="145"/>
        <v>2</v>
      </c>
      <c r="I1301" t="str">
        <f t="shared" si="146"/>
        <v>12</v>
      </c>
    </row>
    <row r="1302" spans="1:9" x14ac:dyDescent="0.25">
      <c r="A1302" s="19">
        <v>42061</v>
      </c>
      <c r="B1302" s="20">
        <v>1.1111111111111112E-2</v>
      </c>
      <c r="C1302" t="str">
        <f t="shared" si="140"/>
        <v>15</v>
      </c>
      <c r="D1302" t="str">
        <f t="shared" si="141"/>
        <v>02</v>
      </c>
      <c r="E1302" t="str">
        <f t="shared" si="142"/>
        <v>26</v>
      </c>
      <c r="F1302">
        <f t="shared" si="143"/>
        <v>2015</v>
      </c>
      <c r="G1302">
        <f t="shared" si="144"/>
        <v>2</v>
      </c>
      <c r="H1302">
        <f t="shared" si="145"/>
        <v>26</v>
      </c>
      <c r="I1302" t="str">
        <f t="shared" si="146"/>
        <v>15</v>
      </c>
    </row>
    <row r="1303" spans="1:9" x14ac:dyDescent="0.25">
      <c r="A1303" s="19">
        <v>41860</v>
      </c>
      <c r="B1303" s="20">
        <v>5.2777777777777778E-2</v>
      </c>
      <c r="C1303" t="str">
        <f t="shared" si="140"/>
        <v>14</v>
      </c>
      <c r="D1303" t="str">
        <f t="shared" si="141"/>
        <v>08</v>
      </c>
      <c r="E1303" t="str">
        <f t="shared" si="142"/>
        <v>09</v>
      </c>
      <c r="F1303">
        <f t="shared" si="143"/>
        <v>2014</v>
      </c>
      <c r="G1303">
        <f t="shared" si="144"/>
        <v>8</v>
      </c>
      <c r="H1303">
        <f t="shared" si="145"/>
        <v>9</v>
      </c>
      <c r="I1303" t="str">
        <f t="shared" si="146"/>
        <v>14</v>
      </c>
    </row>
    <row r="1304" spans="1:9" x14ac:dyDescent="0.25">
      <c r="A1304" s="19">
        <v>42747</v>
      </c>
      <c r="B1304" s="20">
        <v>4.3749999999999997E-2</v>
      </c>
      <c r="C1304" t="str">
        <f t="shared" si="140"/>
        <v>17</v>
      </c>
      <c r="D1304" t="str">
        <f t="shared" si="141"/>
        <v>01</v>
      </c>
      <c r="E1304" t="str">
        <f t="shared" si="142"/>
        <v>12</v>
      </c>
      <c r="F1304">
        <f t="shared" si="143"/>
        <v>2017</v>
      </c>
      <c r="G1304">
        <f t="shared" si="144"/>
        <v>1</v>
      </c>
      <c r="H1304">
        <f t="shared" si="145"/>
        <v>12</v>
      </c>
      <c r="I1304" t="str">
        <f t="shared" si="146"/>
        <v>17</v>
      </c>
    </row>
    <row r="1305" spans="1:9" x14ac:dyDescent="0.25">
      <c r="A1305" s="19">
        <v>41667</v>
      </c>
      <c r="B1305" s="20">
        <v>2.4305555555555556E-2</v>
      </c>
      <c r="C1305" t="str">
        <f t="shared" si="140"/>
        <v>14</v>
      </c>
      <c r="D1305" t="str">
        <f t="shared" si="141"/>
        <v>01</v>
      </c>
      <c r="E1305" t="str">
        <f t="shared" si="142"/>
        <v>28</v>
      </c>
      <c r="F1305">
        <f t="shared" si="143"/>
        <v>2014</v>
      </c>
      <c r="G1305">
        <f t="shared" si="144"/>
        <v>1</v>
      </c>
      <c r="H1305">
        <f t="shared" si="145"/>
        <v>28</v>
      </c>
      <c r="I1305" t="str">
        <f t="shared" si="146"/>
        <v>14</v>
      </c>
    </row>
    <row r="1306" spans="1:9" x14ac:dyDescent="0.25">
      <c r="A1306" s="19">
        <v>41239</v>
      </c>
      <c r="B1306" s="20">
        <v>3.4027777777777775E-2</v>
      </c>
      <c r="C1306" t="str">
        <f t="shared" si="140"/>
        <v>12</v>
      </c>
      <c r="D1306" t="str">
        <f t="shared" si="141"/>
        <v>11</v>
      </c>
      <c r="E1306" t="str">
        <f t="shared" si="142"/>
        <v>26</v>
      </c>
      <c r="F1306">
        <f t="shared" si="143"/>
        <v>2012</v>
      </c>
      <c r="G1306">
        <f t="shared" si="144"/>
        <v>11</v>
      </c>
      <c r="H1306">
        <f t="shared" si="145"/>
        <v>26</v>
      </c>
      <c r="I1306" t="str">
        <f t="shared" si="146"/>
        <v>12</v>
      </c>
    </row>
    <row r="1307" spans="1:9" x14ac:dyDescent="0.25">
      <c r="A1307" s="19">
        <v>42175</v>
      </c>
      <c r="B1307" s="20">
        <v>6.7361111111111108E-2</v>
      </c>
      <c r="C1307" t="str">
        <f t="shared" si="140"/>
        <v>15</v>
      </c>
      <c r="D1307" t="str">
        <f t="shared" si="141"/>
        <v>06</v>
      </c>
      <c r="E1307" t="str">
        <f t="shared" si="142"/>
        <v>20</v>
      </c>
      <c r="F1307">
        <f t="shared" si="143"/>
        <v>2015</v>
      </c>
      <c r="G1307">
        <f t="shared" si="144"/>
        <v>6</v>
      </c>
      <c r="H1307">
        <f t="shared" si="145"/>
        <v>20</v>
      </c>
      <c r="I1307" t="str">
        <f t="shared" si="146"/>
        <v>15</v>
      </c>
    </row>
    <row r="1308" spans="1:9" x14ac:dyDescent="0.25">
      <c r="A1308" s="19">
        <v>42177</v>
      </c>
      <c r="B1308" s="20">
        <v>3.9583333333333331E-2</v>
      </c>
      <c r="C1308" t="str">
        <f t="shared" si="140"/>
        <v>15</v>
      </c>
      <c r="D1308" t="str">
        <f t="shared" si="141"/>
        <v>06</v>
      </c>
      <c r="E1308" t="str">
        <f t="shared" si="142"/>
        <v>22</v>
      </c>
      <c r="F1308">
        <f t="shared" si="143"/>
        <v>2015</v>
      </c>
      <c r="G1308">
        <f t="shared" si="144"/>
        <v>6</v>
      </c>
      <c r="H1308">
        <f t="shared" si="145"/>
        <v>22</v>
      </c>
      <c r="I1308" t="str">
        <f t="shared" si="146"/>
        <v>15</v>
      </c>
    </row>
    <row r="1309" spans="1:9" x14ac:dyDescent="0.25">
      <c r="A1309" s="19">
        <v>41938</v>
      </c>
      <c r="B1309" s="20">
        <v>0.97430555555555554</v>
      </c>
      <c r="C1309" t="str">
        <f t="shared" si="140"/>
        <v>14</v>
      </c>
      <c r="D1309" t="str">
        <f t="shared" si="141"/>
        <v>10</v>
      </c>
      <c r="E1309" t="str">
        <f t="shared" si="142"/>
        <v>26</v>
      </c>
      <c r="F1309">
        <f t="shared" si="143"/>
        <v>2014</v>
      </c>
      <c r="G1309">
        <f t="shared" si="144"/>
        <v>10</v>
      </c>
      <c r="H1309">
        <f t="shared" si="145"/>
        <v>26</v>
      </c>
      <c r="I1309" t="str">
        <f t="shared" si="146"/>
        <v>14</v>
      </c>
    </row>
    <row r="1310" spans="1:9" x14ac:dyDescent="0.25">
      <c r="A1310" s="19">
        <v>41588</v>
      </c>
      <c r="B1310" s="20">
        <v>1.9444444444444445E-2</v>
      </c>
      <c r="C1310" t="str">
        <f t="shared" si="140"/>
        <v>13</v>
      </c>
      <c r="D1310" t="str">
        <f t="shared" si="141"/>
        <v>11</v>
      </c>
      <c r="E1310" t="str">
        <f t="shared" si="142"/>
        <v>10</v>
      </c>
      <c r="F1310">
        <f t="shared" si="143"/>
        <v>2013</v>
      </c>
      <c r="G1310">
        <f t="shared" si="144"/>
        <v>11</v>
      </c>
      <c r="H1310">
        <f t="shared" si="145"/>
        <v>10</v>
      </c>
      <c r="I1310" t="str">
        <f t="shared" si="146"/>
        <v>13</v>
      </c>
    </row>
    <row r="1311" spans="1:9" x14ac:dyDescent="0.25">
      <c r="A1311" s="19">
        <v>41420</v>
      </c>
      <c r="B1311" s="20">
        <v>2.361111111111111E-2</v>
      </c>
      <c r="C1311" t="str">
        <f t="shared" si="140"/>
        <v>13</v>
      </c>
      <c r="D1311" t="str">
        <f t="shared" si="141"/>
        <v>05</v>
      </c>
      <c r="E1311" t="str">
        <f t="shared" si="142"/>
        <v>26</v>
      </c>
      <c r="F1311">
        <f t="shared" si="143"/>
        <v>2013</v>
      </c>
      <c r="G1311">
        <f t="shared" si="144"/>
        <v>5</v>
      </c>
      <c r="H1311">
        <f t="shared" si="145"/>
        <v>26</v>
      </c>
      <c r="I1311" t="str">
        <f t="shared" si="146"/>
        <v>13</v>
      </c>
    </row>
    <row r="1312" spans="1:9" x14ac:dyDescent="0.25">
      <c r="A1312" s="19">
        <v>41186</v>
      </c>
      <c r="B1312" s="20">
        <v>0.99236111111111114</v>
      </c>
      <c r="C1312" t="str">
        <f t="shared" si="140"/>
        <v>12</v>
      </c>
      <c r="D1312" t="str">
        <f t="shared" si="141"/>
        <v>10</v>
      </c>
      <c r="E1312" t="str">
        <f t="shared" si="142"/>
        <v>04</v>
      </c>
      <c r="F1312">
        <f t="shared" si="143"/>
        <v>2012</v>
      </c>
      <c r="G1312">
        <f t="shared" si="144"/>
        <v>10</v>
      </c>
      <c r="H1312">
        <f t="shared" si="145"/>
        <v>4</v>
      </c>
      <c r="I1312" t="str">
        <f t="shared" si="146"/>
        <v>12</v>
      </c>
    </row>
    <row r="1313" spans="1:9" x14ac:dyDescent="0.25">
      <c r="A1313" s="19">
        <v>41104</v>
      </c>
      <c r="B1313" s="20">
        <v>0.97083333333333333</v>
      </c>
      <c r="C1313" t="str">
        <f t="shared" si="140"/>
        <v>12</v>
      </c>
      <c r="D1313" t="str">
        <f t="shared" si="141"/>
        <v>07</v>
      </c>
      <c r="E1313" t="str">
        <f t="shared" si="142"/>
        <v>14</v>
      </c>
      <c r="F1313">
        <f t="shared" si="143"/>
        <v>2012</v>
      </c>
      <c r="G1313">
        <f t="shared" si="144"/>
        <v>7</v>
      </c>
      <c r="H1313">
        <f t="shared" si="145"/>
        <v>14</v>
      </c>
      <c r="I1313" t="str">
        <f t="shared" si="146"/>
        <v>12</v>
      </c>
    </row>
    <row r="1314" spans="1:9" x14ac:dyDescent="0.25">
      <c r="A1314" s="19">
        <v>41083</v>
      </c>
      <c r="B1314" s="20">
        <v>0.9868055555555556</v>
      </c>
      <c r="C1314" t="str">
        <f t="shared" si="140"/>
        <v>12</v>
      </c>
      <c r="D1314" t="str">
        <f t="shared" si="141"/>
        <v>06</v>
      </c>
      <c r="E1314" t="str">
        <f t="shared" si="142"/>
        <v>23</v>
      </c>
      <c r="F1314">
        <f t="shared" si="143"/>
        <v>2012</v>
      </c>
      <c r="G1314">
        <f t="shared" si="144"/>
        <v>6</v>
      </c>
      <c r="H1314">
        <f t="shared" si="145"/>
        <v>23</v>
      </c>
      <c r="I1314" t="str">
        <f t="shared" si="146"/>
        <v>12</v>
      </c>
    </row>
    <row r="1315" spans="1:9" x14ac:dyDescent="0.25">
      <c r="A1315" s="19">
        <v>41145</v>
      </c>
      <c r="B1315" s="20">
        <v>1.7361111111111112E-2</v>
      </c>
      <c r="C1315" t="str">
        <f t="shared" si="140"/>
        <v>12</v>
      </c>
      <c r="D1315" t="str">
        <f t="shared" si="141"/>
        <v>08</v>
      </c>
      <c r="E1315" t="str">
        <f t="shared" si="142"/>
        <v>24</v>
      </c>
      <c r="F1315">
        <f t="shared" si="143"/>
        <v>2012</v>
      </c>
      <c r="G1315">
        <f t="shared" si="144"/>
        <v>8</v>
      </c>
      <c r="H1315">
        <f t="shared" si="145"/>
        <v>24</v>
      </c>
      <c r="I1315" t="str">
        <f t="shared" si="146"/>
        <v>12</v>
      </c>
    </row>
    <row r="1316" spans="1:9" x14ac:dyDescent="0.25">
      <c r="A1316" s="19">
        <v>41394</v>
      </c>
      <c r="B1316" s="20">
        <v>7.6388888888888886E-3</v>
      </c>
      <c r="C1316" t="str">
        <f t="shared" si="140"/>
        <v>13</v>
      </c>
      <c r="D1316" t="str">
        <f t="shared" si="141"/>
        <v>04</v>
      </c>
      <c r="E1316" t="str">
        <f t="shared" si="142"/>
        <v>30</v>
      </c>
      <c r="F1316">
        <f t="shared" si="143"/>
        <v>2013</v>
      </c>
      <c r="G1316">
        <f t="shared" si="144"/>
        <v>4</v>
      </c>
      <c r="H1316">
        <f t="shared" si="145"/>
        <v>30</v>
      </c>
      <c r="I1316" t="str">
        <f t="shared" si="146"/>
        <v>13</v>
      </c>
    </row>
    <row r="1317" spans="1:9" x14ac:dyDescent="0.25">
      <c r="A1317" s="19">
        <v>42252</v>
      </c>
      <c r="B1317" s="20">
        <v>5.1388888888888887E-2</v>
      </c>
      <c r="C1317" t="str">
        <f t="shared" si="140"/>
        <v>15</v>
      </c>
      <c r="D1317" t="str">
        <f t="shared" si="141"/>
        <v>09</v>
      </c>
      <c r="E1317" t="str">
        <f t="shared" si="142"/>
        <v>05</v>
      </c>
      <c r="F1317">
        <f t="shared" si="143"/>
        <v>2015</v>
      </c>
      <c r="G1317">
        <f t="shared" si="144"/>
        <v>9</v>
      </c>
      <c r="H1317">
        <f t="shared" si="145"/>
        <v>5</v>
      </c>
      <c r="I1317" t="str">
        <f t="shared" si="146"/>
        <v>15</v>
      </c>
    </row>
    <row r="1318" spans="1:9" x14ac:dyDescent="0.25">
      <c r="A1318" s="19">
        <v>41298</v>
      </c>
      <c r="B1318" s="20">
        <v>0.98541666666666672</v>
      </c>
      <c r="C1318" t="str">
        <f t="shared" si="140"/>
        <v>13</v>
      </c>
      <c r="D1318" t="str">
        <f t="shared" si="141"/>
        <v>01</v>
      </c>
      <c r="E1318" t="str">
        <f t="shared" si="142"/>
        <v>24</v>
      </c>
      <c r="F1318">
        <f t="shared" si="143"/>
        <v>2013</v>
      </c>
      <c r="G1318">
        <f t="shared" si="144"/>
        <v>1</v>
      </c>
      <c r="H1318">
        <f t="shared" si="145"/>
        <v>24</v>
      </c>
      <c r="I1318" t="str">
        <f t="shared" si="146"/>
        <v>13</v>
      </c>
    </row>
    <row r="1319" spans="1:9" x14ac:dyDescent="0.25">
      <c r="A1319" s="19">
        <v>41627</v>
      </c>
      <c r="B1319" s="20">
        <v>0</v>
      </c>
      <c r="C1319" t="str">
        <f t="shared" si="140"/>
        <v>13</v>
      </c>
      <c r="D1319" t="str">
        <f t="shared" si="141"/>
        <v>12</v>
      </c>
      <c r="E1319" t="str">
        <f t="shared" si="142"/>
        <v>19</v>
      </c>
      <c r="F1319">
        <f t="shared" si="143"/>
        <v>2013</v>
      </c>
      <c r="G1319">
        <f t="shared" si="144"/>
        <v>12</v>
      </c>
      <c r="H1319">
        <f t="shared" si="145"/>
        <v>19</v>
      </c>
      <c r="I1319" t="str">
        <f t="shared" si="146"/>
        <v>13</v>
      </c>
    </row>
    <row r="1320" spans="1:9" x14ac:dyDescent="0.25">
      <c r="A1320" s="19">
        <v>41267</v>
      </c>
      <c r="B1320" s="20">
        <v>7.8472222222222221E-2</v>
      </c>
      <c r="C1320" t="str">
        <f t="shared" si="140"/>
        <v>12</v>
      </c>
      <c r="D1320" t="str">
        <f t="shared" si="141"/>
        <v>12</v>
      </c>
      <c r="E1320" t="str">
        <f t="shared" si="142"/>
        <v>24</v>
      </c>
      <c r="F1320">
        <f t="shared" si="143"/>
        <v>2012</v>
      </c>
      <c r="G1320">
        <f t="shared" si="144"/>
        <v>12</v>
      </c>
      <c r="H1320">
        <f t="shared" si="145"/>
        <v>24</v>
      </c>
      <c r="I1320" t="str">
        <f t="shared" si="146"/>
        <v>12</v>
      </c>
    </row>
    <row r="1321" spans="1:9" x14ac:dyDescent="0.25">
      <c r="A1321" s="19">
        <v>42062</v>
      </c>
      <c r="B1321" s="20">
        <v>0.95138888888888884</v>
      </c>
      <c r="C1321" t="str">
        <f t="shared" si="140"/>
        <v>15</v>
      </c>
      <c r="D1321" t="str">
        <f t="shared" si="141"/>
        <v>02</v>
      </c>
      <c r="E1321" t="str">
        <f t="shared" si="142"/>
        <v>27</v>
      </c>
      <c r="F1321">
        <f t="shared" si="143"/>
        <v>2015</v>
      </c>
      <c r="G1321">
        <f t="shared" si="144"/>
        <v>2</v>
      </c>
      <c r="H1321">
        <f t="shared" si="145"/>
        <v>27</v>
      </c>
      <c r="I1321" t="str">
        <f t="shared" si="146"/>
        <v>15</v>
      </c>
    </row>
    <row r="1322" spans="1:9" x14ac:dyDescent="0.25">
      <c r="A1322" s="19">
        <v>41967</v>
      </c>
      <c r="B1322" s="20">
        <v>3.6805555555555557E-2</v>
      </c>
      <c r="C1322" t="str">
        <f t="shared" si="140"/>
        <v>14</v>
      </c>
      <c r="D1322" t="str">
        <f t="shared" si="141"/>
        <v>11</v>
      </c>
      <c r="E1322" t="str">
        <f t="shared" si="142"/>
        <v>24</v>
      </c>
      <c r="F1322">
        <f t="shared" si="143"/>
        <v>2014</v>
      </c>
      <c r="G1322">
        <f t="shared" si="144"/>
        <v>11</v>
      </c>
      <c r="H1322">
        <f t="shared" si="145"/>
        <v>24</v>
      </c>
      <c r="I1322" t="str">
        <f t="shared" si="146"/>
        <v>14</v>
      </c>
    </row>
    <row r="1323" spans="1:9" x14ac:dyDescent="0.25">
      <c r="A1323" s="19">
        <v>41200</v>
      </c>
      <c r="B1323" s="20">
        <v>6.1111111111111109E-2</v>
      </c>
      <c r="C1323" t="str">
        <f t="shared" si="140"/>
        <v>12</v>
      </c>
      <c r="D1323" t="str">
        <f t="shared" si="141"/>
        <v>10</v>
      </c>
      <c r="E1323" t="str">
        <f t="shared" si="142"/>
        <v>18</v>
      </c>
      <c r="F1323">
        <f t="shared" si="143"/>
        <v>2012</v>
      </c>
      <c r="G1323">
        <f t="shared" si="144"/>
        <v>10</v>
      </c>
      <c r="H1323">
        <f t="shared" si="145"/>
        <v>18</v>
      </c>
      <c r="I1323" t="str">
        <f t="shared" si="146"/>
        <v>12</v>
      </c>
    </row>
    <row r="1324" spans="1:9" x14ac:dyDescent="0.25">
      <c r="A1324" s="19">
        <v>41111</v>
      </c>
      <c r="B1324" s="20">
        <v>8.1944444444444445E-2</v>
      </c>
      <c r="C1324" t="str">
        <f t="shared" si="140"/>
        <v>12</v>
      </c>
      <c r="D1324" t="str">
        <f t="shared" si="141"/>
        <v>07</v>
      </c>
      <c r="E1324" t="str">
        <f t="shared" si="142"/>
        <v>21</v>
      </c>
      <c r="F1324">
        <f t="shared" si="143"/>
        <v>2012</v>
      </c>
      <c r="G1324">
        <f t="shared" si="144"/>
        <v>7</v>
      </c>
      <c r="H1324">
        <f t="shared" si="145"/>
        <v>21</v>
      </c>
      <c r="I1324" t="str">
        <f t="shared" si="146"/>
        <v>12</v>
      </c>
    </row>
    <row r="1325" spans="1:9" x14ac:dyDescent="0.25">
      <c r="A1325" s="19">
        <v>42242</v>
      </c>
      <c r="B1325" s="20">
        <v>0.95694444444444449</v>
      </c>
      <c r="C1325" t="str">
        <f t="shared" si="140"/>
        <v>15</v>
      </c>
      <c r="D1325" t="str">
        <f t="shared" si="141"/>
        <v>08</v>
      </c>
      <c r="E1325" t="str">
        <f t="shared" si="142"/>
        <v>26</v>
      </c>
      <c r="F1325">
        <f t="shared" si="143"/>
        <v>2015</v>
      </c>
      <c r="G1325">
        <f t="shared" si="144"/>
        <v>8</v>
      </c>
      <c r="H1325">
        <f t="shared" si="145"/>
        <v>26</v>
      </c>
      <c r="I1325" t="str">
        <f t="shared" si="146"/>
        <v>15</v>
      </c>
    </row>
    <row r="1326" spans="1:9" x14ac:dyDescent="0.25">
      <c r="A1326" s="19">
        <v>42529</v>
      </c>
      <c r="B1326" s="20">
        <v>3.5416666666666666E-2</v>
      </c>
      <c r="C1326" t="str">
        <f t="shared" si="140"/>
        <v>16</v>
      </c>
      <c r="D1326" t="str">
        <f t="shared" si="141"/>
        <v>06</v>
      </c>
      <c r="E1326" t="str">
        <f t="shared" si="142"/>
        <v>08</v>
      </c>
      <c r="F1326">
        <f t="shared" si="143"/>
        <v>2016</v>
      </c>
      <c r="G1326">
        <f t="shared" si="144"/>
        <v>6</v>
      </c>
      <c r="H1326">
        <f t="shared" si="145"/>
        <v>8</v>
      </c>
      <c r="I1326" t="str">
        <f t="shared" si="146"/>
        <v>16</v>
      </c>
    </row>
    <row r="1327" spans="1:9" x14ac:dyDescent="0.25">
      <c r="A1327" s="19">
        <v>41627</v>
      </c>
      <c r="B1327" s="20">
        <v>0.98611111111111116</v>
      </c>
      <c r="C1327" t="str">
        <f t="shared" si="140"/>
        <v>13</v>
      </c>
      <c r="D1327" t="str">
        <f t="shared" si="141"/>
        <v>12</v>
      </c>
      <c r="E1327" t="str">
        <f t="shared" si="142"/>
        <v>19</v>
      </c>
      <c r="F1327">
        <f t="shared" si="143"/>
        <v>2013</v>
      </c>
      <c r="G1327">
        <f t="shared" si="144"/>
        <v>12</v>
      </c>
      <c r="H1327">
        <f t="shared" si="145"/>
        <v>19</v>
      </c>
      <c r="I1327" t="str">
        <f t="shared" si="146"/>
        <v>13</v>
      </c>
    </row>
    <row r="1328" spans="1:9" x14ac:dyDescent="0.25">
      <c r="A1328" s="19">
        <v>41900</v>
      </c>
      <c r="B1328" s="20">
        <v>0.94097222222222221</v>
      </c>
      <c r="C1328" t="str">
        <f t="shared" si="140"/>
        <v>14</v>
      </c>
      <c r="D1328" t="str">
        <f t="shared" si="141"/>
        <v>09</v>
      </c>
      <c r="E1328" t="str">
        <f t="shared" si="142"/>
        <v>18</v>
      </c>
      <c r="F1328">
        <f t="shared" si="143"/>
        <v>2014</v>
      </c>
      <c r="G1328">
        <f t="shared" si="144"/>
        <v>9</v>
      </c>
      <c r="H1328">
        <f t="shared" si="145"/>
        <v>18</v>
      </c>
      <c r="I1328" t="str">
        <f t="shared" si="146"/>
        <v>14</v>
      </c>
    </row>
    <row r="1329" spans="1:9" x14ac:dyDescent="0.25">
      <c r="A1329" s="19">
        <v>42113</v>
      </c>
      <c r="B1329" s="20">
        <v>5.8333333333333334E-2</v>
      </c>
      <c r="C1329" t="str">
        <f t="shared" si="140"/>
        <v>15</v>
      </c>
      <c r="D1329" t="str">
        <f t="shared" si="141"/>
        <v>04</v>
      </c>
      <c r="E1329" t="str">
        <f t="shared" si="142"/>
        <v>19</v>
      </c>
      <c r="F1329">
        <f t="shared" si="143"/>
        <v>2015</v>
      </c>
      <c r="G1329">
        <f t="shared" si="144"/>
        <v>4</v>
      </c>
      <c r="H1329">
        <f t="shared" si="145"/>
        <v>19</v>
      </c>
      <c r="I1329" t="str">
        <f t="shared" si="146"/>
        <v>15</v>
      </c>
    </row>
    <row r="1330" spans="1:9" x14ac:dyDescent="0.25">
      <c r="A1330" s="19">
        <v>41948</v>
      </c>
      <c r="B1330" s="20">
        <v>0.96180555555555558</v>
      </c>
      <c r="C1330" t="str">
        <f t="shared" si="140"/>
        <v>14</v>
      </c>
      <c r="D1330" t="str">
        <f t="shared" si="141"/>
        <v>11</v>
      </c>
      <c r="E1330" t="str">
        <f t="shared" si="142"/>
        <v>05</v>
      </c>
      <c r="F1330">
        <f t="shared" si="143"/>
        <v>2014</v>
      </c>
      <c r="G1330">
        <f t="shared" si="144"/>
        <v>11</v>
      </c>
      <c r="H1330">
        <f t="shared" si="145"/>
        <v>5</v>
      </c>
      <c r="I1330" t="str">
        <f t="shared" si="146"/>
        <v>14</v>
      </c>
    </row>
    <row r="1331" spans="1:9" x14ac:dyDescent="0.25">
      <c r="A1331" s="19">
        <v>41854</v>
      </c>
      <c r="B1331" s="20">
        <v>4.027777777777778E-2</v>
      </c>
      <c r="C1331" t="str">
        <f t="shared" si="140"/>
        <v>14</v>
      </c>
      <c r="D1331" t="str">
        <f t="shared" si="141"/>
        <v>08</v>
      </c>
      <c r="E1331" t="str">
        <f t="shared" si="142"/>
        <v>03</v>
      </c>
      <c r="F1331">
        <f t="shared" si="143"/>
        <v>2014</v>
      </c>
      <c r="G1331">
        <f t="shared" si="144"/>
        <v>8</v>
      </c>
      <c r="H1331">
        <f t="shared" si="145"/>
        <v>3</v>
      </c>
      <c r="I1331" t="str">
        <f t="shared" si="146"/>
        <v>14</v>
      </c>
    </row>
    <row r="1332" spans="1:9" x14ac:dyDescent="0.25">
      <c r="A1332" s="19">
        <v>42344</v>
      </c>
      <c r="B1332" s="20">
        <v>6.9444444444444447E-4</v>
      </c>
      <c r="C1332" t="str">
        <f t="shared" si="140"/>
        <v>15</v>
      </c>
      <c r="D1332" t="str">
        <f t="shared" si="141"/>
        <v>12</v>
      </c>
      <c r="E1332" t="str">
        <f t="shared" si="142"/>
        <v>06</v>
      </c>
      <c r="F1332">
        <f t="shared" si="143"/>
        <v>2015</v>
      </c>
      <c r="G1332">
        <f t="shared" si="144"/>
        <v>12</v>
      </c>
      <c r="H1332">
        <f t="shared" si="145"/>
        <v>6</v>
      </c>
      <c r="I1332" t="str">
        <f t="shared" si="146"/>
        <v>15</v>
      </c>
    </row>
    <row r="1333" spans="1:9" x14ac:dyDescent="0.25">
      <c r="A1333" s="19">
        <v>41681</v>
      </c>
      <c r="B1333" s="20">
        <v>3.7499999999999999E-2</v>
      </c>
      <c r="C1333" t="str">
        <f t="shared" si="140"/>
        <v>14</v>
      </c>
      <c r="D1333" t="str">
        <f t="shared" si="141"/>
        <v>02</v>
      </c>
      <c r="E1333" t="str">
        <f t="shared" si="142"/>
        <v>11</v>
      </c>
      <c r="F1333">
        <f t="shared" si="143"/>
        <v>2014</v>
      </c>
      <c r="G1333">
        <f t="shared" si="144"/>
        <v>2</v>
      </c>
      <c r="H1333">
        <f t="shared" si="145"/>
        <v>11</v>
      </c>
      <c r="I1333" t="str">
        <f t="shared" si="146"/>
        <v>14</v>
      </c>
    </row>
    <row r="1334" spans="1:9" x14ac:dyDescent="0.25">
      <c r="A1334" s="19">
        <v>41250</v>
      </c>
      <c r="B1334" s="20">
        <v>3.9583333333333331E-2</v>
      </c>
      <c r="C1334" t="str">
        <f t="shared" si="140"/>
        <v>12</v>
      </c>
      <c r="D1334" t="str">
        <f t="shared" si="141"/>
        <v>12</v>
      </c>
      <c r="E1334" t="str">
        <f t="shared" si="142"/>
        <v>07</v>
      </c>
      <c r="F1334">
        <f t="shared" si="143"/>
        <v>2012</v>
      </c>
      <c r="G1334">
        <f t="shared" si="144"/>
        <v>12</v>
      </c>
      <c r="H1334">
        <f t="shared" si="145"/>
        <v>7</v>
      </c>
      <c r="I1334" t="str">
        <f t="shared" si="146"/>
        <v>12</v>
      </c>
    </row>
    <row r="1335" spans="1:9" x14ac:dyDescent="0.25">
      <c r="A1335" s="19">
        <v>41209</v>
      </c>
      <c r="B1335" s="20">
        <v>1.5972222222222221E-2</v>
      </c>
      <c r="C1335" t="str">
        <f t="shared" si="140"/>
        <v>12</v>
      </c>
      <c r="D1335" t="str">
        <f t="shared" si="141"/>
        <v>10</v>
      </c>
      <c r="E1335" t="str">
        <f t="shared" si="142"/>
        <v>27</v>
      </c>
      <c r="F1335">
        <f t="shared" si="143"/>
        <v>2012</v>
      </c>
      <c r="G1335">
        <f t="shared" si="144"/>
        <v>10</v>
      </c>
      <c r="H1335">
        <f t="shared" si="145"/>
        <v>27</v>
      </c>
      <c r="I1335" t="str">
        <f t="shared" si="146"/>
        <v>12</v>
      </c>
    </row>
    <row r="1336" spans="1:9" x14ac:dyDescent="0.25">
      <c r="A1336" s="19">
        <v>41550</v>
      </c>
      <c r="B1336" s="20">
        <v>0.05</v>
      </c>
      <c r="C1336" t="str">
        <f t="shared" si="140"/>
        <v>13</v>
      </c>
      <c r="D1336" t="str">
        <f t="shared" si="141"/>
        <v>10</v>
      </c>
      <c r="E1336" t="str">
        <f t="shared" si="142"/>
        <v>03</v>
      </c>
      <c r="F1336">
        <f t="shared" si="143"/>
        <v>2013</v>
      </c>
      <c r="G1336">
        <f t="shared" si="144"/>
        <v>10</v>
      </c>
      <c r="H1336">
        <f t="shared" si="145"/>
        <v>3</v>
      </c>
      <c r="I1336" t="str">
        <f t="shared" si="146"/>
        <v>13</v>
      </c>
    </row>
    <row r="1337" spans="1:9" x14ac:dyDescent="0.25">
      <c r="A1337" s="19">
        <v>41084</v>
      </c>
      <c r="B1337" s="20">
        <v>8.6805555555555552E-2</v>
      </c>
      <c r="C1337" t="str">
        <f t="shared" si="140"/>
        <v>12</v>
      </c>
      <c r="D1337" t="str">
        <f t="shared" si="141"/>
        <v>06</v>
      </c>
      <c r="E1337" t="str">
        <f t="shared" si="142"/>
        <v>24</v>
      </c>
      <c r="F1337">
        <f t="shared" si="143"/>
        <v>2012</v>
      </c>
      <c r="G1337">
        <f t="shared" si="144"/>
        <v>6</v>
      </c>
      <c r="H1337">
        <f t="shared" si="145"/>
        <v>24</v>
      </c>
      <c r="I1337" t="str">
        <f t="shared" si="146"/>
        <v>12</v>
      </c>
    </row>
    <row r="1338" spans="1:9" x14ac:dyDescent="0.25">
      <c r="A1338" s="19">
        <v>41536</v>
      </c>
      <c r="B1338" s="20">
        <v>3.6111111111111108E-2</v>
      </c>
      <c r="C1338" t="str">
        <f t="shared" si="140"/>
        <v>13</v>
      </c>
      <c r="D1338" t="str">
        <f t="shared" si="141"/>
        <v>09</v>
      </c>
      <c r="E1338" t="str">
        <f t="shared" si="142"/>
        <v>19</v>
      </c>
      <c r="F1338">
        <f t="shared" si="143"/>
        <v>2013</v>
      </c>
      <c r="G1338">
        <f t="shared" si="144"/>
        <v>9</v>
      </c>
      <c r="H1338">
        <f t="shared" si="145"/>
        <v>19</v>
      </c>
      <c r="I1338" t="str">
        <f t="shared" si="146"/>
        <v>13</v>
      </c>
    </row>
    <row r="1339" spans="1:9" x14ac:dyDescent="0.25">
      <c r="A1339" s="19">
        <v>42614</v>
      </c>
      <c r="B1339" s="20">
        <v>6.5277777777777782E-2</v>
      </c>
      <c r="C1339" t="str">
        <f t="shared" si="140"/>
        <v>16</v>
      </c>
      <c r="D1339" t="str">
        <f t="shared" si="141"/>
        <v>09</v>
      </c>
      <c r="E1339" t="str">
        <f t="shared" si="142"/>
        <v>01</v>
      </c>
      <c r="F1339">
        <f t="shared" si="143"/>
        <v>2016</v>
      </c>
      <c r="G1339">
        <f t="shared" si="144"/>
        <v>9</v>
      </c>
      <c r="H1339">
        <f t="shared" si="145"/>
        <v>1</v>
      </c>
      <c r="I1339" t="str">
        <f t="shared" si="146"/>
        <v>16</v>
      </c>
    </row>
    <row r="1340" spans="1:9" x14ac:dyDescent="0.25">
      <c r="A1340" s="19">
        <v>40985</v>
      </c>
      <c r="B1340" s="20">
        <v>2.7083333333333334E-2</v>
      </c>
      <c r="C1340" t="str">
        <f t="shared" si="140"/>
        <v>12</v>
      </c>
      <c r="D1340" t="str">
        <f t="shared" si="141"/>
        <v>03</v>
      </c>
      <c r="E1340" t="str">
        <f t="shared" si="142"/>
        <v>17</v>
      </c>
      <c r="F1340">
        <f t="shared" si="143"/>
        <v>2012</v>
      </c>
      <c r="G1340">
        <f t="shared" si="144"/>
        <v>3</v>
      </c>
      <c r="H1340">
        <f t="shared" si="145"/>
        <v>17</v>
      </c>
      <c r="I1340" t="str">
        <f t="shared" si="146"/>
        <v>12</v>
      </c>
    </row>
    <row r="1341" spans="1:9" x14ac:dyDescent="0.25">
      <c r="A1341" s="19">
        <v>41545</v>
      </c>
      <c r="B1341" s="20">
        <v>7.7083333333333337E-2</v>
      </c>
      <c r="C1341" t="str">
        <f t="shared" si="140"/>
        <v>13</v>
      </c>
      <c r="D1341" t="str">
        <f t="shared" si="141"/>
        <v>09</v>
      </c>
      <c r="E1341" t="str">
        <f t="shared" si="142"/>
        <v>28</v>
      </c>
      <c r="F1341">
        <f t="shared" si="143"/>
        <v>2013</v>
      </c>
      <c r="G1341">
        <f t="shared" si="144"/>
        <v>9</v>
      </c>
      <c r="H1341">
        <f t="shared" si="145"/>
        <v>28</v>
      </c>
      <c r="I1341" t="str">
        <f t="shared" si="146"/>
        <v>13</v>
      </c>
    </row>
    <row r="1342" spans="1:9" x14ac:dyDescent="0.25">
      <c r="A1342" s="19">
        <v>41852</v>
      </c>
      <c r="B1342" s="20">
        <v>0.97361111111111109</v>
      </c>
      <c r="C1342" t="str">
        <f t="shared" si="140"/>
        <v>14</v>
      </c>
      <c r="D1342" t="str">
        <f t="shared" si="141"/>
        <v>08</v>
      </c>
      <c r="E1342" t="str">
        <f t="shared" si="142"/>
        <v>01</v>
      </c>
      <c r="F1342">
        <f t="shared" si="143"/>
        <v>2014</v>
      </c>
      <c r="G1342">
        <f t="shared" si="144"/>
        <v>8</v>
      </c>
      <c r="H1342">
        <f t="shared" si="145"/>
        <v>1</v>
      </c>
      <c r="I1342" t="str">
        <f t="shared" si="146"/>
        <v>14</v>
      </c>
    </row>
    <row r="1343" spans="1:9" x14ac:dyDescent="0.25">
      <c r="A1343" s="19">
        <v>41253</v>
      </c>
      <c r="B1343" s="20">
        <v>1.1111111111111112E-2</v>
      </c>
      <c r="C1343" t="str">
        <f t="shared" si="140"/>
        <v>12</v>
      </c>
      <c r="D1343" t="str">
        <f t="shared" si="141"/>
        <v>12</v>
      </c>
      <c r="E1343" t="str">
        <f t="shared" si="142"/>
        <v>10</v>
      </c>
      <c r="F1343">
        <f t="shared" si="143"/>
        <v>2012</v>
      </c>
      <c r="G1343">
        <f t="shared" si="144"/>
        <v>12</v>
      </c>
      <c r="H1343">
        <f t="shared" si="145"/>
        <v>10</v>
      </c>
      <c r="I1343" t="str">
        <f t="shared" si="146"/>
        <v>12</v>
      </c>
    </row>
    <row r="1344" spans="1:9" x14ac:dyDescent="0.25">
      <c r="A1344" s="19">
        <v>41623</v>
      </c>
      <c r="B1344" s="20">
        <v>0.96736111111111112</v>
      </c>
      <c r="C1344" t="str">
        <f t="shared" si="140"/>
        <v>13</v>
      </c>
      <c r="D1344" t="str">
        <f t="shared" si="141"/>
        <v>12</v>
      </c>
      <c r="E1344" t="str">
        <f t="shared" si="142"/>
        <v>15</v>
      </c>
      <c r="F1344">
        <f t="shared" si="143"/>
        <v>2013</v>
      </c>
      <c r="G1344">
        <f t="shared" si="144"/>
        <v>12</v>
      </c>
      <c r="H1344">
        <f t="shared" si="145"/>
        <v>15</v>
      </c>
      <c r="I1344" t="str">
        <f t="shared" si="146"/>
        <v>13</v>
      </c>
    </row>
    <row r="1345" spans="1:9" x14ac:dyDescent="0.25">
      <c r="A1345" s="19">
        <v>41678</v>
      </c>
      <c r="B1345" s="20">
        <v>0.98124999999999996</v>
      </c>
      <c r="C1345" t="str">
        <f t="shared" si="140"/>
        <v>14</v>
      </c>
      <c r="D1345" t="str">
        <f t="shared" si="141"/>
        <v>02</v>
      </c>
      <c r="E1345" t="str">
        <f t="shared" si="142"/>
        <v>08</v>
      </c>
      <c r="F1345">
        <f t="shared" si="143"/>
        <v>2014</v>
      </c>
      <c r="G1345">
        <f t="shared" si="144"/>
        <v>2</v>
      </c>
      <c r="H1345">
        <f t="shared" si="145"/>
        <v>8</v>
      </c>
      <c r="I1345" t="str">
        <f t="shared" si="146"/>
        <v>14</v>
      </c>
    </row>
    <row r="1346" spans="1:9" x14ac:dyDescent="0.25">
      <c r="A1346" s="19">
        <v>41518</v>
      </c>
      <c r="B1346" s="20">
        <v>2.361111111111111E-2</v>
      </c>
      <c r="C1346" t="str">
        <f t="shared" si="140"/>
        <v>13</v>
      </c>
      <c r="D1346" t="str">
        <f t="shared" si="141"/>
        <v>09</v>
      </c>
      <c r="E1346" t="str">
        <f t="shared" si="142"/>
        <v>01</v>
      </c>
      <c r="F1346">
        <f t="shared" si="143"/>
        <v>2013</v>
      </c>
      <c r="G1346">
        <f t="shared" si="144"/>
        <v>9</v>
      </c>
      <c r="H1346">
        <f t="shared" si="145"/>
        <v>1</v>
      </c>
      <c r="I1346" t="str">
        <f t="shared" si="146"/>
        <v>13</v>
      </c>
    </row>
    <row r="1347" spans="1:9" x14ac:dyDescent="0.25">
      <c r="A1347" s="19">
        <v>41854</v>
      </c>
      <c r="B1347" s="20">
        <v>2.7777777777777776E-2</v>
      </c>
      <c r="C1347" t="str">
        <f t="shared" ref="C1347:C1410" si="147">TEXT(A1347,"YY")</f>
        <v>14</v>
      </c>
      <c r="D1347" t="str">
        <f t="shared" ref="D1347:D1410" si="148">TEXT(A1347,"mm")</f>
        <v>08</v>
      </c>
      <c r="E1347" t="str">
        <f t="shared" ref="E1347:E1410" si="149">TEXT(A1347,"dd")</f>
        <v>03</v>
      </c>
      <c r="F1347">
        <f t="shared" ref="F1347:F1410" si="150">YEAR($A1347)</f>
        <v>2014</v>
      </c>
      <c r="G1347">
        <f t="shared" ref="G1347:G1410" si="151">MONTH($A1347)</f>
        <v>8</v>
      </c>
      <c r="H1347">
        <f t="shared" ref="H1347:H1410" si="152">DAY($A1347)</f>
        <v>3</v>
      </c>
      <c r="I1347" t="str">
        <f t="shared" ref="I1347:I1410" si="153">TEXT($A1347,"YY")</f>
        <v>14</v>
      </c>
    </row>
    <row r="1348" spans="1:9" x14ac:dyDescent="0.25">
      <c r="A1348" s="19">
        <v>42388</v>
      </c>
      <c r="B1348" s="20">
        <v>0.97847222222222219</v>
      </c>
      <c r="C1348" t="str">
        <f t="shared" si="147"/>
        <v>16</v>
      </c>
      <c r="D1348" t="str">
        <f t="shared" si="148"/>
        <v>01</v>
      </c>
      <c r="E1348" t="str">
        <f t="shared" si="149"/>
        <v>19</v>
      </c>
      <c r="F1348">
        <f t="shared" si="150"/>
        <v>2016</v>
      </c>
      <c r="G1348">
        <f t="shared" si="151"/>
        <v>1</v>
      </c>
      <c r="H1348">
        <f t="shared" si="152"/>
        <v>19</v>
      </c>
      <c r="I1348" t="str">
        <f t="shared" si="153"/>
        <v>16</v>
      </c>
    </row>
    <row r="1349" spans="1:9" x14ac:dyDescent="0.25">
      <c r="A1349" s="19">
        <v>41073</v>
      </c>
      <c r="B1349" s="20">
        <v>7.0833333333333331E-2</v>
      </c>
      <c r="C1349" t="str">
        <f t="shared" si="147"/>
        <v>12</v>
      </c>
      <c r="D1349" t="str">
        <f t="shared" si="148"/>
        <v>06</v>
      </c>
      <c r="E1349" t="str">
        <f t="shared" si="149"/>
        <v>13</v>
      </c>
      <c r="F1349">
        <f t="shared" si="150"/>
        <v>2012</v>
      </c>
      <c r="G1349">
        <f t="shared" si="151"/>
        <v>6</v>
      </c>
      <c r="H1349">
        <f t="shared" si="152"/>
        <v>13</v>
      </c>
      <c r="I1349" t="str">
        <f t="shared" si="153"/>
        <v>12</v>
      </c>
    </row>
    <row r="1350" spans="1:9" x14ac:dyDescent="0.25">
      <c r="A1350" s="19">
        <v>42255</v>
      </c>
      <c r="B1350" s="20">
        <v>2.6388888888888889E-2</v>
      </c>
      <c r="C1350" t="str">
        <f t="shared" si="147"/>
        <v>15</v>
      </c>
      <c r="D1350" t="str">
        <f t="shared" si="148"/>
        <v>09</v>
      </c>
      <c r="E1350" t="str">
        <f t="shared" si="149"/>
        <v>08</v>
      </c>
      <c r="F1350">
        <f t="shared" si="150"/>
        <v>2015</v>
      </c>
      <c r="G1350">
        <f t="shared" si="151"/>
        <v>9</v>
      </c>
      <c r="H1350">
        <f t="shared" si="152"/>
        <v>8</v>
      </c>
      <c r="I1350" t="str">
        <f t="shared" si="153"/>
        <v>15</v>
      </c>
    </row>
    <row r="1351" spans="1:9" x14ac:dyDescent="0.25">
      <c r="A1351" s="19">
        <v>41583</v>
      </c>
      <c r="B1351" s="20">
        <v>8.3333333333333332E-3</v>
      </c>
      <c r="C1351" t="str">
        <f t="shared" si="147"/>
        <v>13</v>
      </c>
      <c r="D1351" t="str">
        <f t="shared" si="148"/>
        <v>11</v>
      </c>
      <c r="E1351" t="str">
        <f t="shared" si="149"/>
        <v>05</v>
      </c>
      <c r="F1351">
        <f t="shared" si="150"/>
        <v>2013</v>
      </c>
      <c r="G1351">
        <f t="shared" si="151"/>
        <v>11</v>
      </c>
      <c r="H1351">
        <f t="shared" si="152"/>
        <v>5</v>
      </c>
      <c r="I1351" t="str">
        <f t="shared" si="153"/>
        <v>13</v>
      </c>
    </row>
    <row r="1352" spans="1:9" x14ac:dyDescent="0.25">
      <c r="A1352" s="19">
        <v>42637</v>
      </c>
      <c r="B1352" s="20">
        <v>0.96180555555555558</v>
      </c>
      <c r="C1352" t="str">
        <f t="shared" si="147"/>
        <v>16</v>
      </c>
      <c r="D1352" t="str">
        <f t="shared" si="148"/>
        <v>09</v>
      </c>
      <c r="E1352" t="str">
        <f t="shared" si="149"/>
        <v>24</v>
      </c>
      <c r="F1352">
        <f t="shared" si="150"/>
        <v>2016</v>
      </c>
      <c r="G1352">
        <f t="shared" si="151"/>
        <v>9</v>
      </c>
      <c r="H1352">
        <f t="shared" si="152"/>
        <v>24</v>
      </c>
      <c r="I1352" t="str">
        <f t="shared" si="153"/>
        <v>16</v>
      </c>
    </row>
    <row r="1353" spans="1:9" x14ac:dyDescent="0.25">
      <c r="A1353" s="19">
        <v>41737</v>
      </c>
      <c r="B1353" s="20">
        <v>0.96250000000000002</v>
      </c>
      <c r="C1353" t="str">
        <f t="shared" si="147"/>
        <v>14</v>
      </c>
      <c r="D1353" t="str">
        <f t="shared" si="148"/>
        <v>04</v>
      </c>
      <c r="E1353" t="str">
        <f t="shared" si="149"/>
        <v>08</v>
      </c>
      <c r="F1353">
        <f t="shared" si="150"/>
        <v>2014</v>
      </c>
      <c r="G1353">
        <f t="shared" si="151"/>
        <v>4</v>
      </c>
      <c r="H1353">
        <f t="shared" si="152"/>
        <v>8</v>
      </c>
      <c r="I1353" t="str">
        <f t="shared" si="153"/>
        <v>14</v>
      </c>
    </row>
    <row r="1354" spans="1:9" x14ac:dyDescent="0.25">
      <c r="A1354" s="19">
        <v>42084</v>
      </c>
      <c r="B1354" s="20">
        <v>1.2500000000000001E-2</v>
      </c>
      <c r="C1354" t="str">
        <f t="shared" si="147"/>
        <v>15</v>
      </c>
      <c r="D1354" t="str">
        <f t="shared" si="148"/>
        <v>03</v>
      </c>
      <c r="E1354" t="str">
        <f t="shared" si="149"/>
        <v>21</v>
      </c>
      <c r="F1354">
        <f t="shared" si="150"/>
        <v>2015</v>
      </c>
      <c r="G1354">
        <f t="shared" si="151"/>
        <v>3</v>
      </c>
      <c r="H1354">
        <f t="shared" si="152"/>
        <v>21</v>
      </c>
      <c r="I1354" t="str">
        <f t="shared" si="153"/>
        <v>15</v>
      </c>
    </row>
    <row r="1355" spans="1:9" x14ac:dyDescent="0.25">
      <c r="A1355" s="19">
        <v>41645</v>
      </c>
      <c r="B1355" s="20">
        <v>3.3333333333333333E-2</v>
      </c>
      <c r="C1355" t="str">
        <f t="shared" si="147"/>
        <v>14</v>
      </c>
      <c r="D1355" t="str">
        <f t="shared" si="148"/>
        <v>01</v>
      </c>
      <c r="E1355" t="str">
        <f t="shared" si="149"/>
        <v>06</v>
      </c>
      <c r="F1355">
        <f t="shared" si="150"/>
        <v>2014</v>
      </c>
      <c r="G1355">
        <f t="shared" si="151"/>
        <v>1</v>
      </c>
      <c r="H1355">
        <f t="shared" si="152"/>
        <v>6</v>
      </c>
      <c r="I1355" t="str">
        <f t="shared" si="153"/>
        <v>14</v>
      </c>
    </row>
    <row r="1356" spans="1:9" x14ac:dyDescent="0.25">
      <c r="A1356" s="19">
        <v>42013</v>
      </c>
      <c r="B1356" s="20">
        <v>0.98958333333333337</v>
      </c>
      <c r="C1356" t="str">
        <f t="shared" si="147"/>
        <v>15</v>
      </c>
      <c r="D1356" t="str">
        <f t="shared" si="148"/>
        <v>01</v>
      </c>
      <c r="E1356" t="str">
        <f t="shared" si="149"/>
        <v>09</v>
      </c>
      <c r="F1356">
        <f t="shared" si="150"/>
        <v>2015</v>
      </c>
      <c r="G1356">
        <f t="shared" si="151"/>
        <v>1</v>
      </c>
      <c r="H1356">
        <f t="shared" si="152"/>
        <v>9</v>
      </c>
      <c r="I1356" t="str">
        <f t="shared" si="153"/>
        <v>15</v>
      </c>
    </row>
    <row r="1357" spans="1:9" x14ac:dyDescent="0.25">
      <c r="A1357" s="19">
        <v>41472</v>
      </c>
      <c r="B1357" s="20">
        <v>6.8750000000000006E-2</v>
      </c>
      <c r="C1357" t="str">
        <f t="shared" si="147"/>
        <v>13</v>
      </c>
      <c r="D1357" t="str">
        <f t="shared" si="148"/>
        <v>07</v>
      </c>
      <c r="E1357" t="str">
        <f t="shared" si="149"/>
        <v>17</v>
      </c>
      <c r="F1357">
        <f t="shared" si="150"/>
        <v>2013</v>
      </c>
      <c r="G1357">
        <f t="shared" si="151"/>
        <v>7</v>
      </c>
      <c r="H1357">
        <f t="shared" si="152"/>
        <v>17</v>
      </c>
      <c r="I1357" t="str">
        <f t="shared" si="153"/>
        <v>13</v>
      </c>
    </row>
    <row r="1358" spans="1:9" x14ac:dyDescent="0.25">
      <c r="A1358" s="19">
        <v>41347</v>
      </c>
      <c r="B1358" s="20">
        <v>0.99027777777777781</v>
      </c>
      <c r="C1358" t="str">
        <f t="shared" si="147"/>
        <v>13</v>
      </c>
      <c r="D1358" t="str">
        <f t="shared" si="148"/>
        <v>03</v>
      </c>
      <c r="E1358" t="str">
        <f t="shared" si="149"/>
        <v>14</v>
      </c>
      <c r="F1358">
        <f t="shared" si="150"/>
        <v>2013</v>
      </c>
      <c r="G1358">
        <f t="shared" si="151"/>
        <v>3</v>
      </c>
      <c r="H1358">
        <f t="shared" si="152"/>
        <v>14</v>
      </c>
      <c r="I1358" t="str">
        <f t="shared" si="153"/>
        <v>13</v>
      </c>
    </row>
    <row r="1359" spans="1:9" x14ac:dyDescent="0.25">
      <c r="A1359" s="19">
        <v>42161</v>
      </c>
      <c r="B1359" s="20">
        <v>5.7638888888888892E-2</v>
      </c>
      <c r="C1359" t="str">
        <f t="shared" si="147"/>
        <v>15</v>
      </c>
      <c r="D1359" t="str">
        <f t="shared" si="148"/>
        <v>06</v>
      </c>
      <c r="E1359" t="str">
        <f t="shared" si="149"/>
        <v>06</v>
      </c>
      <c r="F1359">
        <f t="shared" si="150"/>
        <v>2015</v>
      </c>
      <c r="G1359">
        <f t="shared" si="151"/>
        <v>6</v>
      </c>
      <c r="H1359">
        <f t="shared" si="152"/>
        <v>6</v>
      </c>
      <c r="I1359" t="str">
        <f t="shared" si="153"/>
        <v>15</v>
      </c>
    </row>
    <row r="1360" spans="1:9" x14ac:dyDescent="0.25">
      <c r="A1360" s="19">
        <v>41950</v>
      </c>
      <c r="B1360" s="20">
        <v>0.94930555555555551</v>
      </c>
      <c r="C1360" t="str">
        <f t="shared" si="147"/>
        <v>14</v>
      </c>
      <c r="D1360" t="str">
        <f t="shared" si="148"/>
        <v>11</v>
      </c>
      <c r="E1360" t="str">
        <f t="shared" si="149"/>
        <v>07</v>
      </c>
      <c r="F1360">
        <f t="shared" si="150"/>
        <v>2014</v>
      </c>
      <c r="G1360">
        <f t="shared" si="151"/>
        <v>11</v>
      </c>
      <c r="H1360">
        <f t="shared" si="152"/>
        <v>7</v>
      </c>
      <c r="I1360" t="str">
        <f t="shared" si="153"/>
        <v>14</v>
      </c>
    </row>
    <row r="1361" spans="1:9" x14ac:dyDescent="0.25">
      <c r="A1361" s="19">
        <v>42438</v>
      </c>
      <c r="B1361" s="20">
        <v>3.2638888888888891E-2</v>
      </c>
      <c r="C1361" t="str">
        <f t="shared" si="147"/>
        <v>16</v>
      </c>
      <c r="D1361" t="str">
        <f t="shared" si="148"/>
        <v>03</v>
      </c>
      <c r="E1361" t="str">
        <f t="shared" si="149"/>
        <v>09</v>
      </c>
      <c r="F1361">
        <f t="shared" si="150"/>
        <v>2016</v>
      </c>
      <c r="G1361">
        <f t="shared" si="151"/>
        <v>3</v>
      </c>
      <c r="H1361">
        <f t="shared" si="152"/>
        <v>9</v>
      </c>
      <c r="I1361" t="str">
        <f t="shared" si="153"/>
        <v>16</v>
      </c>
    </row>
    <row r="1362" spans="1:9" x14ac:dyDescent="0.25">
      <c r="A1362" s="19">
        <v>41791</v>
      </c>
      <c r="B1362" s="20">
        <v>0.99652777777777779</v>
      </c>
      <c r="C1362" t="str">
        <f t="shared" si="147"/>
        <v>14</v>
      </c>
      <c r="D1362" t="str">
        <f t="shared" si="148"/>
        <v>06</v>
      </c>
      <c r="E1362" t="str">
        <f t="shared" si="149"/>
        <v>01</v>
      </c>
      <c r="F1362">
        <f t="shared" si="150"/>
        <v>2014</v>
      </c>
      <c r="G1362">
        <f t="shared" si="151"/>
        <v>6</v>
      </c>
      <c r="H1362">
        <f t="shared" si="152"/>
        <v>1</v>
      </c>
      <c r="I1362" t="str">
        <f t="shared" si="153"/>
        <v>14</v>
      </c>
    </row>
    <row r="1363" spans="1:9" x14ac:dyDescent="0.25">
      <c r="A1363" s="19">
        <v>42627</v>
      </c>
      <c r="B1363" s="20">
        <v>0.97083333333333333</v>
      </c>
      <c r="C1363" t="str">
        <f t="shared" si="147"/>
        <v>16</v>
      </c>
      <c r="D1363" t="str">
        <f t="shared" si="148"/>
        <v>09</v>
      </c>
      <c r="E1363" t="str">
        <f t="shared" si="149"/>
        <v>14</v>
      </c>
      <c r="F1363">
        <f t="shared" si="150"/>
        <v>2016</v>
      </c>
      <c r="G1363">
        <f t="shared" si="151"/>
        <v>9</v>
      </c>
      <c r="H1363">
        <f t="shared" si="152"/>
        <v>14</v>
      </c>
      <c r="I1363" t="str">
        <f t="shared" si="153"/>
        <v>16</v>
      </c>
    </row>
    <row r="1364" spans="1:9" x14ac:dyDescent="0.25">
      <c r="A1364" s="19">
        <v>42522</v>
      </c>
      <c r="B1364" s="20">
        <v>3.3333333333333333E-2</v>
      </c>
      <c r="C1364" t="str">
        <f t="shared" si="147"/>
        <v>16</v>
      </c>
      <c r="D1364" t="str">
        <f t="shared" si="148"/>
        <v>06</v>
      </c>
      <c r="E1364" t="str">
        <f t="shared" si="149"/>
        <v>01</v>
      </c>
      <c r="F1364">
        <f t="shared" si="150"/>
        <v>2016</v>
      </c>
      <c r="G1364">
        <f t="shared" si="151"/>
        <v>6</v>
      </c>
      <c r="H1364">
        <f t="shared" si="152"/>
        <v>1</v>
      </c>
      <c r="I1364" t="str">
        <f t="shared" si="153"/>
        <v>16</v>
      </c>
    </row>
    <row r="1365" spans="1:9" x14ac:dyDescent="0.25">
      <c r="A1365" s="19">
        <v>41525</v>
      </c>
      <c r="B1365" s="20">
        <v>0.97986111111111107</v>
      </c>
      <c r="C1365" t="str">
        <f t="shared" si="147"/>
        <v>13</v>
      </c>
      <c r="D1365" t="str">
        <f t="shared" si="148"/>
        <v>09</v>
      </c>
      <c r="E1365" t="str">
        <f t="shared" si="149"/>
        <v>08</v>
      </c>
      <c r="F1365">
        <f t="shared" si="150"/>
        <v>2013</v>
      </c>
      <c r="G1365">
        <f t="shared" si="151"/>
        <v>9</v>
      </c>
      <c r="H1365">
        <f t="shared" si="152"/>
        <v>8</v>
      </c>
      <c r="I1365" t="str">
        <f t="shared" si="153"/>
        <v>13</v>
      </c>
    </row>
    <row r="1366" spans="1:9" x14ac:dyDescent="0.25">
      <c r="A1366" s="19">
        <v>41502</v>
      </c>
      <c r="B1366" s="20">
        <v>1.3194444444444444E-2</v>
      </c>
      <c r="C1366" t="str">
        <f t="shared" si="147"/>
        <v>13</v>
      </c>
      <c r="D1366" t="str">
        <f t="shared" si="148"/>
        <v>08</v>
      </c>
      <c r="E1366" t="str">
        <f t="shared" si="149"/>
        <v>16</v>
      </c>
      <c r="F1366">
        <f t="shared" si="150"/>
        <v>2013</v>
      </c>
      <c r="G1366">
        <f t="shared" si="151"/>
        <v>8</v>
      </c>
      <c r="H1366">
        <f t="shared" si="152"/>
        <v>16</v>
      </c>
      <c r="I1366" t="str">
        <f t="shared" si="153"/>
        <v>13</v>
      </c>
    </row>
    <row r="1367" spans="1:9" x14ac:dyDescent="0.25">
      <c r="A1367" s="19">
        <v>41148</v>
      </c>
      <c r="B1367" s="20">
        <v>0.98055555555555551</v>
      </c>
      <c r="C1367" t="str">
        <f t="shared" si="147"/>
        <v>12</v>
      </c>
      <c r="D1367" t="str">
        <f t="shared" si="148"/>
        <v>08</v>
      </c>
      <c r="E1367" t="str">
        <f t="shared" si="149"/>
        <v>27</v>
      </c>
      <c r="F1367">
        <f t="shared" si="150"/>
        <v>2012</v>
      </c>
      <c r="G1367">
        <f t="shared" si="151"/>
        <v>8</v>
      </c>
      <c r="H1367">
        <f t="shared" si="152"/>
        <v>27</v>
      </c>
      <c r="I1367" t="str">
        <f t="shared" si="153"/>
        <v>12</v>
      </c>
    </row>
    <row r="1368" spans="1:9" x14ac:dyDescent="0.25">
      <c r="A1368" s="19">
        <v>42019</v>
      </c>
      <c r="B1368" s="20">
        <v>0.95416666666666672</v>
      </c>
      <c r="C1368" t="str">
        <f t="shared" si="147"/>
        <v>15</v>
      </c>
      <c r="D1368" t="str">
        <f t="shared" si="148"/>
        <v>01</v>
      </c>
      <c r="E1368" t="str">
        <f t="shared" si="149"/>
        <v>15</v>
      </c>
      <c r="F1368">
        <f t="shared" si="150"/>
        <v>2015</v>
      </c>
      <c r="G1368">
        <f t="shared" si="151"/>
        <v>1</v>
      </c>
      <c r="H1368">
        <f t="shared" si="152"/>
        <v>15</v>
      </c>
      <c r="I1368" t="str">
        <f t="shared" si="153"/>
        <v>15</v>
      </c>
    </row>
    <row r="1369" spans="1:9" x14ac:dyDescent="0.25">
      <c r="A1369" s="19">
        <v>41249</v>
      </c>
      <c r="B1369" s="20">
        <v>0.99375000000000002</v>
      </c>
      <c r="C1369" t="str">
        <f t="shared" si="147"/>
        <v>12</v>
      </c>
      <c r="D1369" t="str">
        <f t="shared" si="148"/>
        <v>12</v>
      </c>
      <c r="E1369" t="str">
        <f t="shared" si="149"/>
        <v>06</v>
      </c>
      <c r="F1369">
        <f t="shared" si="150"/>
        <v>2012</v>
      </c>
      <c r="G1369">
        <f t="shared" si="151"/>
        <v>12</v>
      </c>
      <c r="H1369">
        <f t="shared" si="152"/>
        <v>6</v>
      </c>
      <c r="I1369" t="str">
        <f t="shared" si="153"/>
        <v>12</v>
      </c>
    </row>
    <row r="1370" spans="1:9" x14ac:dyDescent="0.25">
      <c r="A1370" s="19">
        <v>41263</v>
      </c>
      <c r="B1370" s="20">
        <v>0.97569444444444442</v>
      </c>
      <c r="C1370" t="str">
        <f t="shared" si="147"/>
        <v>12</v>
      </c>
      <c r="D1370" t="str">
        <f t="shared" si="148"/>
        <v>12</v>
      </c>
      <c r="E1370" t="str">
        <f t="shared" si="149"/>
        <v>20</v>
      </c>
      <c r="F1370">
        <f t="shared" si="150"/>
        <v>2012</v>
      </c>
      <c r="G1370">
        <f t="shared" si="151"/>
        <v>12</v>
      </c>
      <c r="H1370">
        <f t="shared" si="152"/>
        <v>20</v>
      </c>
      <c r="I1370" t="str">
        <f t="shared" si="153"/>
        <v>12</v>
      </c>
    </row>
    <row r="1371" spans="1:9" x14ac:dyDescent="0.25">
      <c r="A1371" s="19">
        <v>41500</v>
      </c>
      <c r="B1371" s="20">
        <v>1.0416666666666666E-2</v>
      </c>
      <c r="C1371" t="str">
        <f t="shared" si="147"/>
        <v>13</v>
      </c>
      <c r="D1371" t="str">
        <f t="shared" si="148"/>
        <v>08</v>
      </c>
      <c r="E1371" t="str">
        <f t="shared" si="149"/>
        <v>14</v>
      </c>
      <c r="F1371">
        <f t="shared" si="150"/>
        <v>2013</v>
      </c>
      <c r="G1371">
        <f t="shared" si="151"/>
        <v>8</v>
      </c>
      <c r="H1371">
        <f t="shared" si="152"/>
        <v>14</v>
      </c>
      <c r="I1371" t="str">
        <f t="shared" si="153"/>
        <v>13</v>
      </c>
    </row>
    <row r="1372" spans="1:9" x14ac:dyDescent="0.25">
      <c r="A1372" s="19">
        <v>41423</v>
      </c>
      <c r="B1372" s="20">
        <v>3.6111111111111108E-2</v>
      </c>
      <c r="C1372" t="str">
        <f t="shared" si="147"/>
        <v>13</v>
      </c>
      <c r="D1372" t="str">
        <f t="shared" si="148"/>
        <v>05</v>
      </c>
      <c r="E1372" t="str">
        <f t="shared" si="149"/>
        <v>29</v>
      </c>
      <c r="F1372">
        <f t="shared" si="150"/>
        <v>2013</v>
      </c>
      <c r="G1372">
        <f t="shared" si="151"/>
        <v>5</v>
      </c>
      <c r="H1372">
        <f t="shared" si="152"/>
        <v>29</v>
      </c>
      <c r="I1372" t="str">
        <f t="shared" si="153"/>
        <v>13</v>
      </c>
    </row>
    <row r="1373" spans="1:9" x14ac:dyDescent="0.25">
      <c r="A1373" s="19">
        <v>42465</v>
      </c>
      <c r="B1373" s="20">
        <v>1.1805555555555555E-2</v>
      </c>
      <c r="C1373" t="str">
        <f t="shared" si="147"/>
        <v>16</v>
      </c>
      <c r="D1373" t="str">
        <f t="shared" si="148"/>
        <v>04</v>
      </c>
      <c r="E1373" t="str">
        <f t="shared" si="149"/>
        <v>05</v>
      </c>
      <c r="F1373">
        <f t="shared" si="150"/>
        <v>2016</v>
      </c>
      <c r="G1373">
        <f t="shared" si="151"/>
        <v>4</v>
      </c>
      <c r="H1373">
        <f t="shared" si="152"/>
        <v>5</v>
      </c>
      <c r="I1373" t="str">
        <f t="shared" si="153"/>
        <v>16</v>
      </c>
    </row>
    <row r="1374" spans="1:9" x14ac:dyDescent="0.25">
      <c r="A1374" s="19">
        <v>41358</v>
      </c>
      <c r="B1374" s="20">
        <v>8.1944444444444445E-2</v>
      </c>
      <c r="C1374" t="str">
        <f t="shared" si="147"/>
        <v>13</v>
      </c>
      <c r="D1374" t="str">
        <f t="shared" si="148"/>
        <v>03</v>
      </c>
      <c r="E1374" t="str">
        <f t="shared" si="149"/>
        <v>25</v>
      </c>
      <c r="F1374">
        <f t="shared" si="150"/>
        <v>2013</v>
      </c>
      <c r="G1374">
        <f t="shared" si="151"/>
        <v>3</v>
      </c>
      <c r="H1374">
        <f t="shared" si="152"/>
        <v>25</v>
      </c>
      <c r="I1374" t="str">
        <f t="shared" si="153"/>
        <v>13</v>
      </c>
    </row>
    <row r="1375" spans="1:9" x14ac:dyDescent="0.25">
      <c r="A1375" s="19">
        <v>41583</v>
      </c>
      <c r="B1375" s="20">
        <v>0.98055555555555551</v>
      </c>
      <c r="C1375" t="str">
        <f t="shared" si="147"/>
        <v>13</v>
      </c>
      <c r="D1375" t="str">
        <f t="shared" si="148"/>
        <v>11</v>
      </c>
      <c r="E1375" t="str">
        <f t="shared" si="149"/>
        <v>05</v>
      </c>
      <c r="F1375">
        <f t="shared" si="150"/>
        <v>2013</v>
      </c>
      <c r="G1375">
        <f t="shared" si="151"/>
        <v>11</v>
      </c>
      <c r="H1375">
        <f t="shared" si="152"/>
        <v>5</v>
      </c>
      <c r="I1375" t="str">
        <f t="shared" si="153"/>
        <v>13</v>
      </c>
    </row>
    <row r="1376" spans="1:9" x14ac:dyDescent="0.25">
      <c r="A1376" s="19">
        <v>41844</v>
      </c>
      <c r="B1376" s="20">
        <v>6.458333333333334E-2</v>
      </c>
      <c r="C1376" t="str">
        <f t="shared" si="147"/>
        <v>14</v>
      </c>
      <c r="D1376" t="str">
        <f t="shared" si="148"/>
        <v>07</v>
      </c>
      <c r="E1376" t="str">
        <f t="shared" si="149"/>
        <v>24</v>
      </c>
      <c r="F1376">
        <f t="shared" si="150"/>
        <v>2014</v>
      </c>
      <c r="G1376">
        <f t="shared" si="151"/>
        <v>7</v>
      </c>
      <c r="H1376">
        <f t="shared" si="152"/>
        <v>24</v>
      </c>
      <c r="I1376" t="str">
        <f t="shared" si="153"/>
        <v>14</v>
      </c>
    </row>
    <row r="1377" spans="1:9" x14ac:dyDescent="0.25">
      <c r="A1377" s="19">
        <v>41635</v>
      </c>
      <c r="B1377" s="20">
        <v>4.1666666666666664E-2</v>
      </c>
      <c r="C1377" t="str">
        <f t="shared" si="147"/>
        <v>13</v>
      </c>
      <c r="D1377" t="str">
        <f t="shared" si="148"/>
        <v>12</v>
      </c>
      <c r="E1377" t="str">
        <f t="shared" si="149"/>
        <v>27</v>
      </c>
      <c r="F1377">
        <f t="shared" si="150"/>
        <v>2013</v>
      </c>
      <c r="G1377">
        <f t="shared" si="151"/>
        <v>12</v>
      </c>
      <c r="H1377">
        <f t="shared" si="152"/>
        <v>27</v>
      </c>
      <c r="I1377" t="str">
        <f t="shared" si="153"/>
        <v>13</v>
      </c>
    </row>
    <row r="1378" spans="1:9" x14ac:dyDescent="0.25">
      <c r="A1378" s="19">
        <v>42497</v>
      </c>
      <c r="B1378" s="20">
        <v>1.3888888888888889E-3</v>
      </c>
      <c r="C1378" t="str">
        <f t="shared" si="147"/>
        <v>16</v>
      </c>
      <c r="D1378" t="str">
        <f t="shared" si="148"/>
        <v>05</v>
      </c>
      <c r="E1378" t="str">
        <f t="shared" si="149"/>
        <v>07</v>
      </c>
      <c r="F1378">
        <f t="shared" si="150"/>
        <v>2016</v>
      </c>
      <c r="G1378">
        <f t="shared" si="151"/>
        <v>5</v>
      </c>
      <c r="H1378">
        <f t="shared" si="152"/>
        <v>7</v>
      </c>
      <c r="I1378" t="str">
        <f t="shared" si="153"/>
        <v>16</v>
      </c>
    </row>
    <row r="1379" spans="1:9" x14ac:dyDescent="0.25">
      <c r="A1379" s="19">
        <v>41756</v>
      </c>
      <c r="B1379" s="20">
        <v>5.2777777777777778E-2</v>
      </c>
      <c r="C1379" t="str">
        <f t="shared" si="147"/>
        <v>14</v>
      </c>
      <c r="D1379" t="str">
        <f t="shared" si="148"/>
        <v>04</v>
      </c>
      <c r="E1379" t="str">
        <f t="shared" si="149"/>
        <v>27</v>
      </c>
      <c r="F1379">
        <f t="shared" si="150"/>
        <v>2014</v>
      </c>
      <c r="G1379">
        <f t="shared" si="151"/>
        <v>4</v>
      </c>
      <c r="H1379">
        <f t="shared" si="152"/>
        <v>27</v>
      </c>
      <c r="I1379" t="str">
        <f t="shared" si="153"/>
        <v>14</v>
      </c>
    </row>
    <row r="1380" spans="1:9" x14ac:dyDescent="0.25">
      <c r="A1380" s="19">
        <v>41544</v>
      </c>
      <c r="B1380" s="20">
        <v>4.7222222222222221E-2</v>
      </c>
      <c r="C1380" t="str">
        <f t="shared" si="147"/>
        <v>13</v>
      </c>
      <c r="D1380" t="str">
        <f t="shared" si="148"/>
        <v>09</v>
      </c>
      <c r="E1380" t="str">
        <f t="shared" si="149"/>
        <v>27</v>
      </c>
      <c r="F1380">
        <f t="shared" si="150"/>
        <v>2013</v>
      </c>
      <c r="G1380">
        <f t="shared" si="151"/>
        <v>9</v>
      </c>
      <c r="H1380">
        <f t="shared" si="152"/>
        <v>27</v>
      </c>
      <c r="I1380" t="str">
        <f t="shared" si="153"/>
        <v>13</v>
      </c>
    </row>
    <row r="1381" spans="1:9" x14ac:dyDescent="0.25">
      <c r="A1381" s="19">
        <v>41853</v>
      </c>
      <c r="B1381" s="20">
        <v>0.99097222222222225</v>
      </c>
      <c r="C1381" t="str">
        <f t="shared" si="147"/>
        <v>14</v>
      </c>
      <c r="D1381" t="str">
        <f t="shared" si="148"/>
        <v>08</v>
      </c>
      <c r="E1381" t="str">
        <f t="shared" si="149"/>
        <v>02</v>
      </c>
      <c r="F1381">
        <f t="shared" si="150"/>
        <v>2014</v>
      </c>
      <c r="G1381">
        <f t="shared" si="151"/>
        <v>8</v>
      </c>
      <c r="H1381">
        <f t="shared" si="152"/>
        <v>2</v>
      </c>
      <c r="I1381" t="str">
        <f t="shared" si="153"/>
        <v>14</v>
      </c>
    </row>
    <row r="1382" spans="1:9" x14ac:dyDescent="0.25">
      <c r="A1382" s="19">
        <v>42167</v>
      </c>
      <c r="B1382" s="20">
        <v>0.98819444444444449</v>
      </c>
      <c r="C1382" t="str">
        <f t="shared" si="147"/>
        <v>15</v>
      </c>
      <c r="D1382" t="str">
        <f t="shared" si="148"/>
        <v>06</v>
      </c>
      <c r="E1382" t="str">
        <f t="shared" si="149"/>
        <v>12</v>
      </c>
      <c r="F1382">
        <f t="shared" si="150"/>
        <v>2015</v>
      </c>
      <c r="G1382">
        <f t="shared" si="151"/>
        <v>6</v>
      </c>
      <c r="H1382">
        <f t="shared" si="152"/>
        <v>12</v>
      </c>
      <c r="I1382" t="str">
        <f t="shared" si="153"/>
        <v>15</v>
      </c>
    </row>
    <row r="1383" spans="1:9" x14ac:dyDescent="0.25">
      <c r="A1383" s="19">
        <v>41552</v>
      </c>
      <c r="B1383" s="20">
        <v>5.6250000000000001E-2</v>
      </c>
      <c r="C1383" t="str">
        <f t="shared" si="147"/>
        <v>13</v>
      </c>
      <c r="D1383" t="str">
        <f t="shared" si="148"/>
        <v>10</v>
      </c>
      <c r="E1383" t="str">
        <f t="shared" si="149"/>
        <v>05</v>
      </c>
      <c r="F1383">
        <f t="shared" si="150"/>
        <v>2013</v>
      </c>
      <c r="G1383">
        <f t="shared" si="151"/>
        <v>10</v>
      </c>
      <c r="H1383">
        <f t="shared" si="152"/>
        <v>5</v>
      </c>
      <c r="I1383" t="str">
        <f t="shared" si="153"/>
        <v>13</v>
      </c>
    </row>
    <row r="1384" spans="1:9" x14ac:dyDescent="0.25">
      <c r="A1384" s="19">
        <v>40973</v>
      </c>
      <c r="B1384" s="20">
        <v>4.027777777777778E-2</v>
      </c>
      <c r="C1384" t="str">
        <f t="shared" si="147"/>
        <v>12</v>
      </c>
      <c r="D1384" t="str">
        <f t="shared" si="148"/>
        <v>03</v>
      </c>
      <c r="E1384" t="str">
        <f t="shared" si="149"/>
        <v>05</v>
      </c>
      <c r="F1384">
        <f t="shared" si="150"/>
        <v>2012</v>
      </c>
      <c r="G1384">
        <f t="shared" si="151"/>
        <v>3</v>
      </c>
      <c r="H1384">
        <f t="shared" si="152"/>
        <v>5</v>
      </c>
      <c r="I1384" t="str">
        <f t="shared" si="153"/>
        <v>12</v>
      </c>
    </row>
    <row r="1385" spans="1:9" x14ac:dyDescent="0.25">
      <c r="A1385" s="19">
        <v>42724</v>
      </c>
      <c r="B1385" s="20">
        <v>0.99375000000000002</v>
      </c>
      <c r="C1385" t="str">
        <f t="shared" si="147"/>
        <v>16</v>
      </c>
      <c r="D1385" t="str">
        <f t="shared" si="148"/>
        <v>12</v>
      </c>
      <c r="E1385" t="str">
        <f t="shared" si="149"/>
        <v>20</v>
      </c>
      <c r="F1385">
        <f t="shared" si="150"/>
        <v>2016</v>
      </c>
      <c r="G1385">
        <f t="shared" si="151"/>
        <v>12</v>
      </c>
      <c r="H1385">
        <f t="shared" si="152"/>
        <v>20</v>
      </c>
      <c r="I1385" t="str">
        <f t="shared" si="153"/>
        <v>16</v>
      </c>
    </row>
    <row r="1386" spans="1:9" x14ac:dyDescent="0.25">
      <c r="A1386" s="19">
        <v>42105</v>
      </c>
      <c r="B1386" s="20">
        <v>0.99861111111111112</v>
      </c>
      <c r="C1386" t="str">
        <f t="shared" si="147"/>
        <v>15</v>
      </c>
      <c r="D1386" t="str">
        <f t="shared" si="148"/>
        <v>04</v>
      </c>
      <c r="E1386" t="str">
        <f t="shared" si="149"/>
        <v>11</v>
      </c>
      <c r="F1386">
        <f t="shared" si="150"/>
        <v>2015</v>
      </c>
      <c r="G1386">
        <f t="shared" si="151"/>
        <v>4</v>
      </c>
      <c r="H1386">
        <f t="shared" si="152"/>
        <v>11</v>
      </c>
      <c r="I1386" t="str">
        <f t="shared" si="153"/>
        <v>15</v>
      </c>
    </row>
    <row r="1387" spans="1:9" x14ac:dyDescent="0.25">
      <c r="A1387" s="19">
        <v>41626</v>
      </c>
      <c r="B1387" s="20">
        <v>6.1805555555555558E-2</v>
      </c>
      <c r="C1387" t="str">
        <f t="shared" si="147"/>
        <v>13</v>
      </c>
      <c r="D1387" t="str">
        <f t="shared" si="148"/>
        <v>12</v>
      </c>
      <c r="E1387" t="str">
        <f t="shared" si="149"/>
        <v>18</v>
      </c>
      <c r="F1387">
        <f t="shared" si="150"/>
        <v>2013</v>
      </c>
      <c r="G1387">
        <f t="shared" si="151"/>
        <v>12</v>
      </c>
      <c r="H1387">
        <f t="shared" si="152"/>
        <v>18</v>
      </c>
      <c r="I1387" t="str">
        <f t="shared" si="153"/>
        <v>13</v>
      </c>
    </row>
    <row r="1388" spans="1:9" x14ac:dyDescent="0.25">
      <c r="A1388" s="19">
        <v>41208</v>
      </c>
      <c r="B1388" s="20">
        <v>0.99861111111111112</v>
      </c>
      <c r="C1388" t="str">
        <f t="shared" si="147"/>
        <v>12</v>
      </c>
      <c r="D1388" t="str">
        <f t="shared" si="148"/>
        <v>10</v>
      </c>
      <c r="E1388" t="str">
        <f t="shared" si="149"/>
        <v>26</v>
      </c>
      <c r="F1388">
        <f t="shared" si="150"/>
        <v>2012</v>
      </c>
      <c r="G1388">
        <f t="shared" si="151"/>
        <v>10</v>
      </c>
      <c r="H1388">
        <f t="shared" si="152"/>
        <v>26</v>
      </c>
      <c r="I1388" t="str">
        <f t="shared" si="153"/>
        <v>12</v>
      </c>
    </row>
    <row r="1389" spans="1:9" x14ac:dyDescent="0.25">
      <c r="A1389" s="19">
        <v>41562</v>
      </c>
      <c r="B1389" s="20">
        <v>4.5138888888888888E-2</v>
      </c>
      <c r="C1389" t="str">
        <f t="shared" si="147"/>
        <v>13</v>
      </c>
      <c r="D1389" t="str">
        <f t="shared" si="148"/>
        <v>10</v>
      </c>
      <c r="E1389" t="str">
        <f t="shared" si="149"/>
        <v>15</v>
      </c>
      <c r="F1389">
        <f t="shared" si="150"/>
        <v>2013</v>
      </c>
      <c r="G1389">
        <f t="shared" si="151"/>
        <v>10</v>
      </c>
      <c r="H1389">
        <f t="shared" si="152"/>
        <v>15</v>
      </c>
      <c r="I1389" t="str">
        <f t="shared" si="153"/>
        <v>13</v>
      </c>
    </row>
    <row r="1390" spans="1:9" x14ac:dyDescent="0.25">
      <c r="A1390" s="19">
        <v>41890</v>
      </c>
      <c r="B1390" s="20">
        <v>0.93888888888888888</v>
      </c>
      <c r="C1390" t="str">
        <f t="shared" si="147"/>
        <v>14</v>
      </c>
      <c r="D1390" t="str">
        <f t="shared" si="148"/>
        <v>09</v>
      </c>
      <c r="E1390" t="str">
        <f t="shared" si="149"/>
        <v>08</v>
      </c>
      <c r="F1390">
        <f t="shared" si="150"/>
        <v>2014</v>
      </c>
      <c r="G1390">
        <f t="shared" si="151"/>
        <v>9</v>
      </c>
      <c r="H1390">
        <f t="shared" si="152"/>
        <v>8</v>
      </c>
      <c r="I1390" t="str">
        <f t="shared" si="153"/>
        <v>14</v>
      </c>
    </row>
    <row r="1391" spans="1:9" x14ac:dyDescent="0.25">
      <c r="A1391" s="19">
        <v>41349</v>
      </c>
      <c r="B1391" s="20">
        <v>3.7499999999999999E-2</v>
      </c>
      <c r="C1391" t="str">
        <f t="shared" si="147"/>
        <v>13</v>
      </c>
      <c r="D1391" t="str">
        <f t="shared" si="148"/>
        <v>03</v>
      </c>
      <c r="E1391" t="str">
        <f t="shared" si="149"/>
        <v>16</v>
      </c>
      <c r="F1391">
        <f t="shared" si="150"/>
        <v>2013</v>
      </c>
      <c r="G1391">
        <f t="shared" si="151"/>
        <v>3</v>
      </c>
      <c r="H1391">
        <f t="shared" si="152"/>
        <v>16</v>
      </c>
      <c r="I1391" t="str">
        <f t="shared" si="153"/>
        <v>13</v>
      </c>
    </row>
    <row r="1392" spans="1:9" x14ac:dyDescent="0.25">
      <c r="A1392" s="19">
        <v>42791</v>
      </c>
      <c r="B1392" s="20">
        <v>0.95833333333333337</v>
      </c>
      <c r="C1392" t="str">
        <f t="shared" si="147"/>
        <v>17</v>
      </c>
      <c r="D1392" t="str">
        <f t="shared" si="148"/>
        <v>02</v>
      </c>
      <c r="E1392" t="str">
        <f t="shared" si="149"/>
        <v>25</v>
      </c>
      <c r="F1392">
        <f t="shared" si="150"/>
        <v>2017</v>
      </c>
      <c r="G1392">
        <f t="shared" si="151"/>
        <v>2</v>
      </c>
      <c r="H1392">
        <f t="shared" si="152"/>
        <v>25</v>
      </c>
      <c r="I1392" t="str">
        <f t="shared" si="153"/>
        <v>17</v>
      </c>
    </row>
    <row r="1393" spans="1:9" x14ac:dyDescent="0.25">
      <c r="A1393" s="19">
        <v>42136</v>
      </c>
      <c r="B1393" s="20">
        <v>2.7777777777777779E-3</v>
      </c>
      <c r="C1393" t="str">
        <f t="shared" si="147"/>
        <v>15</v>
      </c>
      <c r="D1393" t="str">
        <f t="shared" si="148"/>
        <v>05</v>
      </c>
      <c r="E1393" t="str">
        <f t="shared" si="149"/>
        <v>12</v>
      </c>
      <c r="F1393">
        <f t="shared" si="150"/>
        <v>2015</v>
      </c>
      <c r="G1393">
        <f t="shared" si="151"/>
        <v>5</v>
      </c>
      <c r="H1393">
        <f t="shared" si="152"/>
        <v>12</v>
      </c>
      <c r="I1393" t="str">
        <f t="shared" si="153"/>
        <v>15</v>
      </c>
    </row>
    <row r="1394" spans="1:9" x14ac:dyDescent="0.25">
      <c r="A1394" s="19">
        <v>41660</v>
      </c>
      <c r="B1394" s="20">
        <v>0.98750000000000004</v>
      </c>
      <c r="C1394" t="str">
        <f t="shared" si="147"/>
        <v>14</v>
      </c>
      <c r="D1394" t="str">
        <f t="shared" si="148"/>
        <v>01</v>
      </c>
      <c r="E1394" t="str">
        <f t="shared" si="149"/>
        <v>21</v>
      </c>
      <c r="F1394">
        <f t="shared" si="150"/>
        <v>2014</v>
      </c>
      <c r="G1394">
        <f t="shared" si="151"/>
        <v>1</v>
      </c>
      <c r="H1394">
        <f t="shared" si="152"/>
        <v>21</v>
      </c>
      <c r="I1394" t="str">
        <f t="shared" si="153"/>
        <v>14</v>
      </c>
    </row>
    <row r="1395" spans="1:9" x14ac:dyDescent="0.25">
      <c r="A1395" s="19">
        <v>41504</v>
      </c>
      <c r="B1395" s="20">
        <v>0.98402777777777772</v>
      </c>
      <c r="C1395" t="str">
        <f t="shared" si="147"/>
        <v>13</v>
      </c>
      <c r="D1395" t="str">
        <f t="shared" si="148"/>
        <v>08</v>
      </c>
      <c r="E1395" t="str">
        <f t="shared" si="149"/>
        <v>18</v>
      </c>
      <c r="F1395">
        <f t="shared" si="150"/>
        <v>2013</v>
      </c>
      <c r="G1395">
        <f t="shared" si="151"/>
        <v>8</v>
      </c>
      <c r="H1395">
        <f t="shared" si="152"/>
        <v>18</v>
      </c>
      <c r="I1395" t="str">
        <f t="shared" si="153"/>
        <v>13</v>
      </c>
    </row>
    <row r="1396" spans="1:9" x14ac:dyDescent="0.25">
      <c r="A1396" s="19">
        <v>41734</v>
      </c>
      <c r="B1396" s="20">
        <v>9.7222222222222224E-3</v>
      </c>
      <c r="C1396" t="str">
        <f t="shared" si="147"/>
        <v>14</v>
      </c>
      <c r="D1396" t="str">
        <f t="shared" si="148"/>
        <v>04</v>
      </c>
      <c r="E1396" t="str">
        <f t="shared" si="149"/>
        <v>05</v>
      </c>
      <c r="F1396">
        <f t="shared" si="150"/>
        <v>2014</v>
      </c>
      <c r="G1396">
        <f t="shared" si="151"/>
        <v>4</v>
      </c>
      <c r="H1396">
        <f t="shared" si="152"/>
        <v>5</v>
      </c>
      <c r="I1396" t="str">
        <f t="shared" si="153"/>
        <v>14</v>
      </c>
    </row>
    <row r="1397" spans="1:9" x14ac:dyDescent="0.25">
      <c r="A1397" s="19">
        <v>42378</v>
      </c>
      <c r="B1397" s="20">
        <v>0.99375000000000002</v>
      </c>
      <c r="C1397" t="str">
        <f t="shared" si="147"/>
        <v>16</v>
      </c>
      <c r="D1397" t="str">
        <f t="shared" si="148"/>
        <v>01</v>
      </c>
      <c r="E1397" t="str">
        <f t="shared" si="149"/>
        <v>09</v>
      </c>
      <c r="F1397">
        <f t="shared" si="150"/>
        <v>2016</v>
      </c>
      <c r="G1397">
        <f t="shared" si="151"/>
        <v>1</v>
      </c>
      <c r="H1397">
        <f t="shared" si="152"/>
        <v>9</v>
      </c>
      <c r="I1397" t="str">
        <f t="shared" si="153"/>
        <v>16</v>
      </c>
    </row>
    <row r="1398" spans="1:9" x14ac:dyDescent="0.25">
      <c r="A1398" s="19">
        <v>41096</v>
      </c>
      <c r="B1398" s="20">
        <v>8.1944444444444445E-2</v>
      </c>
      <c r="C1398" t="str">
        <f t="shared" si="147"/>
        <v>12</v>
      </c>
      <c r="D1398" t="str">
        <f t="shared" si="148"/>
        <v>07</v>
      </c>
      <c r="E1398" t="str">
        <f t="shared" si="149"/>
        <v>06</v>
      </c>
      <c r="F1398">
        <f t="shared" si="150"/>
        <v>2012</v>
      </c>
      <c r="G1398">
        <f t="shared" si="151"/>
        <v>7</v>
      </c>
      <c r="H1398">
        <f t="shared" si="152"/>
        <v>6</v>
      </c>
      <c r="I1398" t="str">
        <f t="shared" si="153"/>
        <v>12</v>
      </c>
    </row>
    <row r="1399" spans="1:9" x14ac:dyDescent="0.25">
      <c r="A1399" s="19">
        <v>41802</v>
      </c>
      <c r="B1399" s="20">
        <v>7.8472222222222221E-2</v>
      </c>
      <c r="C1399" t="str">
        <f t="shared" si="147"/>
        <v>14</v>
      </c>
      <c r="D1399" t="str">
        <f t="shared" si="148"/>
        <v>06</v>
      </c>
      <c r="E1399" t="str">
        <f t="shared" si="149"/>
        <v>12</v>
      </c>
      <c r="F1399">
        <f t="shared" si="150"/>
        <v>2014</v>
      </c>
      <c r="G1399">
        <f t="shared" si="151"/>
        <v>6</v>
      </c>
      <c r="H1399">
        <f t="shared" si="152"/>
        <v>12</v>
      </c>
      <c r="I1399" t="str">
        <f t="shared" si="153"/>
        <v>14</v>
      </c>
    </row>
    <row r="1400" spans="1:9" x14ac:dyDescent="0.25">
      <c r="A1400" s="19">
        <v>41420</v>
      </c>
      <c r="B1400" s="20">
        <v>8.3333333333333332E-3</v>
      </c>
      <c r="C1400" t="str">
        <f t="shared" si="147"/>
        <v>13</v>
      </c>
      <c r="D1400" t="str">
        <f t="shared" si="148"/>
        <v>05</v>
      </c>
      <c r="E1400" t="str">
        <f t="shared" si="149"/>
        <v>26</v>
      </c>
      <c r="F1400">
        <f t="shared" si="150"/>
        <v>2013</v>
      </c>
      <c r="G1400">
        <f t="shared" si="151"/>
        <v>5</v>
      </c>
      <c r="H1400">
        <f t="shared" si="152"/>
        <v>26</v>
      </c>
      <c r="I1400" t="str">
        <f t="shared" si="153"/>
        <v>13</v>
      </c>
    </row>
    <row r="1401" spans="1:9" x14ac:dyDescent="0.25">
      <c r="A1401" s="19">
        <v>42193</v>
      </c>
      <c r="B1401" s="20">
        <v>0.99444444444444446</v>
      </c>
      <c r="C1401" t="str">
        <f t="shared" si="147"/>
        <v>15</v>
      </c>
      <c r="D1401" t="str">
        <f t="shared" si="148"/>
        <v>07</v>
      </c>
      <c r="E1401" t="str">
        <f t="shared" si="149"/>
        <v>08</v>
      </c>
      <c r="F1401">
        <f t="shared" si="150"/>
        <v>2015</v>
      </c>
      <c r="G1401">
        <f t="shared" si="151"/>
        <v>7</v>
      </c>
      <c r="H1401">
        <f t="shared" si="152"/>
        <v>8</v>
      </c>
      <c r="I1401" t="str">
        <f t="shared" si="153"/>
        <v>15</v>
      </c>
    </row>
    <row r="1402" spans="1:9" x14ac:dyDescent="0.25">
      <c r="A1402" s="19">
        <v>42274</v>
      </c>
      <c r="B1402" s="20">
        <v>0.97777777777777775</v>
      </c>
      <c r="C1402" t="str">
        <f t="shared" si="147"/>
        <v>15</v>
      </c>
      <c r="D1402" t="str">
        <f t="shared" si="148"/>
        <v>09</v>
      </c>
      <c r="E1402" t="str">
        <f t="shared" si="149"/>
        <v>27</v>
      </c>
      <c r="F1402">
        <f t="shared" si="150"/>
        <v>2015</v>
      </c>
      <c r="G1402">
        <f t="shared" si="151"/>
        <v>9</v>
      </c>
      <c r="H1402">
        <f t="shared" si="152"/>
        <v>27</v>
      </c>
      <c r="I1402" t="str">
        <f t="shared" si="153"/>
        <v>15</v>
      </c>
    </row>
    <row r="1403" spans="1:9" x14ac:dyDescent="0.25">
      <c r="A1403" s="19">
        <v>41622</v>
      </c>
      <c r="B1403" s="20">
        <v>6.6666666666666666E-2</v>
      </c>
      <c r="C1403" t="str">
        <f t="shared" si="147"/>
        <v>13</v>
      </c>
      <c r="D1403" t="str">
        <f t="shared" si="148"/>
        <v>12</v>
      </c>
      <c r="E1403" t="str">
        <f t="shared" si="149"/>
        <v>14</v>
      </c>
      <c r="F1403">
        <f t="shared" si="150"/>
        <v>2013</v>
      </c>
      <c r="G1403">
        <f t="shared" si="151"/>
        <v>12</v>
      </c>
      <c r="H1403">
        <f t="shared" si="152"/>
        <v>14</v>
      </c>
      <c r="I1403" t="str">
        <f t="shared" si="153"/>
        <v>13</v>
      </c>
    </row>
    <row r="1404" spans="1:9" x14ac:dyDescent="0.25">
      <c r="A1404" s="19">
        <v>41855</v>
      </c>
      <c r="B1404" s="20">
        <v>3.7499999999999999E-2</v>
      </c>
      <c r="C1404" t="str">
        <f t="shared" si="147"/>
        <v>14</v>
      </c>
      <c r="D1404" t="str">
        <f t="shared" si="148"/>
        <v>08</v>
      </c>
      <c r="E1404" t="str">
        <f t="shared" si="149"/>
        <v>04</v>
      </c>
      <c r="F1404">
        <f t="shared" si="150"/>
        <v>2014</v>
      </c>
      <c r="G1404">
        <f t="shared" si="151"/>
        <v>8</v>
      </c>
      <c r="H1404">
        <f t="shared" si="152"/>
        <v>4</v>
      </c>
      <c r="I1404" t="str">
        <f t="shared" si="153"/>
        <v>14</v>
      </c>
    </row>
    <row r="1405" spans="1:9" x14ac:dyDescent="0.25">
      <c r="A1405" s="19">
        <v>41829</v>
      </c>
      <c r="B1405" s="20">
        <v>5.486111111111111E-2</v>
      </c>
      <c r="C1405" t="str">
        <f t="shared" si="147"/>
        <v>14</v>
      </c>
      <c r="D1405" t="str">
        <f t="shared" si="148"/>
        <v>07</v>
      </c>
      <c r="E1405" t="str">
        <f t="shared" si="149"/>
        <v>09</v>
      </c>
      <c r="F1405">
        <f t="shared" si="150"/>
        <v>2014</v>
      </c>
      <c r="G1405">
        <f t="shared" si="151"/>
        <v>7</v>
      </c>
      <c r="H1405">
        <f t="shared" si="152"/>
        <v>9</v>
      </c>
      <c r="I1405" t="str">
        <f t="shared" si="153"/>
        <v>14</v>
      </c>
    </row>
    <row r="1406" spans="1:9" x14ac:dyDescent="0.25">
      <c r="A1406" s="19">
        <v>41485</v>
      </c>
      <c r="B1406" s="20">
        <v>0.99791666666666667</v>
      </c>
      <c r="C1406" t="str">
        <f t="shared" si="147"/>
        <v>13</v>
      </c>
      <c r="D1406" t="str">
        <f t="shared" si="148"/>
        <v>07</v>
      </c>
      <c r="E1406" t="str">
        <f t="shared" si="149"/>
        <v>30</v>
      </c>
      <c r="F1406">
        <f t="shared" si="150"/>
        <v>2013</v>
      </c>
      <c r="G1406">
        <f t="shared" si="151"/>
        <v>7</v>
      </c>
      <c r="H1406">
        <f t="shared" si="152"/>
        <v>30</v>
      </c>
      <c r="I1406" t="str">
        <f t="shared" si="153"/>
        <v>13</v>
      </c>
    </row>
    <row r="1407" spans="1:9" x14ac:dyDescent="0.25">
      <c r="A1407" s="19">
        <v>41067</v>
      </c>
      <c r="B1407" s="20">
        <v>1.5972222222222221E-2</v>
      </c>
      <c r="C1407" t="str">
        <f t="shared" si="147"/>
        <v>12</v>
      </c>
      <c r="D1407" t="str">
        <f t="shared" si="148"/>
        <v>06</v>
      </c>
      <c r="E1407" t="str">
        <f t="shared" si="149"/>
        <v>07</v>
      </c>
      <c r="F1407">
        <f t="shared" si="150"/>
        <v>2012</v>
      </c>
      <c r="G1407">
        <f t="shared" si="151"/>
        <v>6</v>
      </c>
      <c r="H1407">
        <f t="shared" si="152"/>
        <v>7</v>
      </c>
      <c r="I1407" t="str">
        <f t="shared" si="153"/>
        <v>12</v>
      </c>
    </row>
    <row r="1408" spans="1:9" x14ac:dyDescent="0.25">
      <c r="A1408" s="19">
        <v>42018</v>
      </c>
      <c r="B1408" s="20">
        <v>3.1944444444444442E-2</v>
      </c>
      <c r="C1408" t="str">
        <f t="shared" si="147"/>
        <v>15</v>
      </c>
      <c r="D1408" t="str">
        <f t="shared" si="148"/>
        <v>01</v>
      </c>
      <c r="E1408" t="str">
        <f t="shared" si="149"/>
        <v>14</v>
      </c>
      <c r="F1408">
        <f t="shared" si="150"/>
        <v>2015</v>
      </c>
      <c r="G1408">
        <f t="shared" si="151"/>
        <v>1</v>
      </c>
      <c r="H1408">
        <f t="shared" si="152"/>
        <v>14</v>
      </c>
      <c r="I1408" t="str">
        <f t="shared" si="153"/>
        <v>15</v>
      </c>
    </row>
    <row r="1409" spans="1:9" x14ac:dyDescent="0.25">
      <c r="A1409" s="19">
        <v>41301</v>
      </c>
      <c r="B1409" s="20">
        <v>4.4444444444444446E-2</v>
      </c>
      <c r="C1409" t="str">
        <f t="shared" si="147"/>
        <v>13</v>
      </c>
      <c r="D1409" t="str">
        <f t="shared" si="148"/>
        <v>01</v>
      </c>
      <c r="E1409" t="str">
        <f t="shared" si="149"/>
        <v>27</v>
      </c>
      <c r="F1409">
        <f t="shared" si="150"/>
        <v>2013</v>
      </c>
      <c r="G1409">
        <f t="shared" si="151"/>
        <v>1</v>
      </c>
      <c r="H1409">
        <f t="shared" si="152"/>
        <v>27</v>
      </c>
      <c r="I1409" t="str">
        <f t="shared" si="153"/>
        <v>13</v>
      </c>
    </row>
    <row r="1410" spans="1:9" x14ac:dyDescent="0.25">
      <c r="A1410" s="19">
        <v>41932</v>
      </c>
      <c r="B1410" s="20">
        <v>0.99583333333333335</v>
      </c>
      <c r="C1410" t="str">
        <f t="shared" si="147"/>
        <v>14</v>
      </c>
      <c r="D1410" t="str">
        <f t="shared" si="148"/>
        <v>10</v>
      </c>
      <c r="E1410" t="str">
        <f t="shared" si="149"/>
        <v>20</v>
      </c>
      <c r="F1410">
        <f t="shared" si="150"/>
        <v>2014</v>
      </c>
      <c r="G1410">
        <f t="shared" si="151"/>
        <v>10</v>
      </c>
      <c r="H1410">
        <f t="shared" si="152"/>
        <v>20</v>
      </c>
      <c r="I1410" t="str">
        <f t="shared" si="153"/>
        <v>14</v>
      </c>
    </row>
    <row r="1411" spans="1:9" x14ac:dyDescent="0.25">
      <c r="A1411" s="19">
        <v>42098</v>
      </c>
      <c r="B1411" s="20">
        <v>7.9166666666666663E-2</v>
      </c>
      <c r="C1411" t="str">
        <f t="shared" ref="C1411:C1474" si="154">TEXT(A1411,"YY")</f>
        <v>15</v>
      </c>
      <c r="D1411" t="str">
        <f t="shared" ref="D1411:D1474" si="155">TEXT(A1411,"mm")</f>
        <v>04</v>
      </c>
      <c r="E1411" t="str">
        <f t="shared" ref="E1411:E1474" si="156">TEXT(A1411,"dd")</f>
        <v>04</v>
      </c>
      <c r="F1411">
        <f t="shared" ref="F1411:F1474" si="157">YEAR($A1411)</f>
        <v>2015</v>
      </c>
      <c r="G1411">
        <f t="shared" ref="G1411:G1474" si="158">MONTH($A1411)</f>
        <v>4</v>
      </c>
      <c r="H1411">
        <f t="shared" ref="H1411:H1474" si="159">DAY($A1411)</f>
        <v>4</v>
      </c>
      <c r="I1411" t="str">
        <f t="shared" ref="I1411:I1474" si="160">TEXT($A1411,"YY")</f>
        <v>15</v>
      </c>
    </row>
    <row r="1412" spans="1:9" x14ac:dyDescent="0.25">
      <c r="A1412" s="19">
        <v>41901</v>
      </c>
      <c r="B1412" s="20">
        <v>3.472222222222222E-3</v>
      </c>
      <c r="C1412" t="str">
        <f t="shared" si="154"/>
        <v>14</v>
      </c>
      <c r="D1412" t="str">
        <f t="shared" si="155"/>
        <v>09</v>
      </c>
      <c r="E1412" t="str">
        <f t="shared" si="156"/>
        <v>19</v>
      </c>
      <c r="F1412">
        <f t="shared" si="157"/>
        <v>2014</v>
      </c>
      <c r="G1412">
        <f t="shared" si="158"/>
        <v>9</v>
      </c>
      <c r="H1412">
        <f t="shared" si="159"/>
        <v>19</v>
      </c>
      <c r="I1412" t="str">
        <f t="shared" si="160"/>
        <v>14</v>
      </c>
    </row>
    <row r="1413" spans="1:9" x14ac:dyDescent="0.25">
      <c r="A1413" s="19">
        <v>42266</v>
      </c>
      <c r="B1413" s="20">
        <v>0.9770833333333333</v>
      </c>
      <c r="C1413" t="str">
        <f t="shared" si="154"/>
        <v>15</v>
      </c>
      <c r="D1413" t="str">
        <f t="shared" si="155"/>
        <v>09</v>
      </c>
      <c r="E1413" t="str">
        <f t="shared" si="156"/>
        <v>19</v>
      </c>
      <c r="F1413">
        <f t="shared" si="157"/>
        <v>2015</v>
      </c>
      <c r="G1413">
        <f t="shared" si="158"/>
        <v>9</v>
      </c>
      <c r="H1413">
        <f t="shared" si="159"/>
        <v>19</v>
      </c>
      <c r="I1413" t="str">
        <f t="shared" si="160"/>
        <v>15</v>
      </c>
    </row>
    <row r="1414" spans="1:9" x14ac:dyDescent="0.25">
      <c r="A1414" s="19">
        <v>42832</v>
      </c>
      <c r="B1414" s="20">
        <v>7.6388888888888886E-3</v>
      </c>
      <c r="C1414" t="str">
        <f t="shared" si="154"/>
        <v>17</v>
      </c>
      <c r="D1414" t="str">
        <f t="shared" si="155"/>
        <v>04</v>
      </c>
      <c r="E1414" t="str">
        <f t="shared" si="156"/>
        <v>07</v>
      </c>
      <c r="F1414">
        <f t="shared" si="157"/>
        <v>2017</v>
      </c>
      <c r="G1414">
        <f t="shared" si="158"/>
        <v>4</v>
      </c>
      <c r="H1414">
        <f t="shared" si="159"/>
        <v>7</v>
      </c>
      <c r="I1414" t="str">
        <f t="shared" si="160"/>
        <v>17</v>
      </c>
    </row>
    <row r="1415" spans="1:9" x14ac:dyDescent="0.25">
      <c r="A1415" s="19">
        <v>41643</v>
      </c>
      <c r="B1415" s="20">
        <v>3.3333333333333333E-2</v>
      </c>
      <c r="C1415" t="str">
        <f t="shared" si="154"/>
        <v>14</v>
      </c>
      <c r="D1415" t="str">
        <f t="shared" si="155"/>
        <v>01</v>
      </c>
      <c r="E1415" t="str">
        <f t="shared" si="156"/>
        <v>04</v>
      </c>
      <c r="F1415">
        <f t="shared" si="157"/>
        <v>2014</v>
      </c>
      <c r="G1415">
        <f t="shared" si="158"/>
        <v>1</v>
      </c>
      <c r="H1415">
        <f t="shared" si="159"/>
        <v>4</v>
      </c>
      <c r="I1415" t="str">
        <f t="shared" si="160"/>
        <v>14</v>
      </c>
    </row>
    <row r="1416" spans="1:9" x14ac:dyDescent="0.25">
      <c r="A1416" s="19">
        <v>42184</v>
      </c>
      <c r="B1416" s="20">
        <v>0.96458333333333335</v>
      </c>
      <c r="C1416" t="str">
        <f t="shared" si="154"/>
        <v>15</v>
      </c>
      <c r="D1416" t="str">
        <f t="shared" si="155"/>
        <v>06</v>
      </c>
      <c r="E1416" t="str">
        <f t="shared" si="156"/>
        <v>29</v>
      </c>
      <c r="F1416">
        <f t="shared" si="157"/>
        <v>2015</v>
      </c>
      <c r="G1416">
        <f t="shared" si="158"/>
        <v>6</v>
      </c>
      <c r="H1416">
        <f t="shared" si="159"/>
        <v>29</v>
      </c>
      <c r="I1416" t="str">
        <f t="shared" si="160"/>
        <v>15</v>
      </c>
    </row>
    <row r="1417" spans="1:9" x14ac:dyDescent="0.25">
      <c r="A1417" s="19">
        <v>41195</v>
      </c>
      <c r="B1417" s="20">
        <v>0.99444444444444446</v>
      </c>
      <c r="C1417" t="str">
        <f t="shared" si="154"/>
        <v>12</v>
      </c>
      <c r="D1417" t="str">
        <f t="shared" si="155"/>
        <v>10</v>
      </c>
      <c r="E1417" t="str">
        <f t="shared" si="156"/>
        <v>13</v>
      </c>
      <c r="F1417">
        <f t="shared" si="157"/>
        <v>2012</v>
      </c>
      <c r="G1417">
        <f t="shared" si="158"/>
        <v>10</v>
      </c>
      <c r="H1417">
        <f t="shared" si="159"/>
        <v>13</v>
      </c>
      <c r="I1417" t="str">
        <f t="shared" si="160"/>
        <v>12</v>
      </c>
    </row>
    <row r="1418" spans="1:9" x14ac:dyDescent="0.25">
      <c r="A1418" s="19">
        <v>41906</v>
      </c>
      <c r="B1418" s="20">
        <v>0.94930555555555551</v>
      </c>
      <c r="C1418" t="str">
        <f t="shared" si="154"/>
        <v>14</v>
      </c>
      <c r="D1418" t="str">
        <f t="shared" si="155"/>
        <v>09</v>
      </c>
      <c r="E1418" t="str">
        <f t="shared" si="156"/>
        <v>24</v>
      </c>
      <c r="F1418">
        <f t="shared" si="157"/>
        <v>2014</v>
      </c>
      <c r="G1418">
        <f t="shared" si="158"/>
        <v>9</v>
      </c>
      <c r="H1418">
        <f t="shared" si="159"/>
        <v>24</v>
      </c>
      <c r="I1418" t="str">
        <f t="shared" si="160"/>
        <v>14</v>
      </c>
    </row>
    <row r="1419" spans="1:9" x14ac:dyDescent="0.25">
      <c r="A1419" s="19">
        <v>42798</v>
      </c>
      <c r="B1419" s="20">
        <v>6.3888888888888884E-2</v>
      </c>
      <c r="C1419" t="str">
        <f t="shared" si="154"/>
        <v>17</v>
      </c>
      <c r="D1419" t="str">
        <f t="shared" si="155"/>
        <v>03</v>
      </c>
      <c r="E1419" t="str">
        <f t="shared" si="156"/>
        <v>04</v>
      </c>
      <c r="F1419">
        <f t="shared" si="157"/>
        <v>2017</v>
      </c>
      <c r="G1419">
        <f t="shared" si="158"/>
        <v>3</v>
      </c>
      <c r="H1419">
        <f t="shared" si="159"/>
        <v>4</v>
      </c>
      <c r="I1419" t="str">
        <f t="shared" si="160"/>
        <v>17</v>
      </c>
    </row>
    <row r="1420" spans="1:9" x14ac:dyDescent="0.25">
      <c r="A1420" s="19">
        <v>42424</v>
      </c>
      <c r="B1420" s="20">
        <v>0.95833333333333337</v>
      </c>
      <c r="C1420" t="str">
        <f t="shared" si="154"/>
        <v>16</v>
      </c>
      <c r="D1420" t="str">
        <f t="shared" si="155"/>
        <v>02</v>
      </c>
      <c r="E1420" t="str">
        <f t="shared" si="156"/>
        <v>24</v>
      </c>
      <c r="F1420">
        <f t="shared" si="157"/>
        <v>2016</v>
      </c>
      <c r="G1420">
        <f t="shared" si="158"/>
        <v>2</v>
      </c>
      <c r="H1420">
        <f t="shared" si="159"/>
        <v>24</v>
      </c>
      <c r="I1420" t="str">
        <f t="shared" si="160"/>
        <v>16</v>
      </c>
    </row>
    <row r="1421" spans="1:9" x14ac:dyDescent="0.25">
      <c r="A1421" s="19">
        <v>41749</v>
      </c>
      <c r="B1421" s="20">
        <v>5.9722222222222225E-2</v>
      </c>
      <c r="C1421" t="str">
        <f t="shared" si="154"/>
        <v>14</v>
      </c>
      <c r="D1421" t="str">
        <f t="shared" si="155"/>
        <v>04</v>
      </c>
      <c r="E1421" t="str">
        <f t="shared" si="156"/>
        <v>20</v>
      </c>
      <c r="F1421">
        <f t="shared" si="157"/>
        <v>2014</v>
      </c>
      <c r="G1421">
        <f t="shared" si="158"/>
        <v>4</v>
      </c>
      <c r="H1421">
        <f t="shared" si="159"/>
        <v>20</v>
      </c>
      <c r="I1421" t="str">
        <f t="shared" si="160"/>
        <v>14</v>
      </c>
    </row>
    <row r="1422" spans="1:9" x14ac:dyDescent="0.25">
      <c r="A1422" s="19">
        <v>41612</v>
      </c>
      <c r="B1422" s="20">
        <v>0.99583333333333335</v>
      </c>
      <c r="C1422" t="str">
        <f t="shared" si="154"/>
        <v>13</v>
      </c>
      <c r="D1422" t="str">
        <f t="shared" si="155"/>
        <v>12</v>
      </c>
      <c r="E1422" t="str">
        <f t="shared" si="156"/>
        <v>04</v>
      </c>
      <c r="F1422">
        <f t="shared" si="157"/>
        <v>2013</v>
      </c>
      <c r="G1422">
        <f t="shared" si="158"/>
        <v>12</v>
      </c>
      <c r="H1422">
        <f t="shared" si="159"/>
        <v>4</v>
      </c>
      <c r="I1422" t="str">
        <f t="shared" si="160"/>
        <v>13</v>
      </c>
    </row>
    <row r="1423" spans="1:9" x14ac:dyDescent="0.25">
      <c r="A1423" s="19">
        <v>41970</v>
      </c>
      <c r="B1423" s="20">
        <v>0.95972222222222225</v>
      </c>
      <c r="C1423" t="str">
        <f t="shared" si="154"/>
        <v>14</v>
      </c>
      <c r="D1423" t="str">
        <f t="shared" si="155"/>
        <v>11</v>
      </c>
      <c r="E1423" t="str">
        <f t="shared" si="156"/>
        <v>27</v>
      </c>
      <c r="F1423">
        <f t="shared" si="157"/>
        <v>2014</v>
      </c>
      <c r="G1423">
        <f t="shared" si="158"/>
        <v>11</v>
      </c>
      <c r="H1423">
        <f t="shared" si="159"/>
        <v>27</v>
      </c>
      <c r="I1423" t="str">
        <f t="shared" si="160"/>
        <v>14</v>
      </c>
    </row>
    <row r="1424" spans="1:9" x14ac:dyDescent="0.25">
      <c r="A1424" s="19">
        <v>42059</v>
      </c>
      <c r="B1424" s="20">
        <v>3.0555555555555555E-2</v>
      </c>
      <c r="C1424" t="str">
        <f t="shared" si="154"/>
        <v>15</v>
      </c>
      <c r="D1424" t="str">
        <f t="shared" si="155"/>
        <v>02</v>
      </c>
      <c r="E1424" t="str">
        <f t="shared" si="156"/>
        <v>24</v>
      </c>
      <c r="F1424">
        <f t="shared" si="157"/>
        <v>2015</v>
      </c>
      <c r="G1424">
        <f t="shared" si="158"/>
        <v>2</v>
      </c>
      <c r="H1424">
        <f t="shared" si="159"/>
        <v>24</v>
      </c>
      <c r="I1424" t="str">
        <f t="shared" si="160"/>
        <v>15</v>
      </c>
    </row>
    <row r="1425" spans="1:9" x14ac:dyDescent="0.25">
      <c r="A1425" s="19">
        <v>41502</v>
      </c>
      <c r="B1425" s="20">
        <v>1.1805555555555555E-2</v>
      </c>
      <c r="C1425" t="str">
        <f t="shared" si="154"/>
        <v>13</v>
      </c>
      <c r="D1425" t="str">
        <f t="shared" si="155"/>
        <v>08</v>
      </c>
      <c r="E1425" t="str">
        <f t="shared" si="156"/>
        <v>16</v>
      </c>
      <c r="F1425">
        <f t="shared" si="157"/>
        <v>2013</v>
      </c>
      <c r="G1425">
        <f t="shared" si="158"/>
        <v>8</v>
      </c>
      <c r="H1425">
        <f t="shared" si="159"/>
        <v>16</v>
      </c>
      <c r="I1425" t="str">
        <f t="shared" si="160"/>
        <v>13</v>
      </c>
    </row>
    <row r="1426" spans="1:9" x14ac:dyDescent="0.25">
      <c r="A1426" s="19">
        <v>41465</v>
      </c>
      <c r="B1426" s="20">
        <v>1.3888888888888888E-2</v>
      </c>
      <c r="C1426" t="str">
        <f t="shared" si="154"/>
        <v>13</v>
      </c>
      <c r="D1426" t="str">
        <f t="shared" si="155"/>
        <v>07</v>
      </c>
      <c r="E1426" t="str">
        <f t="shared" si="156"/>
        <v>10</v>
      </c>
      <c r="F1426">
        <f t="shared" si="157"/>
        <v>2013</v>
      </c>
      <c r="G1426">
        <f t="shared" si="158"/>
        <v>7</v>
      </c>
      <c r="H1426">
        <f t="shared" si="159"/>
        <v>10</v>
      </c>
      <c r="I1426" t="str">
        <f t="shared" si="160"/>
        <v>13</v>
      </c>
    </row>
    <row r="1427" spans="1:9" x14ac:dyDescent="0.25">
      <c r="A1427" s="19">
        <v>42345</v>
      </c>
      <c r="B1427" s="20">
        <v>0.96527777777777779</v>
      </c>
      <c r="C1427" t="str">
        <f t="shared" si="154"/>
        <v>15</v>
      </c>
      <c r="D1427" t="str">
        <f t="shared" si="155"/>
        <v>12</v>
      </c>
      <c r="E1427" t="str">
        <f t="shared" si="156"/>
        <v>07</v>
      </c>
      <c r="F1427">
        <f t="shared" si="157"/>
        <v>2015</v>
      </c>
      <c r="G1427">
        <f t="shared" si="158"/>
        <v>12</v>
      </c>
      <c r="H1427">
        <f t="shared" si="159"/>
        <v>7</v>
      </c>
      <c r="I1427" t="str">
        <f t="shared" si="160"/>
        <v>15</v>
      </c>
    </row>
    <row r="1428" spans="1:9" x14ac:dyDescent="0.25">
      <c r="A1428" s="19">
        <v>41683</v>
      </c>
      <c r="B1428" s="20">
        <v>8.3333333333333329E-2</v>
      </c>
      <c r="C1428" t="str">
        <f t="shared" si="154"/>
        <v>14</v>
      </c>
      <c r="D1428" t="str">
        <f t="shared" si="155"/>
        <v>02</v>
      </c>
      <c r="E1428" t="str">
        <f t="shared" si="156"/>
        <v>13</v>
      </c>
      <c r="F1428">
        <f t="shared" si="157"/>
        <v>2014</v>
      </c>
      <c r="G1428">
        <f t="shared" si="158"/>
        <v>2</v>
      </c>
      <c r="H1428">
        <f t="shared" si="159"/>
        <v>13</v>
      </c>
      <c r="I1428" t="str">
        <f t="shared" si="160"/>
        <v>14</v>
      </c>
    </row>
    <row r="1429" spans="1:9" x14ac:dyDescent="0.25">
      <c r="A1429" s="19">
        <v>42016</v>
      </c>
      <c r="B1429" s="20">
        <v>0.98958333333333337</v>
      </c>
      <c r="C1429" t="str">
        <f t="shared" si="154"/>
        <v>15</v>
      </c>
      <c r="D1429" t="str">
        <f t="shared" si="155"/>
        <v>01</v>
      </c>
      <c r="E1429" t="str">
        <f t="shared" si="156"/>
        <v>12</v>
      </c>
      <c r="F1429">
        <f t="shared" si="157"/>
        <v>2015</v>
      </c>
      <c r="G1429">
        <f t="shared" si="158"/>
        <v>1</v>
      </c>
      <c r="H1429">
        <f t="shared" si="159"/>
        <v>12</v>
      </c>
      <c r="I1429" t="str">
        <f t="shared" si="160"/>
        <v>15</v>
      </c>
    </row>
    <row r="1430" spans="1:9" x14ac:dyDescent="0.25">
      <c r="A1430" s="19">
        <v>41465</v>
      </c>
      <c r="B1430" s="20">
        <v>2.013888888888889E-2</v>
      </c>
      <c r="C1430" t="str">
        <f t="shared" si="154"/>
        <v>13</v>
      </c>
      <c r="D1430" t="str">
        <f t="shared" si="155"/>
        <v>07</v>
      </c>
      <c r="E1430" t="str">
        <f t="shared" si="156"/>
        <v>10</v>
      </c>
      <c r="F1430">
        <f t="shared" si="157"/>
        <v>2013</v>
      </c>
      <c r="G1430">
        <f t="shared" si="158"/>
        <v>7</v>
      </c>
      <c r="H1430">
        <f t="shared" si="159"/>
        <v>10</v>
      </c>
      <c r="I1430" t="str">
        <f t="shared" si="160"/>
        <v>13</v>
      </c>
    </row>
    <row r="1431" spans="1:9" x14ac:dyDescent="0.25">
      <c r="A1431" s="19">
        <v>41114</v>
      </c>
      <c r="B1431" s="20">
        <v>2.4305555555555556E-2</v>
      </c>
      <c r="C1431" t="str">
        <f t="shared" si="154"/>
        <v>12</v>
      </c>
      <c r="D1431" t="str">
        <f t="shared" si="155"/>
        <v>07</v>
      </c>
      <c r="E1431" t="str">
        <f t="shared" si="156"/>
        <v>24</v>
      </c>
      <c r="F1431">
        <f t="shared" si="157"/>
        <v>2012</v>
      </c>
      <c r="G1431">
        <f t="shared" si="158"/>
        <v>7</v>
      </c>
      <c r="H1431">
        <f t="shared" si="159"/>
        <v>24</v>
      </c>
      <c r="I1431" t="str">
        <f t="shared" si="160"/>
        <v>12</v>
      </c>
    </row>
    <row r="1432" spans="1:9" x14ac:dyDescent="0.25">
      <c r="A1432" s="19">
        <v>41928</v>
      </c>
      <c r="B1432" s="20">
        <v>0.98124999999999996</v>
      </c>
      <c r="C1432" t="str">
        <f t="shared" si="154"/>
        <v>14</v>
      </c>
      <c r="D1432" t="str">
        <f t="shared" si="155"/>
        <v>10</v>
      </c>
      <c r="E1432" t="str">
        <f t="shared" si="156"/>
        <v>16</v>
      </c>
      <c r="F1432">
        <f t="shared" si="157"/>
        <v>2014</v>
      </c>
      <c r="G1432">
        <f t="shared" si="158"/>
        <v>10</v>
      </c>
      <c r="H1432">
        <f t="shared" si="159"/>
        <v>16</v>
      </c>
      <c r="I1432" t="str">
        <f t="shared" si="160"/>
        <v>14</v>
      </c>
    </row>
    <row r="1433" spans="1:9" x14ac:dyDescent="0.25">
      <c r="A1433" s="19">
        <v>41006</v>
      </c>
      <c r="B1433" s="20">
        <v>4.791666666666667E-2</v>
      </c>
      <c r="C1433" t="str">
        <f t="shared" si="154"/>
        <v>12</v>
      </c>
      <c r="D1433" t="str">
        <f t="shared" si="155"/>
        <v>04</v>
      </c>
      <c r="E1433" t="str">
        <f t="shared" si="156"/>
        <v>07</v>
      </c>
      <c r="F1433">
        <f t="shared" si="157"/>
        <v>2012</v>
      </c>
      <c r="G1433">
        <f t="shared" si="158"/>
        <v>4</v>
      </c>
      <c r="H1433">
        <f t="shared" si="159"/>
        <v>7</v>
      </c>
      <c r="I1433" t="str">
        <f t="shared" si="160"/>
        <v>12</v>
      </c>
    </row>
    <row r="1434" spans="1:9" x14ac:dyDescent="0.25">
      <c r="A1434" s="19">
        <v>41229</v>
      </c>
      <c r="B1434" s="20">
        <v>2.361111111111111E-2</v>
      </c>
      <c r="C1434" t="str">
        <f t="shared" si="154"/>
        <v>12</v>
      </c>
      <c r="D1434" t="str">
        <f t="shared" si="155"/>
        <v>11</v>
      </c>
      <c r="E1434" t="str">
        <f t="shared" si="156"/>
        <v>16</v>
      </c>
      <c r="F1434">
        <f t="shared" si="157"/>
        <v>2012</v>
      </c>
      <c r="G1434">
        <f t="shared" si="158"/>
        <v>11</v>
      </c>
      <c r="H1434">
        <f t="shared" si="159"/>
        <v>16</v>
      </c>
      <c r="I1434" t="str">
        <f t="shared" si="160"/>
        <v>12</v>
      </c>
    </row>
    <row r="1435" spans="1:9" x14ac:dyDescent="0.25">
      <c r="A1435" s="19">
        <v>41919</v>
      </c>
      <c r="B1435" s="20">
        <v>2.7777777777777779E-3</v>
      </c>
      <c r="C1435" t="str">
        <f t="shared" si="154"/>
        <v>14</v>
      </c>
      <c r="D1435" t="str">
        <f t="shared" si="155"/>
        <v>10</v>
      </c>
      <c r="E1435" t="str">
        <f t="shared" si="156"/>
        <v>07</v>
      </c>
      <c r="F1435">
        <f t="shared" si="157"/>
        <v>2014</v>
      </c>
      <c r="G1435">
        <f t="shared" si="158"/>
        <v>10</v>
      </c>
      <c r="H1435">
        <f t="shared" si="159"/>
        <v>7</v>
      </c>
      <c r="I1435" t="str">
        <f t="shared" si="160"/>
        <v>14</v>
      </c>
    </row>
    <row r="1436" spans="1:9" x14ac:dyDescent="0.25">
      <c r="A1436" s="19">
        <v>41917</v>
      </c>
      <c r="B1436" s="20">
        <v>1.9444444444444445E-2</v>
      </c>
      <c r="C1436" t="str">
        <f t="shared" si="154"/>
        <v>14</v>
      </c>
      <c r="D1436" t="str">
        <f t="shared" si="155"/>
        <v>10</v>
      </c>
      <c r="E1436" t="str">
        <f t="shared" si="156"/>
        <v>05</v>
      </c>
      <c r="F1436">
        <f t="shared" si="157"/>
        <v>2014</v>
      </c>
      <c r="G1436">
        <f t="shared" si="158"/>
        <v>10</v>
      </c>
      <c r="H1436">
        <f t="shared" si="159"/>
        <v>5</v>
      </c>
      <c r="I1436" t="str">
        <f t="shared" si="160"/>
        <v>14</v>
      </c>
    </row>
    <row r="1437" spans="1:9" x14ac:dyDescent="0.25">
      <c r="A1437" s="19">
        <v>41237</v>
      </c>
      <c r="B1437" s="20">
        <v>0.99097222222222225</v>
      </c>
      <c r="C1437" t="str">
        <f t="shared" si="154"/>
        <v>12</v>
      </c>
      <c r="D1437" t="str">
        <f t="shared" si="155"/>
        <v>11</v>
      </c>
      <c r="E1437" t="str">
        <f t="shared" si="156"/>
        <v>24</v>
      </c>
      <c r="F1437">
        <f t="shared" si="157"/>
        <v>2012</v>
      </c>
      <c r="G1437">
        <f t="shared" si="158"/>
        <v>11</v>
      </c>
      <c r="H1437">
        <f t="shared" si="159"/>
        <v>24</v>
      </c>
      <c r="I1437" t="str">
        <f t="shared" si="160"/>
        <v>12</v>
      </c>
    </row>
    <row r="1438" spans="1:9" x14ac:dyDescent="0.25">
      <c r="A1438" s="19">
        <v>41336</v>
      </c>
      <c r="B1438" s="20">
        <v>1.9444444444444445E-2</v>
      </c>
      <c r="C1438" t="str">
        <f t="shared" si="154"/>
        <v>13</v>
      </c>
      <c r="D1438" t="str">
        <f t="shared" si="155"/>
        <v>03</v>
      </c>
      <c r="E1438" t="str">
        <f t="shared" si="156"/>
        <v>03</v>
      </c>
      <c r="F1438">
        <f t="shared" si="157"/>
        <v>2013</v>
      </c>
      <c r="G1438">
        <f t="shared" si="158"/>
        <v>3</v>
      </c>
      <c r="H1438">
        <f t="shared" si="159"/>
        <v>3</v>
      </c>
      <c r="I1438" t="str">
        <f t="shared" si="160"/>
        <v>13</v>
      </c>
    </row>
    <row r="1439" spans="1:9" x14ac:dyDescent="0.25">
      <c r="A1439" s="19">
        <v>42537</v>
      </c>
      <c r="B1439" s="20">
        <v>0.96180555555555558</v>
      </c>
      <c r="C1439" t="str">
        <f t="shared" si="154"/>
        <v>16</v>
      </c>
      <c r="D1439" t="str">
        <f t="shared" si="155"/>
        <v>06</v>
      </c>
      <c r="E1439" t="str">
        <f t="shared" si="156"/>
        <v>16</v>
      </c>
      <c r="F1439">
        <f t="shared" si="157"/>
        <v>2016</v>
      </c>
      <c r="G1439">
        <f t="shared" si="158"/>
        <v>6</v>
      </c>
      <c r="H1439">
        <f t="shared" si="159"/>
        <v>16</v>
      </c>
      <c r="I1439" t="str">
        <f t="shared" si="160"/>
        <v>16</v>
      </c>
    </row>
    <row r="1440" spans="1:9" x14ac:dyDescent="0.25">
      <c r="A1440" s="19">
        <v>41170</v>
      </c>
      <c r="B1440" s="20">
        <v>1.1805555555555555E-2</v>
      </c>
      <c r="C1440" t="str">
        <f t="shared" si="154"/>
        <v>12</v>
      </c>
      <c r="D1440" t="str">
        <f t="shared" si="155"/>
        <v>09</v>
      </c>
      <c r="E1440" t="str">
        <f t="shared" si="156"/>
        <v>18</v>
      </c>
      <c r="F1440">
        <f t="shared" si="157"/>
        <v>2012</v>
      </c>
      <c r="G1440">
        <f t="shared" si="158"/>
        <v>9</v>
      </c>
      <c r="H1440">
        <f t="shared" si="159"/>
        <v>18</v>
      </c>
      <c r="I1440" t="str">
        <f t="shared" si="160"/>
        <v>12</v>
      </c>
    </row>
    <row r="1441" spans="1:9" x14ac:dyDescent="0.25">
      <c r="A1441" s="19">
        <v>41282</v>
      </c>
      <c r="B1441" s="20">
        <v>3.3333333333333333E-2</v>
      </c>
      <c r="C1441" t="str">
        <f t="shared" si="154"/>
        <v>13</v>
      </c>
      <c r="D1441" t="str">
        <f t="shared" si="155"/>
        <v>01</v>
      </c>
      <c r="E1441" t="str">
        <f t="shared" si="156"/>
        <v>08</v>
      </c>
      <c r="F1441">
        <f t="shared" si="157"/>
        <v>2013</v>
      </c>
      <c r="G1441">
        <f t="shared" si="158"/>
        <v>1</v>
      </c>
      <c r="H1441">
        <f t="shared" si="159"/>
        <v>8</v>
      </c>
      <c r="I1441" t="str">
        <f t="shared" si="160"/>
        <v>13</v>
      </c>
    </row>
    <row r="1442" spans="1:9" x14ac:dyDescent="0.25">
      <c r="A1442" s="19">
        <v>42680</v>
      </c>
      <c r="B1442" s="20">
        <v>6.2500000000000003E-3</v>
      </c>
      <c r="C1442" t="str">
        <f t="shared" si="154"/>
        <v>16</v>
      </c>
      <c r="D1442" t="str">
        <f t="shared" si="155"/>
        <v>11</v>
      </c>
      <c r="E1442" t="str">
        <f t="shared" si="156"/>
        <v>06</v>
      </c>
      <c r="F1442">
        <f t="shared" si="157"/>
        <v>2016</v>
      </c>
      <c r="G1442">
        <f t="shared" si="158"/>
        <v>11</v>
      </c>
      <c r="H1442">
        <f t="shared" si="159"/>
        <v>6</v>
      </c>
      <c r="I1442" t="str">
        <f t="shared" si="160"/>
        <v>16</v>
      </c>
    </row>
    <row r="1443" spans="1:9" x14ac:dyDescent="0.25">
      <c r="A1443" s="19">
        <v>41739</v>
      </c>
      <c r="B1443" s="20">
        <v>6.3194444444444442E-2</v>
      </c>
      <c r="C1443" t="str">
        <f t="shared" si="154"/>
        <v>14</v>
      </c>
      <c r="D1443" t="str">
        <f t="shared" si="155"/>
        <v>04</v>
      </c>
      <c r="E1443" t="str">
        <f t="shared" si="156"/>
        <v>10</v>
      </c>
      <c r="F1443">
        <f t="shared" si="157"/>
        <v>2014</v>
      </c>
      <c r="G1443">
        <f t="shared" si="158"/>
        <v>4</v>
      </c>
      <c r="H1443">
        <f t="shared" si="159"/>
        <v>10</v>
      </c>
      <c r="I1443" t="str">
        <f t="shared" si="160"/>
        <v>14</v>
      </c>
    </row>
    <row r="1444" spans="1:9" x14ac:dyDescent="0.25">
      <c r="A1444" s="19">
        <v>41852</v>
      </c>
      <c r="B1444" s="20">
        <v>1.3888888888888888E-2</v>
      </c>
      <c r="C1444" t="str">
        <f t="shared" si="154"/>
        <v>14</v>
      </c>
      <c r="D1444" t="str">
        <f t="shared" si="155"/>
        <v>08</v>
      </c>
      <c r="E1444" t="str">
        <f t="shared" si="156"/>
        <v>01</v>
      </c>
      <c r="F1444">
        <f t="shared" si="157"/>
        <v>2014</v>
      </c>
      <c r="G1444">
        <f t="shared" si="158"/>
        <v>8</v>
      </c>
      <c r="H1444">
        <f t="shared" si="159"/>
        <v>1</v>
      </c>
      <c r="I1444" t="str">
        <f t="shared" si="160"/>
        <v>14</v>
      </c>
    </row>
    <row r="1445" spans="1:9" x14ac:dyDescent="0.25">
      <c r="A1445" s="19">
        <v>41602</v>
      </c>
      <c r="B1445" s="20">
        <v>3.4722222222222224E-2</v>
      </c>
      <c r="C1445" t="str">
        <f t="shared" si="154"/>
        <v>13</v>
      </c>
      <c r="D1445" t="str">
        <f t="shared" si="155"/>
        <v>11</v>
      </c>
      <c r="E1445" t="str">
        <f t="shared" si="156"/>
        <v>24</v>
      </c>
      <c r="F1445">
        <f t="shared" si="157"/>
        <v>2013</v>
      </c>
      <c r="G1445">
        <f t="shared" si="158"/>
        <v>11</v>
      </c>
      <c r="H1445">
        <f t="shared" si="159"/>
        <v>24</v>
      </c>
      <c r="I1445" t="str">
        <f t="shared" si="160"/>
        <v>13</v>
      </c>
    </row>
    <row r="1446" spans="1:9" x14ac:dyDescent="0.25">
      <c r="A1446" s="19">
        <v>42490</v>
      </c>
      <c r="B1446" s="20">
        <v>0.98541666666666672</v>
      </c>
      <c r="C1446" t="str">
        <f t="shared" si="154"/>
        <v>16</v>
      </c>
      <c r="D1446" t="str">
        <f t="shared" si="155"/>
        <v>04</v>
      </c>
      <c r="E1446" t="str">
        <f t="shared" si="156"/>
        <v>30</v>
      </c>
      <c r="F1446">
        <f t="shared" si="157"/>
        <v>2016</v>
      </c>
      <c r="G1446">
        <f t="shared" si="158"/>
        <v>4</v>
      </c>
      <c r="H1446">
        <f t="shared" si="159"/>
        <v>30</v>
      </c>
      <c r="I1446" t="str">
        <f t="shared" si="160"/>
        <v>16</v>
      </c>
    </row>
    <row r="1447" spans="1:9" x14ac:dyDescent="0.25">
      <c r="A1447" s="19">
        <v>42091</v>
      </c>
      <c r="B1447" s="20">
        <v>3.888888888888889E-2</v>
      </c>
      <c r="C1447" t="str">
        <f t="shared" si="154"/>
        <v>15</v>
      </c>
      <c r="D1447" t="str">
        <f t="shared" si="155"/>
        <v>03</v>
      </c>
      <c r="E1447" t="str">
        <f t="shared" si="156"/>
        <v>28</v>
      </c>
      <c r="F1447">
        <f t="shared" si="157"/>
        <v>2015</v>
      </c>
      <c r="G1447">
        <f t="shared" si="158"/>
        <v>3</v>
      </c>
      <c r="H1447">
        <f t="shared" si="159"/>
        <v>28</v>
      </c>
      <c r="I1447" t="str">
        <f t="shared" si="160"/>
        <v>15</v>
      </c>
    </row>
    <row r="1448" spans="1:9" x14ac:dyDescent="0.25">
      <c r="A1448" s="19">
        <v>41552</v>
      </c>
      <c r="B1448" s="20">
        <v>6.9444444444444447E-4</v>
      </c>
      <c r="C1448" t="str">
        <f t="shared" si="154"/>
        <v>13</v>
      </c>
      <c r="D1448" t="str">
        <f t="shared" si="155"/>
        <v>10</v>
      </c>
      <c r="E1448" t="str">
        <f t="shared" si="156"/>
        <v>05</v>
      </c>
      <c r="F1448">
        <f t="shared" si="157"/>
        <v>2013</v>
      </c>
      <c r="G1448">
        <f t="shared" si="158"/>
        <v>10</v>
      </c>
      <c r="H1448">
        <f t="shared" si="159"/>
        <v>5</v>
      </c>
      <c r="I1448" t="str">
        <f t="shared" si="160"/>
        <v>13</v>
      </c>
    </row>
    <row r="1449" spans="1:9" x14ac:dyDescent="0.25">
      <c r="A1449" s="19">
        <v>41766</v>
      </c>
      <c r="B1449" s="20">
        <v>1.3888888888888888E-2</v>
      </c>
      <c r="C1449" t="str">
        <f t="shared" si="154"/>
        <v>14</v>
      </c>
      <c r="D1449" t="str">
        <f t="shared" si="155"/>
        <v>05</v>
      </c>
      <c r="E1449" t="str">
        <f t="shared" si="156"/>
        <v>07</v>
      </c>
      <c r="F1449">
        <f t="shared" si="157"/>
        <v>2014</v>
      </c>
      <c r="G1449">
        <f t="shared" si="158"/>
        <v>5</v>
      </c>
      <c r="H1449">
        <f t="shared" si="159"/>
        <v>7</v>
      </c>
      <c r="I1449" t="str">
        <f t="shared" si="160"/>
        <v>14</v>
      </c>
    </row>
    <row r="1450" spans="1:9" x14ac:dyDescent="0.25">
      <c r="A1450" s="19">
        <v>42071</v>
      </c>
      <c r="B1450" s="20">
        <v>1.3194444444444444E-2</v>
      </c>
      <c r="C1450" t="str">
        <f t="shared" si="154"/>
        <v>15</v>
      </c>
      <c r="D1450" t="str">
        <f t="shared" si="155"/>
        <v>03</v>
      </c>
      <c r="E1450" t="str">
        <f t="shared" si="156"/>
        <v>08</v>
      </c>
      <c r="F1450">
        <f t="shared" si="157"/>
        <v>2015</v>
      </c>
      <c r="G1450">
        <f t="shared" si="158"/>
        <v>3</v>
      </c>
      <c r="H1450">
        <f t="shared" si="159"/>
        <v>8</v>
      </c>
      <c r="I1450" t="str">
        <f t="shared" si="160"/>
        <v>15</v>
      </c>
    </row>
    <row r="1451" spans="1:9" x14ac:dyDescent="0.25">
      <c r="A1451" s="19">
        <v>41413</v>
      </c>
      <c r="B1451" s="20">
        <v>2.7083333333333334E-2</v>
      </c>
      <c r="C1451" t="str">
        <f t="shared" si="154"/>
        <v>13</v>
      </c>
      <c r="D1451" t="str">
        <f t="shared" si="155"/>
        <v>05</v>
      </c>
      <c r="E1451" t="str">
        <f t="shared" si="156"/>
        <v>19</v>
      </c>
      <c r="F1451">
        <f t="shared" si="157"/>
        <v>2013</v>
      </c>
      <c r="G1451">
        <f t="shared" si="158"/>
        <v>5</v>
      </c>
      <c r="H1451">
        <f t="shared" si="159"/>
        <v>19</v>
      </c>
      <c r="I1451" t="str">
        <f t="shared" si="160"/>
        <v>13</v>
      </c>
    </row>
    <row r="1452" spans="1:9" x14ac:dyDescent="0.25">
      <c r="A1452" s="19">
        <v>41381</v>
      </c>
      <c r="B1452" s="20">
        <v>0.97361111111111109</v>
      </c>
      <c r="C1452" t="str">
        <f t="shared" si="154"/>
        <v>13</v>
      </c>
      <c r="D1452" t="str">
        <f t="shared" si="155"/>
        <v>04</v>
      </c>
      <c r="E1452" t="str">
        <f t="shared" si="156"/>
        <v>17</v>
      </c>
      <c r="F1452">
        <f t="shared" si="157"/>
        <v>2013</v>
      </c>
      <c r="G1452">
        <f t="shared" si="158"/>
        <v>4</v>
      </c>
      <c r="H1452">
        <f t="shared" si="159"/>
        <v>17</v>
      </c>
      <c r="I1452" t="str">
        <f t="shared" si="160"/>
        <v>13</v>
      </c>
    </row>
    <row r="1453" spans="1:9" x14ac:dyDescent="0.25">
      <c r="A1453" s="19">
        <v>41939</v>
      </c>
      <c r="B1453" s="20">
        <v>5.1388888888888887E-2</v>
      </c>
      <c r="C1453" t="str">
        <f t="shared" si="154"/>
        <v>14</v>
      </c>
      <c r="D1453" t="str">
        <f t="shared" si="155"/>
        <v>10</v>
      </c>
      <c r="E1453" t="str">
        <f t="shared" si="156"/>
        <v>27</v>
      </c>
      <c r="F1453">
        <f t="shared" si="157"/>
        <v>2014</v>
      </c>
      <c r="G1453">
        <f t="shared" si="158"/>
        <v>10</v>
      </c>
      <c r="H1453">
        <f t="shared" si="159"/>
        <v>27</v>
      </c>
      <c r="I1453" t="str">
        <f t="shared" si="160"/>
        <v>14</v>
      </c>
    </row>
    <row r="1454" spans="1:9" x14ac:dyDescent="0.25">
      <c r="A1454" s="19">
        <v>41209</v>
      </c>
      <c r="B1454" s="20">
        <v>2.7777777777777779E-3</v>
      </c>
      <c r="C1454" t="str">
        <f t="shared" si="154"/>
        <v>12</v>
      </c>
      <c r="D1454" t="str">
        <f t="shared" si="155"/>
        <v>10</v>
      </c>
      <c r="E1454" t="str">
        <f t="shared" si="156"/>
        <v>27</v>
      </c>
      <c r="F1454">
        <f t="shared" si="157"/>
        <v>2012</v>
      </c>
      <c r="G1454">
        <f t="shared" si="158"/>
        <v>10</v>
      </c>
      <c r="H1454">
        <f t="shared" si="159"/>
        <v>27</v>
      </c>
      <c r="I1454" t="str">
        <f t="shared" si="160"/>
        <v>12</v>
      </c>
    </row>
    <row r="1455" spans="1:9" x14ac:dyDescent="0.25">
      <c r="A1455" s="19">
        <v>41360</v>
      </c>
      <c r="B1455" s="20">
        <v>6.9444444444444448E-2</v>
      </c>
      <c r="C1455" t="str">
        <f t="shared" si="154"/>
        <v>13</v>
      </c>
      <c r="D1455" t="str">
        <f t="shared" si="155"/>
        <v>03</v>
      </c>
      <c r="E1455" t="str">
        <f t="shared" si="156"/>
        <v>27</v>
      </c>
      <c r="F1455">
        <f t="shared" si="157"/>
        <v>2013</v>
      </c>
      <c r="G1455">
        <f t="shared" si="158"/>
        <v>3</v>
      </c>
      <c r="H1455">
        <f t="shared" si="159"/>
        <v>27</v>
      </c>
      <c r="I1455" t="str">
        <f t="shared" si="160"/>
        <v>13</v>
      </c>
    </row>
    <row r="1456" spans="1:9" x14ac:dyDescent="0.25">
      <c r="A1456" s="19">
        <v>41871</v>
      </c>
      <c r="B1456" s="20">
        <v>2.8472222222222222E-2</v>
      </c>
      <c r="C1456" t="str">
        <f t="shared" si="154"/>
        <v>14</v>
      </c>
      <c r="D1456" t="str">
        <f t="shared" si="155"/>
        <v>08</v>
      </c>
      <c r="E1456" t="str">
        <f t="shared" si="156"/>
        <v>20</v>
      </c>
      <c r="F1456">
        <f t="shared" si="157"/>
        <v>2014</v>
      </c>
      <c r="G1456">
        <f t="shared" si="158"/>
        <v>8</v>
      </c>
      <c r="H1456">
        <f t="shared" si="159"/>
        <v>20</v>
      </c>
      <c r="I1456" t="str">
        <f t="shared" si="160"/>
        <v>14</v>
      </c>
    </row>
    <row r="1457" spans="1:9" x14ac:dyDescent="0.25">
      <c r="A1457" s="19">
        <v>41817</v>
      </c>
      <c r="B1457" s="20">
        <v>0.97291666666666665</v>
      </c>
      <c r="C1457" t="str">
        <f t="shared" si="154"/>
        <v>14</v>
      </c>
      <c r="D1457" t="str">
        <f t="shared" si="155"/>
        <v>06</v>
      </c>
      <c r="E1457" t="str">
        <f t="shared" si="156"/>
        <v>27</v>
      </c>
      <c r="F1457">
        <f t="shared" si="157"/>
        <v>2014</v>
      </c>
      <c r="G1457">
        <f t="shared" si="158"/>
        <v>6</v>
      </c>
      <c r="H1457">
        <f t="shared" si="159"/>
        <v>27</v>
      </c>
      <c r="I1457" t="str">
        <f t="shared" si="160"/>
        <v>14</v>
      </c>
    </row>
    <row r="1458" spans="1:9" x14ac:dyDescent="0.25">
      <c r="A1458" s="19">
        <v>41169</v>
      </c>
      <c r="B1458" s="20">
        <v>1.0416666666666666E-2</v>
      </c>
      <c r="C1458" t="str">
        <f t="shared" si="154"/>
        <v>12</v>
      </c>
      <c r="D1458" t="str">
        <f t="shared" si="155"/>
        <v>09</v>
      </c>
      <c r="E1458" t="str">
        <f t="shared" si="156"/>
        <v>17</v>
      </c>
      <c r="F1458">
        <f t="shared" si="157"/>
        <v>2012</v>
      </c>
      <c r="G1458">
        <f t="shared" si="158"/>
        <v>9</v>
      </c>
      <c r="H1458">
        <f t="shared" si="159"/>
        <v>17</v>
      </c>
      <c r="I1458" t="str">
        <f t="shared" si="160"/>
        <v>12</v>
      </c>
    </row>
    <row r="1459" spans="1:9" x14ac:dyDescent="0.25">
      <c r="A1459" s="19">
        <v>42639</v>
      </c>
      <c r="B1459" s="20">
        <v>3.2638888888888891E-2</v>
      </c>
      <c r="C1459" t="str">
        <f t="shared" si="154"/>
        <v>16</v>
      </c>
      <c r="D1459" t="str">
        <f t="shared" si="155"/>
        <v>09</v>
      </c>
      <c r="E1459" t="str">
        <f t="shared" si="156"/>
        <v>26</v>
      </c>
      <c r="F1459">
        <f t="shared" si="157"/>
        <v>2016</v>
      </c>
      <c r="G1459">
        <f t="shared" si="158"/>
        <v>9</v>
      </c>
      <c r="H1459">
        <f t="shared" si="159"/>
        <v>26</v>
      </c>
      <c r="I1459" t="str">
        <f t="shared" si="160"/>
        <v>16</v>
      </c>
    </row>
    <row r="1460" spans="1:9" x14ac:dyDescent="0.25">
      <c r="A1460" s="19">
        <v>42829</v>
      </c>
      <c r="B1460" s="20">
        <v>0.95347222222222228</v>
      </c>
      <c r="C1460" t="str">
        <f t="shared" si="154"/>
        <v>17</v>
      </c>
      <c r="D1460" t="str">
        <f t="shared" si="155"/>
        <v>04</v>
      </c>
      <c r="E1460" t="str">
        <f t="shared" si="156"/>
        <v>04</v>
      </c>
      <c r="F1460">
        <f t="shared" si="157"/>
        <v>2017</v>
      </c>
      <c r="G1460">
        <f t="shared" si="158"/>
        <v>4</v>
      </c>
      <c r="H1460">
        <f t="shared" si="159"/>
        <v>4</v>
      </c>
      <c r="I1460" t="str">
        <f t="shared" si="160"/>
        <v>17</v>
      </c>
    </row>
    <row r="1461" spans="1:9" x14ac:dyDescent="0.25">
      <c r="A1461" s="19">
        <v>42514</v>
      </c>
      <c r="B1461" s="20">
        <v>3.7499999999999999E-2</v>
      </c>
      <c r="C1461" t="str">
        <f t="shared" si="154"/>
        <v>16</v>
      </c>
      <c r="D1461" t="str">
        <f t="shared" si="155"/>
        <v>05</v>
      </c>
      <c r="E1461" t="str">
        <f t="shared" si="156"/>
        <v>24</v>
      </c>
      <c r="F1461">
        <f t="shared" si="157"/>
        <v>2016</v>
      </c>
      <c r="G1461">
        <f t="shared" si="158"/>
        <v>5</v>
      </c>
      <c r="H1461">
        <f t="shared" si="159"/>
        <v>24</v>
      </c>
      <c r="I1461" t="str">
        <f t="shared" si="160"/>
        <v>16</v>
      </c>
    </row>
    <row r="1462" spans="1:9" x14ac:dyDescent="0.25">
      <c r="A1462" s="19">
        <v>41636</v>
      </c>
      <c r="B1462" s="20">
        <v>5.1388888888888887E-2</v>
      </c>
      <c r="C1462" t="str">
        <f t="shared" si="154"/>
        <v>13</v>
      </c>
      <c r="D1462" t="str">
        <f t="shared" si="155"/>
        <v>12</v>
      </c>
      <c r="E1462" t="str">
        <f t="shared" si="156"/>
        <v>28</v>
      </c>
      <c r="F1462">
        <f t="shared" si="157"/>
        <v>2013</v>
      </c>
      <c r="G1462">
        <f t="shared" si="158"/>
        <v>12</v>
      </c>
      <c r="H1462">
        <f t="shared" si="159"/>
        <v>28</v>
      </c>
      <c r="I1462" t="str">
        <f t="shared" si="160"/>
        <v>13</v>
      </c>
    </row>
    <row r="1463" spans="1:9" x14ac:dyDescent="0.25">
      <c r="A1463" s="19">
        <v>41321</v>
      </c>
      <c r="B1463" s="20">
        <v>7.3611111111111113E-2</v>
      </c>
      <c r="C1463" t="str">
        <f t="shared" si="154"/>
        <v>13</v>
      </c>
      <c r="D1463" t="str">
        <f t="shared" si="155"/>
        <v>02</v>
      </c>
      <c r="E1463" t="str">
        <f t="shared" si="156"/>
        <v>16</v>
      </c>
      <c r="F1463">
        <f t="shared" si="157"/>
        <v>2013</v>
      </c>
      <c r="G1463">
        <f t="shared" si="158"/>
        <v>2</v>
      </c>
      <c r="H1463">
        <f t="shared" si="159"/>
        <v>16</v>
      </c>
      <c r="I1463" t="str">
        <f t="shared" si="160"/>
        <v>13</v>
      </c>
    </row>
    <row r="1464" spans="1:9" x14ac:dyDescent="0.25">
      <c r="A1464" s="19">
        <v>41307</v>
      </c>
      <c r="B1464" s="20">
        <v>2.2222222222222223E-2</v>
      </c>
      <c r="C1464" t="str">
        <f t="shared" si="154"/>
        <v>13</v>
      </c>
      <c r="D1464" t="str">
        <f t="shared" si="155"/>
        <v>02</v>
      </c>
      <c r="E1464" t="str">
        <f t="shared" si="156"/>
        <v>02</v>
      </c>
      <c r="F1464">
        <f t="shared" si="157"/>
        <v>2013</v>
      </c>
      <c r="G1464">
        <f t="shared" si="158"/>
        <v>2</v>
      </c>
      <c r="H1464">
        <f t="shared" si="159"/>
        <v>2</v>
      </c>
      <c r="I1464" t="str">
        <f t="shared" si="160"/>
        <v>13</v>
      </c>
    </row>
    <row r="1465" spans="1:9" x14ac:dyDescent="0.25">
      <c r="A1465" s="19">
        <v>40987</v>
      </c>
      <c r="B1465" s="20">
        <v>1.1111111111111112E-2</v>
      </c>
      <c r="C1465" t="str">
        <f t="shared" si="154"/>
        <v>12</v>
      </c>
      <c r="D1465" t="str">
        <f t="shared" si="155"/>
        <v>03</v>
      </c>
      <c r="E1465" t="str">
        <f t="shared" si="156"/>
        <v>19</v>
      </c>
      <c r="F1465">
        <f t="shared" si="157"/>
        <v>2012</v>
      </c>
      <c r="G1465">
        <f t="shared" si="158"/>
        <v>3</v>
      </c>
      <c r="H1465">
        <f t="shared" si="159"/>
        <v>19</v>
      </c>
      <c r="I1465" t="str">
        <f t="shared" si="160"/>
        <v>12</v>
      </c>
    </row>
    <row r="1466" spans="1:9" x14ac:dyDescent="0.25">
      <c r="A1466" s="19">
        <v>41729</v>
      </c>
      <c r="B1466" s="20">
        <v>7.3611111111111113E-2</v>
      </c>
      <c r="C1466" t="str">
        <f t="shared" si="154"/>
        <v>14</v>
      </c>
      <c r="D1466" t="str">
        <f t="shared" si="155"/>
        <v>03</v>
      </c>
      <c r="E1466" t="str">
        <f t="shared" si="156"/>
        <v>31</v>
      </c>
      <c r="F1466">
        <f t="shared" si="157"/>
        <v>2014</v>
      </c>
      <c r="G1466">
        <f t="shared" si="158"/>
        <v>3</v>
      </c>
      <c r="H1466">
        <f t="shared" si="159"/>
        <v>31</v>
      </c>
      <c r="I1466" t="str">
        <f t="shared" si="160"/>
        <v>14</v>
      </c>
    </row>
    <row r="1467" spans="1:9" x14ac:dyDescent="0.25">
      <c r="A1467" s="19">
        <v>41153</v>
      </c>
      <c r="B1467" s="20">
        <v>5.2777777777777778E-2</v>
      </c>
      <c r="C1467" t="str">
        <f t="shared" si="154"/>
        <v>12</v>
      </c>
      <c r="D1467" t="str">
        <f t="shared" si="155"/>
        <v>09</v>
      </c>
      <c r="E1467" t="str">
        <f t="shared" si="156"/>
        <v>01</v>
      </c>
      <c r="F1467">
        <f t="shared" si="157"/>
        <v>2012</v>
      </c>
      <c r="G1467">
        <f t="shared" si="158"/>
        <v>9</v>
      </c>
      <c r="H1467">
        <f t="shared" si="159"/>
        <v>1</v>
      </c>
      <c r="I1467" t="str">
        <f t="shared" si="160"/>
        <v>12</v>
      </c>
    </row>
    <row r="1468" spans="1:9" x14ac:dyDescent="0.25">
      <c r="A1468" s="19">
        <v>42019</v>
      </c>
      <c r="B1468" s="20">
        <v>4.7222222222222221E-2</v>
      </c>
      <c r="C1468" t="str">
        <f t="shared" si="154"/>
        <v>15</v>
      </c>
      <c r="D1468" t="str">
        <f t="shared" si="155"/>
        <v>01</v>
      </c>
      <c r="E1468" t="str">
        <f t="shared" si="156"/>
        <v>15</v>
      </c>
      <c r="F1468">
        <f t="shared" si="157"/>
        <v>2015</v>
      </c>
      <c r="G1468">
        <f t="shared" si="158"/>
        <v>1</v>
      </c>
      <c r="H1468">
        <f t="shared" si="159"/>
        <v>15</v>
      </c>
      <c r="I1468" t="str">
        <f t="shared" si="160"/>
        <v>15</v>
      </c>
    </row>
    <row r="1469" spans="1:9" x14ac:dyDescent="0.25">
      <c r="A1469" s="19">
        <v>41995</v>
      </c>
      <c r="B1469" s="20">
        <v>5.6250000000000001E-2</v>
      </c>
      <c r="C1469" t="str">
        <f t="shared" si="154"/>
        <v>14</v>
      </c>
      <c r="D1469" t="str">
        <f t="shared" si="155"/>
        <v>12</v>
      </c>
      <c r="E1469" t="str">
        <f t="shared" si="156"/>
        <v>22</v>
      </c>
      <c r="F1469">
        <f t="shared" si="157"/>
        <v>2014</v>
      </c>
      <c r="G1469">
        <f t="shared" si="158"/>
        <v>12</v>
      </c>
      <c r="H1469">
        <f t="shared" si="159"/>
        <v>22</v>
      </c>
      <c r="I1469" t="str">
        <f t="shared" si="160"/>
        <v>14</v>
      </c>
    </row>
    <row r="1470" spans="1:9" x14ac:dyDescent="0.25">
      <c r="A1470" s="19">
        <v>42533</v>
      </c>
      <c r="B1470" s="20">
        <v>0.98819444444444449</v>
      </c>
      <c r="C1470" t="str">
        <f t="shared" si="154"/>
        <v>16</v>
      </c>
      <c r="D1470" t="str">
        <f t="shared" si="155"/>
        <v>06</v>
      </c>
      <c r="E1470" t="str">
        <f t="shared" si="156"/>
        <v>12</v>
      </c>
      <c r="F1470">
        <f t="shared" si="157"/>
        <v>2016</v>
      </c>
      <c r="G1470">
        <f t="shared" si="158"/>
        <v>6</v>
      </c>
      <c r="H1470">
        <f t="shared" si="159"/>
        <v>12</v>
      </c>
      <c r="I1470" t="str">
        <f t="shared" si="160"/>
        <v>16</v>
      </c>
    </row>
    <row r="1471" spans="1:9" x14ac:dyDescent="0.25">
      <c r="A1471" s="19">
        <v>41908</v>
      </c>
      <c r="B1471" s="20">
        <v>5.5555555555555552E-2</v>
      </c>
      <c r="C1471" t="str">
        <f t="shared" si="154"/>
        <v>14</v>
      </c>
      <c r="D1471" t="str">
        <f t="shared" si="155"/>
        <v>09</v>
      </c>
      <c r="E1471" t="str">
        <f t="shared" si="156"/>
        <v>26</v>
      </c>
      <c r="F1471">
        <f t="shared" si="157"/>
        <v>2014</v>
      </c>
      <c r="G1471">
        <f t="shared" si="158"/>
        <v>9</v>
      </c>
      <c r="H1471">
        <f t="shared" si="159"/>
        <v>26</v>
      </c>
      <c r="I1471" t="str">
        <f t="shared" si="160"/>
        <v>14</v>
      </c>
    </row>
    <row r="1472" spans="1:9" x14ac:dyDescent="0.25">
      <c r="A1472" s="19">
        <v>41818</v>
      </c>
      <c r="B1472" s="20">
        <v>7.6388888888888886E-3</v>
      </c>
      <c r="C1472" t="str">
        <f t="shared" si="154"/>
        <v>14</v>
      </c>
      <c r="D1472" t="str">
        <f t="shared" si="155"/>
        <v>06</v>
      </c>
      <c r="E1472" t="str">
        <f t="shared" si="156"/>
        <v>28</v>
      </c>
      <c r="F1472">
        <f t="shared" si="157"/>
        <v>2014</v>
      </c>
      <c r="G1472">
        <f t="shared" si="158"/>
        <v>6</v>
      </c>
      <c r="H1472">
        <f t="shared" si="159"/>
        <v>28</v>
      </c>
      <c r="I1472" t="str">
        <f t="shared" si="160"/>
        <v>14</v>
      </c>
    </row>
    <row r="1473" spans="1:9" x14ac:dyDescent="0.25">
      <c r="A1473" s="19">
        <v>42541</v>
      </c>
      <c r="B1473" s="20">
        <v>0.97986111111111107</v>
      </c>
      <c r="C1473" t="str">
        <f t="shared" si="154"/>
        <v>16</v>
      </c>
      <c r="D1473" t="str">
        <f t="shared" si="155"/>
        <v>06</v>
      </c>
      <c r="E1473" t="str">
        <f t="shared" si="156"/>
        <v>20</v>
      </c>
      <c r="F1473">
        <f t="shared" si="157"/>
        <v>2016</v>
      </c>
      <c r="G1473">
        <f t="shared" si="158"/>
        <v>6</v>
      </c>
      <c r="H1473">
        <f t="shared" si="159"/>
        <v>20</v>
      </c>
      <c r="I1473" t="str">
        <f t="shared" si="160"/>
        <v>16</v>
      </c>
    </row>
    <row r="1474" spans="1:9" x14ac:dyDescent="0.25">
      <c r="A1474" s="19">
        <v>41275</v>
      </c>
      <c r="B1474" s="20">
        <v>4.4444444444444446E-2</v>
      </c>
      <c r="C1474" t="str">
        <f t="shared" si="154"/>
        <v>13</v>
      </c>
      <c r="D1474" t="str">
        <f t="shared" si="155"/>
        <v>01</v>
      </c>
      <c r="E1474" t="str">
        <f t="shared" si="156"/>
        <v>01</v>
      </c>
      <c r="F1474">
        <f t="shared" si="157"/>
        <v>2013</v>
      </c>
      <c r="G1474">
        <f t="shared" si="158"/>
        <v>1</v>
      </c>
      <c r="H1474">
        <f t="shared" si="159"/>
        <v>1</v>
      </c>
      <c r="I1474" t="str">
        <f t="shared" si="160"/>
        <v>13</v>
      </c>
    </row>
    <row r="1475" spans="1:9" x14ac:dyDescent="0.25">
      <c r="A1475" s="19">
        <v>41504</v>
      </c>
      <c r="B1475" s="20">
        <v>3.4027777777777775E-2</v>
      </c>
      <c r="C1475" t="str">
        <f t="shared" ref="C1475:C1538" si="161">TEXT(A1475,"YY")</f>
        <v>13</v>
      </c>
      <c r="D1475" t="str">
        <f t="shared" ref="D1475:D1538" si="162">TEXT(A1475,"mm")</f>
        <v>08</v>
      </c>
      <c r="E1475" t="str">
        <f t="shared" ref="E1475:E1538" si="163">TEXT(A1475,"dd")</f>
        <v>18</v>
      </c>
      <c r="F1475">
        <f t="shared" ref="F1475:F1538" si="164">YEAR($A1475)</f>
        <v>2013</v>
      </c>
      <c r="G1475">
        <f t="shared" ref="G1475:G1538" si="165">MONTH($A1475)</f>
        <v>8</v>
      </c>
      <c r="H1475">
        <f t="shared" ref="H1475:H1538" si="166">DAY($A1475)</f>
        <v>18</v>
      </c>
      <c r="I1475" t="str">
        <f t="shared" ref="I1475:I1538" si="167">TEXT($A1475,"YY")</f>
        <v>13</v>
      </c>
    </row>
    <row r="1476" spans="1:9" x14ac:dyDescent="0.25">
      <c r="A1476" s="19">
        <v>42075</v>
      </c>
      <c r="B1476" s="20">
        <v>0.98333333333333328</v>
      </c>
      <c r="C1476" t="str">
        <f t="shared" si="161"/>
        <v>15</v>
      </c>
      <c r="D1476" t="str">
        <f t="shared" si="162"/>
        <v>03</v>
      </c>
      <c r="E1476" t="str">
        <f t="shared" si="163"/>
        <v>12</v>
      </c>
      <c r="F1476">
        <f t="shared" si="164"/>
        <v>2015</v>
      </c>
      <c r="G1476">
        <f t="shared" si="165"/>
        <v>3</v>
      </c>
      <c r="H1476">
        <f t="shared" si="166"/>
        <v>12</v>
      </c>
      <c r="I1476" t="str">
        <f t="shared" si="167"/>
        <v>15</v>
      </c>
    </row>
    <row r="1477" spans="1:9" x14ac:dyDescent="0.25">
      <c r="A1477" s="19">
        <v>41629</v>
      </c>
      <c r="B1477" s="20">
        <v>7.7777777777777779E-2</v>
      </c>
      <c r="C1477" t="str">
        <f t="shared" si="161"/>
        <v>13</v>
      </c>
      <c r="D1477" t="str">
        <f t="shared" si="162"/>
        <v>12</v>
      </c>
      <c r="E1477" t="str">
        <f t="shared" si="163"/>
        <v>21</v>
      </c>
      <c r="F1477">
        <f t="shared" si="164"/>
        <v>2013</v>
      </c>
      <c r="G1477">
        <f t="shared" si="165"/>
        <v>12</v>
      </c>
      <c r="H1477">
        <f t="shared" si="166"/>
        <v>21</v>
      </c>
      <c r="I1477" t="str">
        <f t="shared" si="167"/>
        <v>13</v>
      </c>
    </row>
    <row r="1478" spans="1:9" x14ac:dyDescent="0.25">
      <c r="A1478" s="19">
        <v>42381</v>
      </c>
      <c r="B1478" s="20">
        <v>2.361111111111111E-2</v>
      </c>
      <c r="C1478" t="str">
        <f t="shared" si="161"/>
        <v>16</v>
      </c>
      <c r="D1478" t="str">
        <f t="shared" si="162"/>
        <v>01</v>
      </c>
      <c r="E1478" t="str">
        <f t="shared" si="163"/>
        <v>12</v>
      </c>
      <c r="F1478">
        <f t="shared" si="164"/>
        <v>2016</v>
      </c>
      <c r="G1478">
        <f t="shared" si="165"/>
        <v>1</v>
      </c>
      <c r="H1478">
        <f t="shared" si="166"/>
        <v>12</v>
      </c>
      <c r="I1478" t="str">
        <f t="shared" si="167"/>
        <v>16</v>
      </c>
    </row>
    <row r="1479" spans="1:9" x14ac:dyDescent="0.25">
      <c r="A1479" s="19">
        <v>41389</v>
      </c>
      <c r="B1479" s="20">
        <v>6.7361111111111108E-2</v>
      </c>
      <c r="C1479" t="str">
        <f t="shared" si="161"/>
        <v>13</v>
      </c>
      <c r="D1479" t="str">
        <f t="shared" si="162"/>
        <v>04</v>
      </c>
      <c r="E1479" t="str">
        <f t="shared" si="163"/>
        <v>25</v>
      </c>
      <c r="F1479">
        <f t="shared" si="164"/>
        <v>2013</v>
      </c>
      <c r="G1479">
        <f t="shared" si="165"/>
        <v>4</v>
      </c>
      <c r="H1479">
        <f t="shared" si="166"/>
        <v>25</v>
      </c>
      <c r="I1479" t="str">
        <f t="shared" si="167"/>
        <v>13</v>
      </c>
    </row>
    <row r="1480" spans="1:9" x14ac:dyDescent="0.25">
      <c r="A1480" s="19">
        <v>41207</v>
      </c>
      <c r="B1480" s="20">
        <v>5.5555555555555558E-3</v>
      </c>
      <c r="C1480" t="str">
        <f t="shared" si="161"/>
        <v>12</v>
      </c>
      <c r="D1480" t="str">
        <f t="shared" si="162"/>
        <v>10</v>
      </c>
      <c r="E1480" t="str">
        <f t="shared" si="163"/>
        <v>25</v>
      </c>
      <c r="F1480">
        <f t="shared" si="164"/>
        <v>2012</v>
      </c>
      <c r="G1480">
        <f t="shared" si="165"/>
        <v>10</v>
      </c>
      <c r="H1480">
        <f t="shared" si="166"/>
        <v>25</v>
      </c>
      <c r="I1480" t="str">
        <f t="shared" si="167"/>
        <v>12</v>
      </c>
    </row>
    <row r="1481" spans="1:9" x14ac:dyDescent="0.25">
      <c r="A1481" s="19">
        <v>41259</v>
      </c>
      <c r="B1481" s="20">
        <v>3.6805555555555557E-2</v>
      </c>
      <c r="C1481" t="str">
        <f t="shared" si="161"/>
        <v>12</v>
      </c>
      <c r="D1481" t="str">
        <f t="shared" si="162"/>
        <v>12</v>
      </c>
      <c r="E1481" t="str">
        <f t="shared" si="163"/>
        <v>16</v>
      </c>
      <c r="F1481">
        <f t="shared" si="164"/>
        <v>2012</v>
      </c>
      <c r="G1481">
        <f t="shared" si="165"/>
        <v>12</v>
      </c>
      <c r="H1481">
        <f t="shared" si="166"/>
        <v>16</v>
      </c>
      <c r="I1481" t="str">
        <f t="shared" si="167"/>
        <v>12</v>
      </c>
    </row>
    <row r="1482" spans="1:9" x14ac:dyDescent="0.25">
      <c r="A1482" s="19">
        <v>41942</v>
      </c>
      <c r="B1482" s="20">
        <v>0.93958333333333333</v>
      </c>
      <c r="C1482" t="str">
        <f t="shared" si="161"/>
        <v>14</v>
      </c>
      <c r="D1482" t="str">
        <f t="shared" si="162"/>
        <v>10</v>
      </c>
      <c r="E1482" t="str">
        <f t="shared" si="163"/>
        <v>30</v>
      </c>
      <c r="F1482">
        <f t="shared" si="164"/>
        <v>2014</v>
      </c>
      <c r="G1482">
        <f t="shared" si="165"/>
        <v>10</v>
      </c>
      <c r="H1482">
        <f t="shared" si="166"/>
        <v>30</v>
      </c>
      <c r="I1482" t="str">
        <f t="shared" si="167"/>
        <v>14</v>
      </c>
    </row>
    <row r="1483" spans="1:9" x14ac:dyDescent="0.25">
      <c r="A1483" s="19">
        <v>41815</v>
      </c>
      <c r="B1483" s="20">
        <v>5.2777777777777778E-2</v>
      </c>
      <c r="C1483" t="str">
        <f t="shared" si="161"/>
        <v>14</v>
      </c>
      <c r="D1483" t="str">
        <f t="shared" si="162"/>
        <v>06</v>
      </c>
      <c r="E1483" t="str">
        <f t="shared" si="163"/>
        <v>25</v>
      </c>
      <c r="F1483">
        <f t="shared" si="164"/>
        <v>2014</v>
      </c>
      <c r="G1483">
        <f t="shared" si="165"/>
        <v>6</v>
      </c>
      <c r="H1483">
        <f t="shared" si="166"/>
        <v>25</v>
      </c>
      <c r="I1483" t="str">
        <f t="shared" si="167"/>
        <v>14</v>
      </c>
    </row>
    <row r="1484" spans="1:9" x14ac:dyDescent="0.25">
      <c r="A1484" s="19">
        <v>41855</v>
      </c>
      <c r="B1484" s="20">
        <v>4.791666666666667E-2</v>
      </c>
      <c r="C1484" t="str">
        <f t="shared" si="161"/>
        <v>14</v>
      </c>
      <c r="D1484" t="str">
        <f t="shared" si="162"/>
        <v>08</v>
      </c>
      <c r="E1484" t="str">
        <f t="shared" si="163"/>
        <v>04</v>
      </c>
      <c r="F1484">
        <f t="shared" si="164"/>
        <v>2014</v>
      </c>
      <c r="G1484">
        <f t="shared" si="165"/>
        <v>8</v>
      </c>
      <c r="H1484">
        <f t="shared" si="166"/>
        <v>4</v>
      </c>
      <c r="I1484" t="str">
        <f t="shared" si="167"/>
        <v>14</v>
      </c>
    </row>
    <row r="1485" spans="1:9" x14ac:dyDescent="0.25">
      <c r="A1485" s="19">
        <v>42566</v>
      </c>
      <c r="B1485" s="20">
        <v>0.94930555555555551</v>
      </c>
      <c r="C1485" t="str">
        <f t="shared" si="161"/>
        <v>16</v>
      </c>
      <c r="D1485" t="str">
        <f t="shared" si="162"/>
        <v>07</v>
      </c>
      <c r="E1485" t="str">
        <f t="shared" si="163"/>
        <v>15</v>
      </c>
      <c r="F1485">
        <f t="shared" si="164"/>
        <v>2016</v>
      </c>
      <c r="G1485">
        <f t="shared" si="165"/>
        <v>7</v>
      </c>
      <c r="H1485">
        <f t="shared" si="166"/>
        <v>15</v>
      </c>
      <c r="I1485" t="str">
        <f t="shared" si="167"/>
        <v>16</v>
      </c>
    </row>
    <row r="1486" spans="1:9" x14ac:dyDescent="0.25">
      <c r="A1486" s="19">
        <v>41219</v>
      </c>
      <c r="B1486" s="20">
        <v>0.99097222222222225</v>
      </c>
      <c r="C1486" t="str">
        <f t="shared" si="161"/>
        <v>12</v>
      </c>
      <c r="D1486" t="str">
        <f t="shared" si="162"/>
        <v>11</v>
      </c>
      <c r="E1486" t="str">
        <f t="shared" si="163"/>
        <v>06</v>
      </c>
      <c r="F1486">
        <f t="shared" si="164"/>
        <v>2012</v>
      </c>
      <c r="G1486">
        <f t="shared" si="165"/>
        <v>11</v>
      </c>
      <c r="H1486">
        <f t="shared" si="166"/>
        <v>6</v>
      </c>
      <c r="I1486" t="str">
        <f t="shared" si="167"/>
        <v>12</v>
      </c>
    </row>
    <row r="1487" spans="1:9" x14ac:dyDescent="0.25">
      <c r="A1487" s="19">
        <v>41485</v>
      </c>
      <c r="B1487" s="20">
        <v>1.2500000000000001E-2</v>
      </c>
      <c r="C1487" t="str">
        <f t="shared" si="161"/>
        <v>13</v>
      </c>
      <c r="D1487" t="str">
        <f t="shared" si="162"/>
        <v>07</v>
      </c>
      <c r="E1487" t="str">
        <f t="shared" si="163"/>
        <v>30</v>
      </c>
      <c r="F1487">
        <f t="shared" si="164"/>
        <v>2013</v>
      </c>
      <c r="G1487">
        <f t="shared" si="165"/>
        <v>7</v>
      </c>
      <c r="H1487">
        <f t="shared" si="166"/>
        <v>30</v>
      </c>
      <c r="I1487" t="str">
        <f t="shared" si="167"/>
        <v>13</v>
      </c>
    </row>
    <row r="1488" spans="1:9" x14ac:dyDescent="0.25">
      <c r="A1488" s="19">
        <v>42179</v>
      </c>
      <c r="B1488" s="20">
        <v>8.3333333333333332E-3</v>
      </c>
      <c r="C1488" t="str">
        <f t="shared" si="161"/>
        <v>15</v>
      </c>
      <c r="D1488" t="str">
        <f t="shared" si="162"/>
        <v>06</v>
      </c>
      <c r="E1488" t="str">
        <f t="shared" si="163"/>
        <v>24</v>
      </c>
      <c r="F1488">
        <f t="shared" si="164"/>
        <v>2015</v>
      </c>
      <c r="G1488">
        <f t="shared" si="165"/>
        <v>6</v>
      </c>
      <c r="H1488">
        <f t="shared" si="166"/>
        <v>24</v>
      </c>
      <c r="I1488" t="str">
        <f t="shared" si="167"/>
        <v>15</v>
      </c>
    </row>
    <row r="1489" spans="1:9" x14ac:dyDescent="0.25">
      <c r="A1489" s="19">
        <v>41587</v>
      </c>
      <c r="B1489" s="20">
        <v>0.9868055555555556</v>
      </c>
      <c r="C1489" t="str">
        <f t="shared" si="161"/>
        <v>13</v>
      </c>
      <c r="D1489" t="str">
        <f t="shared" si="162"/>
        <v>11</v>
      </c>
      <c r="E1489" t="str">
        <f t="shared" si="163"/>
        <v>09</v>
      </c>
      <c r="F1489">
        <f t="shared" si="164"/>
        <v>2013</v>
      </c>
      <c r="G1489">
        <f t="shared" si="165"/>
        <v>11</v>
      </c>
      <c r="H1489">
        <f t="shared" si="166"/>
        <v>9</v>
      </c>
      <c r="I1489" t="str">
        <f t="shared" si="167"/>
        <v>13</v>
      </c>
    </row>
    <row r="1490" spans="1:9" x14ac:dyDescent="0.25">
      <c r="A1490" s="19">
        <v>41199</v>
      </c>
      <c r="B1490" s="20">
        <v>0.10347222222222222</v>
      </c>
      <c r="C1490" t="str">
        <f t="shared" si="161"/>
        <v>12</v>
      </c>
      <c r="D1490" t="str">
        <f t="shared" si="162"/>
        <v>10</v>
      </c>
      <c r="E1490" t="str">
        <f t="shared" si="163"/>
        <v>17</v>
      </c>
      <c r="F1490">
        <f t="shared" si="164"/>
        <v>2012</v>
      </c>
      <c r="G1490">
        <f t="shared" si="165"/>
        <v>10</v>
      </c>
      <c r="H1490">
        <f t="shared" si="166"/>
        <v>17</v>
      </c>
      <c r="I1490" t="str">
        <f t="shared" si="167"/>
        <v>12</v>
      </c>
    </row>
    <row r="1491" spans="1:9" x14ac:dyDescent="0.25">
      <c r="A1491" s="19">
        <v>42584</v>
      </c>
      <c r="B1491" s="20">
        <v>0.99791666666666667</v>
      </c>
      <c r="C1491" t="str">
        <f t="shared" si="161"/>
        <v>16</v>
      </c>
      <c r="D1491" t="str">
        <f t="shared" si="162"/>
        <v>08</v>
      </c>
      <c r="E1491" t="str">
        <f t="shared" si="163"/>
        <v>02</v>
      </c>
      <c r="F1491">
        <f t="shared" si="164"/>
        <v>2016</v>
      </c>
      <c r="G1491">
        <f t="shared" si="165"/>
        <v>8</v>
      </c>
      <c r="H1491">
        <f t="shared" si="166"/>
        <v>2</v>
      </c>
      <c r="I1491" t="str">
        <f t="shared" si="167"/>
        <v>16</v>
      </c>
    </row>
    <row r="1492" spans="1:9" x14ac:dyDescent="0.25">
      <c r="A1492" s="19">
        <v>42016</v>
      </c>
      <c r="B1492" s="20">
        <v>0.95486111111111116</v>
      </c>
      <c r="C1492" t="str">
        <f t="shared" si="161"/>
        <v>15</v>
      </c>
      <c r="D1492" t="str">
        <f t="shared" si="162"/>
        <v>01</v>
      </c>
      <c r="E1492" t="str">
        <f t="shared" si="163"/>
        <v>12</v>
      </c>
      <c r="F1492">
        <f t="shared" si="164"/>
        <v>2015</v>
      </c>
      <c r="G1492">
        <f t="shared" si="165"/>
        <v>1</v>
      </c>
      <c r="H1492">
        <f t="shared" si="166"/>
        <v>12</v>
      </c>
      <c r="I1492" t="str">
        <f t="shared" si="167"/>
        <v>15</v>
      </c>
    </row>
    <row r="1493" spans="1:9" x14ac:dyDescent="0.25">
      <c r="A1493" s="19">
        <v>42498</v>
      </c>
      <c r="B1493" s="20">
        <v>0.99722222222222223</v>
      </c>
      <c r="C1493" t="str">
        <f t="shared" si="161"/>
        <v>16</v>
      </c>
      <c r="D1493" t="str">
        <f t="shared" si="162"/>
        <v>05</v>
      </c>
      <c r="E1493" t="str">
        <f t="shared" si="163"/>
        <v>08</v>
      </c>
      <c r="F1493">
        <f t="shared" si="164"/>
        <v>2016</v>
      </c>
      <c r="G1493">
        <f t="shared" si="165"/>
        <v>5</v>
      </c>
      <c r="H1493">
        <f t="shared" si="166"/>
        <v>8</v>
      </c>
      <c r="I1493" t="str">
        <f t="shared" si="167"/>
        <v>16</v>
      </c>
    </row>
    <row r="1494" spans="1:9" x14ac:dyDescent="0.25">
      <c r="A1494" s="19">
        <v>41863</v>
      </c>
      <c r="B1494" s="20">
        <v>3.1944444444444442E-2</v>
      </c>
      <c r="C1494" t="str">
        <f t="shared" si="161"/>
        <v>14</v>
      </c>
      <c r="D1494" t="str">
        <f t="shared" si="162"/>
        <v>08</v>
      </c>
      <c r="E1494" t="str">
        <f t="shared" si="163"/>
        <v>12</v>
      </c>
      <c r="F1494">
        <f t="shared" si="164"/>
        <v>2014</v>
      </c>
      <c r="G1494">
        <f t="shared" si="165"/>
        <v>8</v>
      </c>
      <c r="H1494">
        <f t="shared" si="166"/>
        <v>12</v>
      </c>
      <c r="I1494" t="str">
        <f t="shared" si="167"/>
        <v>14</v>
      </c>
    </row>
    <row r="1495" spans="1:9" x14ac:dyDescent="0.25">
      <c r="A1495" s="19">
        <v>42450</v>
      </c>
      <c r="B1495" s="20">
        <v>0.98333333333333328</v>
      </c>
      <c r="C1495" t="str">
        <f t="shared" si="161"/>
        <v>16</v>
      </c>
      <c r="D1495" t="str">
        <f t="shared" si="162"/>
        <v>03</v>
      </c>
      <c r="E1495" t="str">
        <f t="shared" si="163"/>
        <v>21</v>
      </c>
      <c r="F1495">
        <f t="shared" si="164"/>
        <v>2016</v>
      </c>
      <c r="G1495">
        <f t="shared" si="165"/>
        <v>3</v>
      </c>
      <c r="H1495">
        <f t="shared" si="166"/>
        <v>21</v>
      </c>
      <c r="I1495" t="str">
        <f t="shared" si="167"/>
        <v>16</v>
      </c>
    </row>
    <row r="1496" spans="1:9" x14ac:dyDescent="0.25">
      <c r="A1496" s="19">
        <v>42732</v>
      </c>
      <c r="B1496" s="20">
        <v>0.99930555555555556</v>
      </c>
      <c r="C1496" t="str">
        <f t="shared" si="161"/>
        <v>16</v>
      </c>
      <c r="D1496" t="str">
        <f t="shared" si="162"/>
        <v>12</v>
      </c>
      <c r="E1496" t="str">
        <f t="shared" si="163"/>
        <v>28</v>
      </c>
      <c r="F1496">
        <f t="shared" si="164"/>
        <v>2016</v>
      </c>
      <c r="G1496">
        <f t="shared" si="165"/>
        <v>12</v>
      </c>
      <c r="H1496">
        <f t="shared" si="166"/>
        <v>28</v>
      </c>
      <c r="I1496" t="str">
        <f t="shared" si="167"/>
        <v>16</v>
      </c>
    </row>
    <row r="1497" spans="1:9" x14ac:dyDescent="0.25">
      <c r="A1497" s="19">
        <v>42524</v>
      </c>
      <c r="B1497" s="20">
        <v>2.013888888888889E-2</v>
      </c>
      <c r="C1497" t="str">
        <f t="shared" si="161"/>
        <v>16</v>
      </c>
      <c r="D1497" t="str">
        <f t="shared" si="162"/>
        <v>06</v>
      </c>
      <c r="E1497" t="str">
        <f t="shared" si="163"/>
        <v>03</v>
      </c>
      <c r="F1497">
        <f t="shared" si="164"/>
        <v>2016</v>
      </c>
      <c r="G1497">
        <f t="shared" si="165"/>
        <v>6</v>
      </c>
      <c r="H1497">
        <f t="shared" si="166"/>
        <v>3</v>
      </c>
      <c r="I1497" t="str">
        <f t="shared" si="167"/>
        <v>16</v>
      </c>
    </row>
    <row r="1498" spans="1:9" x14ac:dyDescent="0.25">
      <c r="A1498" s="19">
        <v>41758</v>
      </c>
      <c r="B1498" s="20">
        <v>4.1666666666666664E-2</v>
      </c>
      <c r="C1498" t="str">
        <f t="shared" si="161"/>
        <v>14</v>
      </c>
      <c r="D1498" t="str">
        <f t="shared" si="162"/>
        <v>04</v>
      </c>
      <c r="E1498" t="str">
        <f t="shared" si="163"/>
        <v>29</v>
      </c>
      <c r="F1498">
        <f t="shared" si="164"/>
        <v>2014</v>
      </c>
      <c r="G1498">
        <f t="shared" si="165"/>
        <v>4</v>
      </c>
      <c r="H1498">
        <f t="shared" si="166"/>
        <v>29</v>
      </c>
      <c r="I1498" t="str">
        <f t="shared" si="167"/>
        <v>14</v>
      </c>
    </row>
    <row r="1499" spans="1:9" x14ac:dyDescent="0.25">
      <c r="A1499" s="19">
        <v>41728</v>
      </c>
      <c r="B1499" s="20">
        <v>1.6666666666666666E-2</v>
      </c>
      <c r="C1499" t="str">
        <f t="shared" si="161"/>
        <v>14</v>
      </c>
      <c r="D1499" t="str">
        <f t="shared" si="162"/>
        <v>03</v>
      </c>
      <c r="E1499" t="str">
        <f t="shared" si="163"/>
        <v>30</v>
      </c>
      <c r="F1499">
        <f t="shared" si="164"/>
        <v>2014</v>
      </c>
      <c r="G1499">
        <f t="shared" si="165"/>
        <v>3</v>
      </c>
      <c r="H1499">
        <f t="shared" si="166"/>
        <v>30</v>
      </c>
      <c r="I1499" t="str">
        <f t="shared" si="167"/>
        <v>14</v>
      </c>
    </row>
    <row r="1500" spans="1:9" x14ac:dyDescent="0.25">
      <c r="A1500" s="19">
        <v>41421</v>
      </c>
      <c r="B1500" s="20">
        <v>3.4722222222222224E-2</v>
      </c>
      <c r="C1500" t="str">
        <f t="shared" si="161"/>
        <v>13</v>
      </c>
      <c r="D1500" t="str">
        <f t="shared" si="162"/>
        <v>05</v>
      </c>
      <c r="E1500" t="str">
        <f t="shared" si="163"/>
        <v>27</v>
      </c>
      <c r="F1500">
        <f t="shared" si="164"/>
        <v>2013</v>
      </c>
      <c r="G1500">
        <f t="shared" si="165"/>
        <v>5</v>
      </c>
      <c r="H1500">
        <f t="shared" si="166"/>
        <v>27</v>
      </c>
      <c r="I1500" t="str">
        <f t="shared" si="167"/>
        <v>13</v>
      </c>
    </row>
    <row r="1501" spans="1:9" x14ac:dyDescent="0.25">
      <c r="A1501" s="19">
        <v>41296</v>
      </c>
      <c r="B1501" s="20">
        <v>0.97152777777777777</v>
      </c>
      <c r="C1501" t="str">
        <f t="shared" si="161"/>
        <v>13</v>
      </c>
      <c r="D1501" t="str">
        <f t="shared" si="162"/>
        <v>01</v>
      </c>
      <c r="E1501" t="str">
        <f t="shared" si="163"/>
        <v>22</v>
      </c>
      <c r="F1501">
        <f t="shared" si="164"/>
        <v>2013</v>
      </c>
      <c r="G1501">
        <f t="shared" si="165"/>
        <v>1</v>
      </c>
      <c r="H1501">
        <f t="shared" si="166"/>
        <v>22</v>
      </c>
      <c r="I1501" t="str">
        <f t="shared" si="167"/>
        <v>13</v>
      </c>
    </row>
    <row r="1502" spans="1:9" x14ac:dyDescent="0.25">
      <c r="A1502" s="19">
        <v>42132</v>
      </c>
      <c r="B1502" s="20">
        <v>2.5000000000000001E-2</v>
      </c>
      <c r="C1502" t="str">
        <f t="shared" si="161"/>
        <v>15</v>
      </c>
      <c r="D1502" t="str">
        <f t="shared" si="162"/>
        <v>05</v>
      </c>
      <c r="E1502" t="str">
        <f t="shared" si="163"/>
        <v>08</v>
      </c>
      <c r="F1502">
        <f t="shared" si="164"/>
        <v>2015</v>
      </c>
      <c r="G1502">
        <f t="shared" si="165"/>
        <v>5</v>
      </c>
      <c r="H1502">
        <f t="shared" si="166"/>
        <v>8</v>
      </c>
      <c r="I1502" t="str">
        <f t="shared" si="167"/>
        <v>15</v>
      </c>
    </row>
    <row r="1503" spans="1:9" x14ac:dyDescent="0.25">
      <c r="A1503" s="19">
        <v>41126</v>
      </c>
      <c r="B1503" s="20">
        <v>6.1805555555555558E-2</v>
      </c>
      <c r="C1503" t="str">
        <f t="shared" si="161"/>
        <v>12</v>
      </c>
      <c r="D1503" t="str">
        <f t="shared" si="162"/>
        <v>08</v>
      </c>
      <c r="E1503" t="str">
        <f t="shared" si="163"/>
        <v>05</v>
      </c>
      <c r="F1503">
        <f t="shared" si="164"/>
        <v>2012</v>
      </c>
      <c r="G1503">
        <f t="shared" si="165"/>
        <v>8</v>
      </c>
      <c r="H1503">
        <f t="shared" si="166"/>
        <v>5</v>
      </c>
      <c r="I1503" t="str">
        <f t="shared" si="167"/>
        <v>12</v>
      </c>
    </row>
    <row r="1504" spans="1:9" x14ac:dyDescent="0.25">
      <c r="A1504" s="19">
        <v>41046</v>
      </c>
      <c r="B1504" s="20">
        <v>3.888888888888889E-2</v>
      </c>
      <c r="C1504" t="str">
        <f t="shared" si="161"/>
        <v>12</v>
      </c>
      <c r="D1504" t="str">
        <f t="shared" si="162"/>
        <v>05</v>
      </c>
      <c r="E1504" t="str">
        <f t="shared" si="163"/>
        <v>17</v>
      </c>
      <c r="F1504">
        <f t="shared" si="164"/>
        <v>2012</v>
      </c>
      <c r="G1504">
        <f t="shared" si="165"/>
        <v>5</v>
      </c>
      <c r="H1504">
        <f t="shared" si="166"/>
        <v>17</v>
      </c>
      <c r="I1504" t="str">
        <f t="shared" si="167"/>
        <v>12</v>
      </c>
    </row>
    <row r="1505" spans="1:9" x14ac:dyDescent="0.25">
      <c r="A1505" s="19">
        <v>41615</v>
      </c>
      <c r="B1505" s="20">
        <v>0.9916666666666667</v>
      </c>
      <c r="C1505" t="str">
        <f t="shared" si="161"/>
        <v>13</v>
      </c>
      <c r="D1505" t="str">
        <f t="shared" si="162"/>
        <v>12</v>
      </c>
      <c r="E1505" t="str">
        <f t="shared" si="163"/>
        <v>07</v>
      </c>
      <c r="F1505">
        <f t="shared" si="164"/>
        <v>2013</v>
      </c>
      <c r="G1505">
        <f t="shared" si="165"/>
        <v>12</v>
      </c>
      <c r="H1505">
        <f t="shared" si="166"/>
        <v>7</v>
      </c>
      <c r="I1505" t="str">
        <f t="shared" si="167"/>
        <v>13</v>
      </c>
    </row>
    <row r="1506" spans="1:9" x14ac:dyDescent="0.25">
      <c r="A1506" s="19">
        <v>41486</v>
      </c>
      <c r="B1506" s="20">
        <v>1.5972222222222221E-2</v>
      </c>
      <c r="C1506" t="str">
        <f t="shared" si="161"/>
        <v>13</v>
      </c>
      <c r="D1506" t="str">
        <f t="shared" si="162"/>
        <v>07</v>
      </c>
      <c r="E1506" t="str">
        <f t="shared" si="163"/>
        <v>31</v>
      </c>
      <c r="F1506">
        <f t="shared" si="164"/>
        <v>2013</v>
      </c>
      <c r="G1506">
        <f t="shared" si="165"/>
        <v>7</v>
      </c>
      <c r="H1506">
        <f t="shared" si="166"/>
        <v>31</v>
      </c>
      <c r="I1506" t="str">
        <f t="shared" si="167"/>
        <v>13</v>
      </c>
    </row>
    <row r="1507" spans="1:9" x14ac:dyDescent="0.25">
      <c r="A1507" s="19">
        <v>41873</v>
      </c>
      <c r="B1507" s="20">
        <v>4.1666666666666664E-2</v>
      </c>
      <c r="C1507" t="str">
        <f t="shared" si="161"/>
        <v>14</v>
      </c>
      <c r="D1507" t="str">
        <f t="shared" si="162"/>
        <v>08</v>
      </c>
      <c r="E1507" t="str">
        <f t="shared" si="163"/>
        <v>22</v>
      </c>
      <c r="F1507">
        <f t="shared" si="164"/>
        <v>2014</v>
      </c>
      <c r="G1507">
        <f t="shared" si="165"/>
        <v>8</v>
      </c>
      <c r="H1507">
        <f t="shared" si="166"/>
        <v>22</v>
      </c>
      <c r="I1507" t="str">
        <f t="shared" si="167"/>
        <v>14</v>
      </c>
    </row>
    <row r="1508" spans="1:9" x14ac:dyDescent="0.25">
      <c r="A1508" s="19">
        <v>42241</v>
      </c>
      <c r="B1508" s="20">
        <v>0.96111111111111114</v>
      </c>
      <c r="C1508" t="str">
        <f t="shared" si="161"/>
        <v>15</v>
      </c>
      <c r="D1508" t="str">
        <f t="shared" si="162"/>
        <v>08</v>
      </c>
      <c r="E1508" t="str">
        <f t="shared" si="163"/>
        <v>25</v>
      </c>
      <c r="F1508">
        <f t="shared" si="164"/>
        <v>2015</v>
      </c>
      <c r="G1508">
        <f t="shared" si="165"/>
        <v>8</v>
      </c>
      <c r="H1508">
        <f t="shared" si="166"/>
        <v>25</v>
      </c>
      <c r="I1508" t="str">
        <f t="shared" si="167"/>
        <v>15</v>
      </c>
    </row>
    <row r="1509" spans="1:9" x14ac:dyDescent="0.25">
      <c r="A1509" s="19">
        <v>42514</v>
      </c>
      <c r="B1509" s="20">
        <v>0.98055555555555551</v>
      </c>
      <c r="C1509" t="str">
        <f t="shared" si="161"/>
        <v>16</v>
      </c>
      <c r="D1509" t="str">
        <f t="shared" si="162"/>
        <v>05</v>
      </c>
      <c r="E1509" t="str">
        <f t="shared" si="163"/>
        <v>24</v>
      </c>
      <c r="F1509">
        <f t="shared" si="164"/>
        <v>2016</v>
      </c>
      <c r="G1509">
        <f t="shared" si="165"/>
        <v>5</v>
      </c>
      <c r="H1509">
        <f t="shared" si="166"/>
        <v>24</v>
      </c>
      <c r="I1509" t="str">
        <f t="shared" si="167"/>
        <v>16</v>
      </c>
    </row>
    <row r="1510" spans="1:9" x14ac:dyDescent="0.25">
      <c r="A1510" s="19">
        <v>42454</v>
      </c>
      <c r="B1510" s="20">
        <v>0.94930555555555551</v>
      </c>
      <c r="C1510" t="str">
        <f t="shared" si="161"/>
        <v>16</v>
      </c>
      <c r="D1510" t="str">
        <f t="shared" si="162"/>
        <v>03</v>
      </c>
      <c r="E1510" t="str">
        <f t="shared" si="163"/>
        <v>25</v>
      </c>
      <c r="F1510">
        <f t="shared" si="164"/>
        <v>2016</v>
      </c>
      <c r="G1510">
        <f t="shared" si="165"/>
        <v>3</v>
      </c>
      <c r="H1510">
        <f t="shared" si="166"/>
        <v>25</v>
      </c>
      <c r="I1510" t="str">
        <f t="shared" si="167"/>
        <v>16</v>
      </c>
    </row>
    <row r="1511" spans="1:9" x14ac:dyDescent="0.25">
      <c r="A1511" s="19">
        <v>41775</v>
      </c>
      <c r="B1511" s="20">
        <v>0.05</v>
      </c>
      <c r="C1511" t="str">
        <f t="shared" si="161"/>
        <v>14</v>
      </c>
      <c r="D1511" t="str">
        <f t="shared" si="162"/>
        <v>05</v>
      </c>
      <c r="E1511" t="str">
        <f t="shared" si="163"/>
        <v>16</v>
      </c>
      <c r="F1511">
        <f t="shared" si="164"/>
        <v>2014</v>
      </c>
      <c r="G1511">
        <f t="shared" si="165"/>
        <v>5</v>
      </c>
      <c r="H1511">
        <f t="shared" si="166"/>
        <v>16</v>
      </c>
      <c r="I1511" t="str">
        <f t="shared" si="167"/>
        <v>14</v>
      </c>
    </row>
    <row r="1512" spans="1:9" x14ac:dyDescent="0.25">
      <c r="A1512" s="19">
        <v>41616</v>
      </c>
      <c r="B1512" s="20">
        <v>3.125E-2</v>
      </c>
      <c r="C1512" t="str">
        <f t="shared" si="161"/>
        <v>13</v>
      </c>
      <c r="D1512" t="str">
        <f t="shared" si="162"/>
        <v>12</v>
      </c>
      <c r="E1512" t="str">
        <f t="shared" si="163"/>
        <v>08</v>
      </c>
      <c r="F1512">
        <f t="shared" si="164"/>
        <v>2013</v>
      </c>
      <c r="G1512">
        <f t="shared" si="165"/>
        <v>12</v>
      </c>
      <c r="H1512">
        <f t="shared" si="166"/>
        <v>8</v>
      </c>
      <c r="I1512" t="str">
        <f t="shared" si="167"/>
        <v>13</v>
      </c>
    </row>
    <row r="1513" spans="1:9" x14ac:dyDescent="0.25">
      <c r="A1513" s="19">
        <v>41426</v>
      </c>
      <c r="B1513" s="20">
        <v>0.9604166666666667</v>
      </c>
      <c r="C1513" t="str">
        <f t="shared" si="161"/>
        <v>13</v>
      </c>
      <c r="D1513" t="str">
        <f t="shared" si="162"/>
        <v>06</v>
      </c>
      <c r="E1513" t="str">
        <f t="shared" si="163"/>
        <v>01</v>
      </c>
      <c r="F1513">
        <f t="shared" si="164"/>
        <v>2013</v>
      </c>
      <c r="G1513">
        <f t="shared" si="165"/>
        <v>6</v>
      </c>
      <c r="H1513">
        <f t="shared" si="166"/>
        <v>1</v>
      </c>
      <c r="I1513" t="str">
        <f t="shared" si="167"/>
        <v>13</v>
      </c>
    </row>
    <row r="1514" spans="1:9" x14ac:dyDescent="0.25">
      <c r="A1514" s="19">
        <v>42465</v>
      </c>
      <c r="B1514" s="20">
        <v>9.8611111111111108E-2</v>
      </c>
      <c r="C1514" t="str">
        <f t="shared" si="161"/>
        <v>16</v>
      </c>
      <c r="D1514" t="str">
        <f t="shared" si="162"/>
        <v>04</v>
      </c>
      <c r="E1514" t="str">
        <f t="shared" si="163"/>
        <v>05</v>
      </c>
      <c r="F1514">
        <f t="shared" si="164"/>
        <v>2016</v>
      </c>
      <c r="G1514">
        <f t="shared" si="165"/>
        <v>4</v>
      </c>
      <c r="H1514">
        <f t="shared" si="166"/>
        <v>5</v>
      </c>
      <c r="I1514" t="str">
        <f t="shared" si="167"/>
        <v>16</v>
      </c>
    </row>
    <row r="1515" spans="1:9" x14ac:dyDescent="0.25">
      <c r="A1515" s="19">
        <v>41347</v>
      </c>
      <c r="B1515" s="20">
        <v>0.98402777777777772</v>
      </c>
      <c r="C1515" t="str">
        <f t="shared" si="161"/>
        <v>13</v>
      </c>
      <c r="D1515" t="str">
        <f t="shared" si="162"/>
        <v>03</v>
      </c>
      <c r="E1515" t="str">
        <f t="shared" si="163"/>
        <v>14</v>
      </c>
      <c r="F1515">
        <f t="shared" si="164"/>
        <v>2013</v>
      </c>
      <c r="G1515">
        <f t="shared" si="165"/>
        <v>3</v>
      </c>
      <c r="H1515">
        <f t="shared" si="166"/>
        <v>14</v>
      </c>
      <c r="I1515" t="str">
        <f t="shared" si="167"/>
        <v>13</v>
      </c>
    </row>
    <row r="1516" spans="1:9" x14ac:dyDescent="0.25">
      <c r="A1516" s="19">
        <v>42119</v>
      </c>
      <c r="B1516" s="20">
        <v>0.98888888888888893</v>
      </c>
      <c r="C1516" t="str">
        <f t="shared" si="161"/>
        <v>15</v>
      </c>
      <c r="D1516" t="str">
        <f t="shared" si="162"/>
        <v>04</v>
      </c>
      <c r="E1516" t="str">
        <f t="shared" si="163"/>
        <v>25</v>
      </c>
      <c r="F1516">
        <f t="shared" si="164"/>
        <v>2015</v>
      </c>
      <c r="G1516">
        <f t="shared" si="165"/>
        <v>4</v>
      </c>
      <c r="H1516">
        <f t="shared" si="166"/>
        <v>25</v>
      </c>
      <c r="I1516" t="str">
        <f t="shared" si="167"/>
        <v>15</v>
      </c>
    </row>
    <row r="1517" spans="1:9" x14ac:dyDescent="0.25">
      <c r="A1517" s="19">
        <v>41913</v>
      </c>
      <c r="B1517" s="20">
        <v>4.3749999999999997E-2</v>
      </c>
      <c r="C1517" t="str">
        <f t="shared" si="161"/>
        <v>14</v>
      </c>
      <c r="D1517" t="str">
        <f t="shared" si="162"/>
        <v>10</v>
      </c>
      <c r="E1517" t="str">
        <f t="shared" si="163"/>
        <v>01</v>
      </c>
      <c r="F1517">
        <f t="shared" si="164"/>
        <v>2014</v>
      </c>
      <c r="G1517">
        <f t="shared" si="165"/>
        <v>10</v>
      </c>
      <c r="H1517">
        <f t="shared" si="166"/>
        <v>1</v>
      </c>
      <c r="I1517" t="str">
        <f t="shared" si="167"/>
        <v>14</v>
      </c>
    </row>
    <row r="1518" spans="1:9" x14ac:dyDescent="0.25">
      <c r="A1518" s="19">
        <v>42159</v>
      </c>
      <c r="B1518" s="20">
        <v>5.6250000000000001E-2</v>
      </c>
      <c r="C1518" t="str">
        <f t="shared" si="161"/>
        <v>15</v>
      </c>
      <c r="D1518" t="str">
        <f t="shared" si="162"/>
        <v>06</v>
      </c>
      <c r="E1518" t="str">
        <f t="shared" si="163"/>
        <v>04</v>
      </c>
      <c r="F1518">
        <f t="shared" si="164"/>
        <v>2015</v>
      </c>
      <c r="G1518">
        <f t="shared" si="165"/>
        <v>6</v>
      </c>
      <c r="H1518">
        <f t="shared" si="166"/>
        <v>4</v>
      </c>
      <c r="I1518" t="str">
        <f t="shared" si="167"/>
        <v>15</v>
      </c>
    </row>
    <row r="1519" spans="1:9" x14ac:dyDescent="0.25">
      <c r="A1519" s="19">
        <v>41127</v>
      </c>
      <c r="B1519" s="20">
        <v>8.3333333333333329E-2</v>
      </c>
      <c r="C1519" t="str">
        <f t="shared" si="161"/>
        <v>12</v>
      </c>
      <c r="D1519" t="str">
        <f t="shared" si="162"/>
        <v>08</v>
      </c>
      <c r="E1519" t="str">
        <f t="shared" si="163"/>
        <v>06</v>
      </c>
      <c r="F1519">
        <f t="shared" si="164"/>
        <v>2012</v>
      </c>
      <c r="G1519">
        <f t="shared" si="165"/>
        <v>8</v>
      </c>
      <c r="H1519">
        <f t="shared" si="166"/>
        <v>6</v>
      </c>
      <c r="I1519" t="str">
        <f t="shared" si="167"/>
        <v>12</v>
      </c>
    </row>
    <row r="1520" spans="1:9" x14ac:dyDescent="0.25">
      <c r="A1520" s="19">
        <v>41727</v>
      </c>
      <c r="B1520" s="20">
        <v>0.97152777777777777</v>
      </c>
      <c r="C1520" t="str">
        <f t="shared" si="161"/>
        <v>14</v>
      </c>
      <c r="D1520" t="str">
        <f t="shared" si="162"/>
        <v>03</v>
      </c>
      <c r="E1520" t="str">
        <f t="shared" si="163"/>
        <v>29</v>
      </c>
      <c r="F1520">
        <f t="shared" si="164"/>
        <v>2014</v>
      </c>
      <c r="G1520">
        <f t="shared" si="165"/>
        <v>3</v>
      </c>
      <c r="H1520">
        <f t="shared" si="166"/>
        <v>29</v>
      </c>
      <c r="I1520" t="str">
        <f t="shared" si="167"/>
        <v>14</v>
      </c>
    </row>
    <row r="1521" spans="1:9" x14ac:dyDescent="0.25">
      <c r="A1521" s="19">
        <v>42203</v>
      </c>
      <c r="B1521" s="20">
        <v>0.95208333333333328</v>
      </c>
      <c r="C1521" t="str">
        <f t="shared" si="161"/>
        <v>15</v>
      </c>
      <c r="D1521" t="str">
        <f t="shared" si="162"/>
        <v>07</v>
      </c>
      <c r="E1521" t="str">
        <f t="shared" si="163"/>
        <v>18</v>
      </c>
      <c r="F1521">
        <f t="shared" si="164"/>
        <v>2015</v>
      </c>
      <c r="G1521">
        <f t="shared" si="165"/>
        <v>7</v>
      </c>
      <c r="H1521">
        <f t="shared" si="166"/>
        <v>18</v>
      </c>
      <c r="I1521" t="str">
        <f t="shared" si="167"/>
        <v>15</v>
      </c>
    </row>
    <row r="1522" spans="1:9" x14ac:dyDescent="0.25">
      <c r="A1522" s="19">
        <v>41985</v>
      </c>
      <c r="B1522" s="20">
        <v>0.92500000000000004</v>
      </c>
      <c r="C1522" t="str">
        <f t="shared" si="161"/>
        <v>14</v>
      </c>
      <c r="D1522" t="str">
        <f t="shared" si="162"/>
        <v>12</v>
      </c>
      <c r="E1522" t="str">
        <f t="shared" si="163"/>
        <v>12</v>
      </c>
      <c r="F1522">
        <f t="shared" si="164"/>
        <v>2014</v>
      </c>
      <c r="G1522">
        <f t="shared" si="165"/>
        <v>12</v>
      </c>
      <c r="H1522">
        <f t="shared" si="166"/>
        <v>12</v>
      </c>
      <c r="I1522" t="str">
        <f t="shared" si="167"/>
        <v>14</v>
      </c>
    </row>
    <row r="1523" spans="1:9" x14ac:dyDescent="0.25">
      <c r="A1523" s="19">
        <v>41892</v>
      </c>
      <c r="B1523" s="20">
        <v>0.9819444444444444</v>
      </c>
      <c r="C1523" t="str">
        <f t="shared" si="161"/>
        <v>14</v>
      </c>
      <c r="D1523" t="str">
        <f t="shared" si="162"/>
        <v>09</v>
      </c>
      <c r="E1523" t="str">
        <f t="shared" si="163"/>
        <v>10</v>
      </c>
      <c r="F1523">
        <f t="shared" si="164"/>
        <v>2014</v>
      </c>
      <c r="G1523">
        <f t="shared" si="165"/>
        <v>9</v>
      </c>
      <c r="H1523">
        <f t="shared" si="166"/>
        <v>10</v>
      </c>
      <c r="I1523" t="str">
        <f t="shared" si="167"/>
        <v>14</v>
      </c>
    </row>
    <row r="1524" spans="1:9" x14ac:dyDescent="0.25">
      <c r="A1524" s="19">
        <v>42443</v>
      </c>
      <c r="B1524" s="20">
        <v>2.6388888888888889E-2</v>
      </c>
      <c r="C1524" t="str">
        <f t="shared" si="161"/>
        <v>16</v>
      </c>
      <c r="D1524" t="str">
        <f t="shared" si="162"/>
        <v>03</v>
      </c>
      <c r="E1524" t="str">
        <f t="shared" si="163"/>
        <v>14</v>
      </c>
      <c r="F1524">
        <f t="shared" si="164"/>
        <v>2016</v>
      </c>
      <c r="G1524">
        <f t="shared" si="165"/>
        <v>3</v>
      </c>
      <c r="H1524">
        <f t="shared" si="166"/>
        <v>14</v>
      </c>
      <c r="I1524" t="str">
        <f t="shared" si="167"/>
        <v>16</v>
      </c>
    </row>
    <row r="1525" spans="1:9" x14ac:dyDescent="0.25">
      <c r="A1525" s="19">
        <v>41081</v>
      </c>
      <c r="B1525" s="20">
        <v>5.2777777777777778E-2</v>
      </c>
      <c r="C1525" t="str">
        <f t="shared" si="161"/>
        <v>12</v>
      </c>
      <c r="D1525" t="str">
        <f t="shared" si="162"/>
        <v>06</v>
      </c>
      <c r="E1525" t="str">
        <f t="shared" si="163"/>
        <v>21</v>
      </c>
      <c r="F1525">
        <f t="shared" si="164"/>
        <v>2012</v>
      </c>
      <c r="G1525">
        <f t="shared" si="165"/>
        <v>6</v>
      </c>
      <c r="H1525">
        <f t="shared" si="166"/>
        <v>21</v>
      </c>
      <c r="I1525" t="str">
        <f t="shared" si="167"/>
        <v>12</v>
      </c>
    </row>
    <row r="1526" spans="1:9" x14ac:dyDescent="0.25">
      <c r="A1526" s="19">
        <v>42757</v>
      </c>
      <c r="B1526" s="20">
        <v>1.6666666666666666E-2</v>
      </c>
      <c r="C1526" t="str">
        <f t="shared" si="161"/>
        <v>17</v>
      </c>
      <c r="D1526" t="str">
        <f t="shared" si="162"/>
        <v>01</v>
      </c>
      <c r="E1526" t="str">
        <f t="shared" si="163"/>
        <v>22</v>
      </c>
      <c r="F1526">
        <f t="shared" si="164"/>
        <v>2017</v>
      </c>
      <c r="G1526">
        <f t="shared" si="165"/>
        <v>1</v>
      </c>
      <c r="H1526">
        <f t="shared" si="166"/>
        <v>22</v>
      </c>
      <c r="I1526" t="str">
        <f t="shared" si="167"/>
        <v>17</v>
      </c>
    </row>
    <row r="1527" spans="1:9" x14ac:dyDescent="0.25">
      <c r="A1527" s="19">
        <v>42202</v>
      </c>
      <c r="B1527" s="20">
        <v>3.0555555555555555E-2</v>
      </c>
      <c r="C1527" t="str">
        <f t="shared" si="161"/>
        <v>15</v>
      </c>
      <c r="D1527" t="str">
        <f t="shared" si="162"/>
        <v>07</v>
      </c>
      <c r="E1527" t="str">
        <f t="shared" si="163"/>
        <v>17</v>
      </c>
      <c r="F1527">
        <f t="shared" si="164"/>
        <v>2015</v>
      </c>
      <c r="G1527">
        <f t="shared" si="165"/>
        <v>7</v>
      </c>
      <c r="H1527">
        <f t="shared" si="166"/>
        <v>17</v>
      </c>
      <c r="I1527" t="str">
        <f t="shared" si="167"/>
        <v>15</v>
      </c>
    </row>
    <row r="1528" spans="1:9" x14ac:dyDescent="0.25">
      <c r="A1528" s="19">
        <v>42331</v>
      </c>
      <c r="B1528" s="20">
        <v>0.98541666666666672</v>
      </c>
      <c r="C1528" t="str">
        <f t="shared" si="161"/>
        <v>15</v>
      </c>
      <c r="D1528" t="str">
        <f t="shared" si="162"/>
        <v>11</v>
      </c>
      <c r="E1528" t="str">
        <f t="shared" si="163"/>
        <v>23</v>
      </c>
      <c r="F1528">
        <f t="shared" si="164"/>
        <v>2015</v>
      </c>
      <c r="G1528">
        <f t="shared" si="165"/>
        <v>11</v>
      </c>
      <c r="H1528">
        <f t="shared" si="166"/>
        <v>23</v>
      </c>
      <c r="I1528" t="str">
        <f t="shared" si="167"/>
        <v>15</v>
      </c>
    </row>
    <row r="1529" spans="1:9" x14ac:dyDescent="0.25">
      <c r="A1529" s="19">
        <v>41958</v>
      </c>
      <c r="B1529" s="20">
        <v>1.7361111111111112E-2</v>
      </c>
      <c r="C1529" t="str">
        <f t="shared" si="161"/>
        <v>14</v>
      </c>
      <c r="D1529" t="str">
        <f t="shared" si="162"/>
        <v>11</v>
      </c>
      <c r="E1529" t="str">
        <f t="shared" si="163"/>
        <v>15</v>
      </c>
      <c r="F1529">
        <f t="shared" si="164"/>
        <v>2014</v>
      </c>
      <c r="G1529">
        <f t="shared" si="165"/>
        <v>11</v>
      </c>
      <c r="H1529">
        <f t="shared" si="166"/>
        <v>15</v>
      </c>
      <c r="I1529" t="str">
        <f t="shared" si="167"/>
        <v>14</v>
      </c>
    </row>
    <row r="1530" spans="1:9" x14ac:dyDescent="0.25">
      <c r="A1530" s="19">
        <v>41435</v>
      </c>
      <c r="B1530" s="20">
        <v>4.3055555555555555E-2</v>
      </c>
      <c r="C1530" t="str">
        <f t="shared" si="161"/>
        <v>13</v>
      </c>
      <c r="D1530" t="str">
        <f t="shared" si="162"/>
        <v>06</v>
      </c>
      <c r="E1530" t="str">
        <f t="shared" si="163"/>
        <v>10</v>
      </c>
      <c r="F1530">
        <f t="shared" si="164"/>
        <v>2013</v>
      </c>
      <c r="G1530">
        <f t="shared" si="165"/>
        <v>6</v>
      </c>
      <c r="H1530">
        <f t="shared" si="166"/>
        <v>10</v>
      </c>
      <c r="I1530" t="str">
        <f t="shared" si="167"/>
        <v>13</v>
      </c>
    </row>
    <row r="1531" spans="1:9" x14ac:dyDescent="0.25">
      <c r="A1531" s="19">
        <v>41260</v>
      </c>
      <c r="B1531" s="20">
        <v>0.99513888888888891</v>
      </c>
      <c r="C1531" t="str">
        <f t="shared" si="161"/>
        <v>12</v>
      </c>
      <c r="D1531" t="str">
        <f t="shared" si="162"/>
        <v>12</v>
      </c>
      <c r="E1531" t="str">
        <f t="shared" si="163"/>
        <v>17</v>
      </c>
      <c r="F1531">
        <f t="shared" si="164"/>
        <v>2012</v>
      </c>
      <c r="G1531">
        <f t="shared" si="165"/>
        <v>12</v>
      </c>
      <c r="H1531">
        <f t="shared" si="166"/>
        <v>17</v>
      </c>
      <c r="I1531" t="str">
        <f t="shared" si="167"/>
        <v>12</v>
      </c>
    </row>
    <row r="1532" spans="1:9" x14ac:dyDescent="0.25">
      <c r="A1532" s="19">
        <v>42105</v>
      </c>
      <c r="B1532" s="20">
        <v>5.6944444444444443E-2</v>
      </c>
      <c r="C1532" t="str">
        <f t="shared" si="161"/>
        <v>15</v>
      </c>
      <c r="D1532" t="str">
        <f t="shared" si="162"/>
        <v>04</v>
      </c>
      <c r="E1532" t="str">
        <f t="shared" si="163"/>
        <v>11</v>
      </c>
      <c r="F1532">
        <f t="shared" si="164"/>
        <v>2015</v>
      </c>
      <c r="G1532">
        <f t="shared" si="165"/>
        <v>4</v>
      </c>
      <c r="H1532">
        <f t="shared" si="166"/>
        <v>11</v>
      </c>
      <c r="I1532" t="str">
        <f t="shared" si="167"/>
        <v>15</v>
      </c>
    </row>
    <row r="1533" spans="1:9" x14ac:dyDescent="0.25">
      <c r="A1533" s="19">
        <v>42003</v>
      </c>
      <c r="B1533" s="20">
        <v>0.96805555555555556</v>
      </c>
      <c r="C1533" t="str">
        <f t="shared" si="161"/>
        <v>14</v>
      </c>
      <c r="D1533" t="str">
        <f t="shared" si="162"/>
        <v>12</v>
      </c>
      <c r="E1533" t="str">
        <f t="shared" si="163"/>
        <v>30</v>
      </c>
      <c r="F1533">
        <f t="shared" si="164"/>
        <v>2014</v>
      </c>
      <c r="G1533">
        <f t="shared" si="165"/>
        <v>12</v>
      </c>
      <c r="H1533">
        <f t="shared" si="166"/>
        <v>30</v>
      </c>
      <c r="I1533" t="str">
        <f t="shared" si="167"/>
        <v>14</v>
      </c>
    </row>
    <row r="1534" spans="1:9" x14ac:dyDescent="0.25">
      <c r="A1534" s="19">
        <v>41907</v>
      </c>
      <c r="B1534" s="20">
        <v>0.94652777777777775</v>
      </c>
      <c r="C1534" t="str">
        <f t="shared" si="161"/>
        <v>14</v>
      </c>
      <c r="D1534" t="str">
        <f t="shared" si="162"/>
        <v>09</v>
      </c>
      <c r="E1534" t="str">
        <f t="shared" si="163"/>
        <v>25</v>
      </c>
      <c r="F1534">
        <f t="shared" si="164"/>
        <v>2014</v>
      </c>
      <c r="G1534">
        <f t="shared" si="165"/>
        <v>9</v>
      </c>
      <c r="H1534">
        <f t="shared" si="166"/>
        <v>25</v>
      </c>
      <c r="I1534" t="str">
        <f t="shared" si="167"/>
        <v>14</v>
      </c>
    </row>
    <row r="1535" spans="1:9" x14ac:dyDescent="0.25">
      <c r="A1535" s="19">
        <v>41951</v>
      </c>
      <c r="B1535" s="20">
        <v>0.99513888888888891</v>
      </c>
      <c r="C1535" t="str">
        <f t="shared" si="161"/>
        <v>14</v>
      </c>
      <c r="D1535" t="str">
        <f t="shared" si="162"/>
        <v>11</v>
      </c>
      <c r="E1535" t="str">
        <f t="shared" si="163"/>
        <v>08</v>
      </c>
      <c r="F1535">
        <f t="shared" si="164"/>
        <v>2014</v>
      </c>
      <c r="G1535">
        <f t="shared" si="165"/>
        <v>11</v>
      </c>
      <c r="H1535">
        <f t="shared" si="166"/>
        <v>8</v>
      </c>
      <c r="I1535" t="str">
        <f t="shared" si="167"/>
        <v>14</v>
      </c>
    </row>
    <row r="1536" spans="1:9" x14ac:dyDescent="0.25">
      <c r="A1536" s="19">
        <v>42048</v>
      </c>
      <c r="B1536" s="20">
        <v>5.7638888888888892E-2</v>
      </c>
      <c r="C1536" t="str">
        <f t="shared" si="161"/>
        <v>15</v>
      </c>
      <c r="D1536" t="str">
        <f t="shared" si="162"/>
        <v>02</v>
      </c>
      <c r="E1536" t="str">
        <f t="shared" si="163"/>
        <v>13</v>
      </c>
      <c r="F1536">
        <f t="shared" si="164"/>
        <v>2015</v>
      </c>
      <c r="G1536">
        <f t="shared" si="165"/>
        <v>2</v>
      </c>
      <c r="H1536">
        <f t="shared" si="166"/>
        <v>13</v>
      </c>
      <c r="I1536" t="str">
        <f t="shared" si="167"/>
        <v>15</v>
      </c>
    </row>
    <row r="1537" spans="1:9" x14ac:dyDescent="0.25">
      <c r="A1537" s="19">
        <v>42683</v>
      </c>
      <c r="B1537" s="20">
        <v>0.97222222222222221</v>
      </c>
      <c r="C1537" t="str">
        <f t="shared" si="161"/>
        <v>16</v>
      </c>
      <c r="D1537" t="str">
        <f t="shared" si="162"/>
        <v>11</v>
      </c>
      <c r="E1537" t="str">
        <f t="shared" si="163"/>
        <v>09</v>
      </c>
      <c r="F1537">
        <f t="shared" si="164"/>
        <v>2016</v>
      </c>
      <c r="G1537">
        <f t="shared" si="165"/>
        <v>11</v>
      </c>
      <c r="H1537">
        <f t="shared" si="166"/>
        <v>9</v>
      </c>
      <c r="I1537" t="str">
        <f t="shared" si="167"/>
        <v>16</v>
      </c>
    </row>
    <row r="1538" spans="1:9" x14ac:dyDescent="0.25">
      <c r="A1538" s="19">
        <v>41615</v>
      </c>
      <c r="B1538" s="20">
        <v>2.2916666666666665E-2</v>
      </c>
      <c r="C1538" t="str">
        <f t="shared" si="161"/>
        <v>13</v>
      </c>
      <c r="D1538" t="str">
        <f t="shared" si="162"/>
        <v>12</v>
      </c>
      <c r="E1538" t="str">
        <f t="shared" si="163"/>
        <v>07</v>
      </c>
      <c r="F1538">
        <f t="shared" si="164"/>
        <v>2013</v>
      </c>
      <c r="G1538">
        <f t="shared" si="165"/>
        <v>12</v>
      </c>
      <c r="H1538">
        <f t="shared" si="166"/>
        <v>7</v>
      </c>
      <c r="I1538" t="str">
        <f t="shared" si="167"/>
        <v>13</v>
      </c>
    </row>
    <row r="1539" spans="1:9" x14ac:dyDescent="0.25">
      <c r="A1539" s="19">
        <v>42436</v>
      </c>
      <c r="B1539" s="20">
        <v>0.97499999999999998</v>
      </c>
      <c r="C1539" t="str">
        <f t="shared" ref="C1539:C1602" si="168">TEXT(A1539,"YY")</f>
        <v>16</v>
      </c>
      <c r="D1539" t="str">
        <f t="shared" ref="D1539:D1602" si="169">TEXT(A1539,"mm")</f>
        <v>03</v>
      </c>
      <c r="E1539" t="str">
        <f t="shared" ref="E1539:E1602" si="170">TEXT(A1539,"dd")</f>
        <v>07</v>
      </c>
      <c r="F1539">
        <f t="shared" ref="F1539:F1602" si="171">YEAR($A1539)</f>
        <v>2016</v>
      </c>
      <c r="G1539">
        <f t="shared" ref="G1539:G1602" si="172">MONTH($A1539)</f>
        <v>3</v>
      </c>
      <c r="H1539">
        <f t="shared" ref="H1539:H1602" si="173">DAY($A1539)</f>
        <v>7</v>
      </c>
      <c r="I1539" t="str">
        <f t="shared" ref="I1539:I1602" si="174">TEXT($A1539,"YY")</f>
        <v>16</v>
      </c>
    </row>
    <row r="1540" spans="1:9" x14ac:dyDescent="0.25">
      <c r="A1540" s="19">
        <v>41794</v>
      </c>
      <c r="B1540" s="20">
        <v>0.98958333333333337</v>
      </c>
      <c r="C1540" t="str">
        <f t="shared" si="168"/>
        <v>14</v>
      </c>
      <c r="D1540" t="str">
        <f t="shared" si="169"/>
        <v>06</v>
      </c>
      <c r="E1540" t="str">
        <f t="shared" si="170"/>
        <v>04</v>
      </c>
      <c r="F1540">
        <f t="shared" si="171"/>
        <v>2014</v>
      </c>
      <c r="G1540">
        <f t="shared" si="172"/>
        <v>6</v>
      </c>
      <c r="H1540">
        <f t="shared" si="173"/>
        <v>4</v>
      </c>
      <c r="I1540" t="str">
        <f t="shared" si="174"/>
        <v>14</v>
      </c>
    </row>
    <row r="1541" spans="1:9" x14ac:dyDescent="0.25">
      <c r="A1541" s="19">
        <v>41980</v>
      </c>
      <c r="B1541" s="20">
        <v>8.1944444444444445E-2</v>
      </c>
      <c r="C1541" t="str">
        <f t="shared" si="168"/>
        <v>14</v>
      </c>
      <c r="D1541" t="str">
        <f t="shared" si="169"/>
        <v>12</v>
      </c>
      <c r="E1541" t="str">
        <f t="shared" si="170"/>
        <v>07</v>
      </c>
      <c r="F1541">
        <f t="shared" si="171"/>
        <v>2014</v>
      </c>
      <c r="G1541">
        <f t="shared" si="172"/>
        <v>12</v>
      </c>
      <c r="H1541">
        <f t="shared" si="173"/>
        <v>7</v>
      </c>
      <c r="I1541" t="str">
        <f t="shared" si="174"/>
        <v>14</v>
      </c>
    </row>
    <row r="1542" spans="1:9" x14ac:dyDescent="0.25">
      <c r="A1542" s="19">
        <v>42190</v>
      </c>
      <c r="B1542" s="20">
        <v>2.013888888888889E-2</v>
      </c>
      <c r="C1542" t="str">
        <f t="shared" si="168"/>
        <v>15</v>
      </c>
      <c r="D1542" t="str">
        <f t="shared" si="169"/>
        <v>07</v>
      </c>
      <c r="E1542" t="str">
        <f t="shared" si="170"/>
        <v>05</v>
      </c>
      <c r="F1542">
        <f t="shared" si="171"/>
        <v>2015</v>
      </c>
      <c r="G1542">
        <f t="shared" si="172"/>
        <v>7</v>
      </c>
      <c r="H1542">
        <f t="shared" si="173"/>
        <v>5</v>
      </c>
      <c r="I1542" t="str">
        <f t="shared" si="174"/>
        <v>15</v>
      </c>
    </row>
    <row r="1543" spans="1:9" x14ac:dyDescent="0.25">
      <c r="A1543" s="19">
        <v>42244</v>
      </c>
      <c r="B1543" s="20">
        <v>1.7361111111111112E-2</v>
      </c>
      <c r="C1543" t="str">
        <f t="shared" si="168"/>
        <v>15</v>
      </c>
      <c r="D1543" t="str">
        <f t="shared" si="169"/>
        <v>08</v>
      </c>
      <c r="E1543" t="str">
        <f t="shared" si="170"/>
        <v>28</v>
      </c>
      <c r="F1543">
        <f t="shared" si="171"/>
        <v>2015</v>
      </c>
      <c r="G1543">
        <f t="shared" si="172"/>
        <v>8</v>
      </c>
      <c r="H1543">
        <f t="shared" si="173"/>
        <v>28</v>
      </c>
      <c r="I1543" t="str">
        <f t="shared" si="174"/>
        <v>15</v>
      </c>
    </row>
    <row r="1544" spans="1:9" x14ac:dyDescent="0.25">
      <c r="A1544" s="19">
        <v>41677</v>
      </c>
      <c r="B1544" s="20">
        <v>3.3333333333333333E-2</v>
      </c>
      <c r="C1544" t="str">
        <f t="shared" si="168"/>
        <v>14</v>
      </c>
      <c r="D1544" t="str">
        <f t="shared" si="169"/>
        <v>02</v>
      </c>
      <c r="E1544" t="str">
        <f t="shared" si="170"/>
        <v>07</v>
      </c>
      <c r="F1544">
        <f t="shared" si="171"/>
        <v>2014</v>
      </c>
      <c r="G1544">
        <f t="shared" si="172"/>
        <v>2</v>
      </c>
      <c r="H1544">
        <f t="shared" si="173"/>
        <v>7</v>
      </c>
      <c r="I1544" t="str">
        <f t="shared" si="174"/>
        <v>14</v>
      </c>
    </row>
    <row r="1545" spans="1:9" x14ac:dyDescent="0.25">
      <c r="A1545" s="19">
        <v>41398</v>
      </c>
      <c r="B1545" s="20">
        <v>7.7777777777777779E-2</v>
      </c>
      <c r="C1545" t="str">
        <f t="shared" si="168"/>
        <v>13</v>
      </c>
      <c r="D1545" t="str">
        <f t="shared" si="169"/>
        <v>05</v>
      </c>
      <c r="E1545" t="str">
        <f t="shared" si="170"/>
        <v>04</v>
      </c>
      <c r="F1545">
        <f t="shared" si="171"/>
        <v>2013</v>
      </c>
      <c r="G1545">
        <f t="shared" si="172"/>
        <v>5</v>
      </c>
      <c r="H1545">
        <f t="shared" si="173"/>
        <v>4</v>
      </c>
      <c r="I1545" t="str">
        <f t="shared" si="174"/>
        <v>13</v>
      </c>
    </row>
    <row r="1546" spans="1:9" x14ac:dyDescent="0.25">
      <c r="A1546" s="19">
        <v>42200</v>
      </c>
      <c r="B1546" s="20">
        <v>1.1805555555555555E-2</v>
      </c>
      <c r="C1546" t="str">
        <f t="shared" si="168"/>
        <v>15</v>
      </c>
      <c r="D1546" t="str">
        <f t="shared" si="169"/>
        <v>07</v>
      </c>
      <c r="E1546" t="str">
        <f t="shared" si="170"/>
        <v>15</v>
      </c>
      <c r="F1546">
        <f t="shared" si="171"/>
        <v>2015</v>
      </c>
      <c r="G1546">
        <f t="shared" si="172"/>
        <v>7</v>
      </c>
      <c r="H1546">
        <f t="shared" si="173"/>
        <v>15</v>
      </c>
      <c r="I1546" t="str">
        <f t="shared" si="174"/>
        <v>15</v>
      </c>
    </row>
    <row r="1547" spans="1:9" x14ac:dyDescent="0.25">
      <c r="A1547" s="19">
        <v>41377</v>
      </c>
      <c r="B1547" s="20">
        <v>7.4305555555555555E-2</v>
      </c>
      <c r="C1547" t="str">
        <f t="shared" si="168"/>
        <v>13</v>
      </c>
      <c r="D1547" t="str">
        <f t="shared" si="169"/>
        <v>04</v>
      </c>
      <c r="E1547" t="str">
        <f t="shared" si="170"/>
        <v>13</v>
      </c>
      <c r="F1547">
        <f t="shared" si="171"/>
        <v>2013</v>
      </c>
      <c r="G1547">
        <f t="shared" si="172"/>
        <v>4</v>
      </c>
      <c r="H1547">
        <f t="shared" si="173"/>
        <v>13</v>
      </c>
      <c r="I1547" t="str">
        <f t="shared" si="174"/>
        <v>13</v>
      </c>
    </row>
    <row r="1548" spans="1:9" x14ac:dyDescent="0.25">
      <c r="A1548" s="19">
        <v>42023</v>
      </c>
      <c r="B1548" s="20">
        <v>1.8055555555555554E-2</v>
      </c>
      <c r="C1548" t="str">
        <f t="shared" si="168"/>
        <v>15</v>
      </c>
      <c r="D1548" t="str">
        <f t="shared" si="169"/>
        <v>01</v>
      </c>
      <c r="E1548" t="str">
        <f t="shared" si="170"/>
        <v>19</v>
      </c>
      <c r="F1548">
        <f t="shared" si="171"/>
        <v>2015</v>
      </c>
      <c r="G1548">
        <f t="shared" si="172"/>
        <v>1</v>
      </c>
      <c r="H1548">
        <f t="shared" si="173"/>
        <v>19</v>
      </c>
      <c r="I1548" t="str">
        <f t="shared" si="174"/>
        <v>15</v>
      </c>
    </row>
    <row r="1549" spans="1:9" x14ac:dyDescent="0.25">
      <c r="A1549" s="19">
        <v>41305</v>
      </c>
      <c r="B1549" s="20">
        <v>4.027777777777778E-2</v>
      </c>
      <c r="C1549" t="str">
        <f t="shared" si="168"/>
        <v>13</v>
      </c>
      <c r="D1549" t="str">
        <f t="shared" si="169"/>
        <v>01</v>
      </c>
      <c r="E1549" t="str">
        <f t="shared" si="170"/>
        <v>31</v>
      </c>
      <c r="F1549">
        <f t="shared" si="171"/>
        <v>2013</v>
      </c>
      <c r="G1549">
        <f t="shared" si="172"/>
        <v>1</v>
      </c>
      <c r="H1549">
        <f t="shared" si="173"/>
        <v>31</v>
      </c>
      <c r="I1549" t="str">
        <f t="shared" si="174"/>
        <v>13</v>
      </c>
    </row>
    <row r="1550" spans="1:9" x14ac:dyDescent="0.25">
      <c r="A1550" s="19">
        <v>41795</v>
      </c>
      <c r="B1550" s="20">
        <v>4.4444444444444446E-2</v>
      </c>
      <c r="C1550" t="str">
        <f t="shared" si="168"/>
        <v>14</v>
      </c>
      <c r="D1550" t="str">
        <f t="shared" si="169"/>
        <v>06</v>
      </c>
      <c r="E1550" t="str">
        <f t="shared" si="170"/>
        <v>05</v>
      </c>
      <c r="F1550">
        <f t="shared" si="171"/>
        <v>2014</v>
      </c>
      <c r="G1550">
        <f t="shared" si="172"/>
        <v>6</v>
      </c>
      <c r="H1550">
        <f t="shared" si="173"/>
        <v>5</v>
      </c>
      <c r="I1550" t="str">
        <f t="shared" si="174"/>
        <v>14</v>
      </c>
    </row>
    <row r="1551" spans="1:9" x14ac:dyDescent="0.25">
      <c r="A1551" s="19">
        <v>42216</v>
      </c>
      <c r="B1551" s="20">
        <v>0.98055555555555551</v>
      </c>
      <c r="C1551" t="str">
        <f t="shared" si="168"/>
        <v>15</v>
      </c>
      <c r="D1551" t="str">
        <f t="shared" si="169"/>
        <v>07</v>
      </c>
      <c r="E1551" t="str">
        <f t="shared" si="170"/>
        <v>31</v>
      </c>
      <c r="F1551">
        <f t="shared" si="171"/>
        <v>2015</v>
      </c>
      <c r="G1551">
        <f t="shared" si="172"/>
        <v>7</v>
      </c>
      <c r="H1551">
        <f t="shared" si="173"/>
        <v>31</v>
      </c>
      <c r="I1551" t="str">
        <f t="shared" si="174"/>
        <v>15</v>
      </c>
    </row>
    <row r="1552" spans="1:9" x14ac:dyDescent="0.25">
      <c r="A1552" s="19">
        <v>42592</v>
      </c>
      <c r="B1552" s="20">
        <v>0.9604166666666667</v>
      </c>
      <c r="C1552" t="str">
        <f t="shared" si="168"/>
        <v>16</v>
      </c>
      <c r="D1552" t="str">
        <f t="shared" si="169"/>
        <v>08</v>
      </c>
      <c r="E1552" t="str">
        <f t="shared" si="170"/>
        <v>10</v>
      </c>
      <c r="F1552">
        <f t="shared" si="171"/>
        <v>2016</v>
      </c>
      <c r="G1552">
        <f t="shared" si="172"/>
        <v>8</v>
      </c>
      <c r="H1552">
        <f t="shared" si="173"/>
        <v>10</v>
      </c>
      <c r="I1552" t="str">
        <f t="shared" si="174"/>
        <v>16</v>
      </c>
    </row>
    <row r="1553" spans="1:9" x14ac:dyDescent="0.25">
      <c r="A1553" s="19">
        <v>41965</v>
      </c>
      <c r="B1553" s="20">
        <v>0.97013888888888888</v>
      </c>
      <c r="C1553" t="str">
        <f t="shared" si="168"/>
        <v>14</v>
      </c>
      <c r="D1553" t="str">
        <f t="shared" si="169"/>
        <v>11</v>
      </c>
      <c r="E1553" t="str">
        <f t="shared" si="170"/>
        <v>22</v>
      </c>
      <c r="F1553">
        <f t="shared" si="171"/>
        <v>2014</v>
      </c>
      <c r="G1553">
        <f t="shared" si="172"/>
        <v>11</v>
      </c>
      <c r="H1553">
        <f t="shared" si="173"/>
        <v>22</v>
      </c>
      <c r="I1553" t="str">
        <f t="shared" si="174"/>
        <v>14</v>
      </c>
    </row>
    <row r="1554" spans="1:9" x14ac:dyDescent="0.25">
      <c r="A1554" s="19">
        <v>41007</v>
      </c>
      <c r="B1554" s="20">
        <v>0.99722222222222223</v>
      </c>
      <c r="C1554" t="str">
        <f t="shared" si="168"/>
        <v>12</v>
      </c>
      <c r="D1554" t="str">
        <f t="shared" si="169"/>
        <v>04</v>
      </c>
      <c r="E1554" t="str">
        <f t="shared" si="170"/>
        <v>08</v>
      </c>
      <c r="F1554">
        <f t="shared" si="171"/>
        <v>2012</v>
      </c>
      <c r="G1554">
        <f t="shared" si="172"/>
        <v>4</v>
      </c>
      <c r="H1554">
        <f t="shared" si="173"/>
        <v>8</v>
      </c>
      <c r="I1554" t="str">
        <f t="shared" si="174"/>
        <v>12</v>
      </c>
    </row>
    <row r="1555" spans="1:9" x14ac:dyDescent="0.25">
      <c r="A1555" s="19">
        <v>41954</v>
      </c>
      <c r="B1555" s="20">
        <v>3.4722222222222224E-2</v>
      </c>
      <c r="C1555" t="str">
        <f t="shared" si="168"/>
        <v>14</v>
      </c>
      <c r="D1555" t="str">
        <f t="shared" si="169"/>
        <v>11</v>
      </c>
      <c r="E1555" t="str">
        <f t="shared" si="170"/>
        <v>11</v>
      </c>
      <c r="F1555">
        <f t="shared" si="171"/>
        <v>2014</v>
      </c>
      <c r="G1555">
        <f t="shared" si="172"/>
        <v>11</v>
      </c>
      <c r="H1555">
        <f t="shared" si="173"/>
        <v>11</v>
      </c>
      <c r="I1555" t="str">
        <f t="shared" si="174"/>
        <v>14</v>
      </c>
    </row>
    <row r="1556" spans="1:9" x14ac:dyDescent="0.25">
      <c r="A1556" s="19">
        <v>41343</v>
      </c>
      <c r="B1556" s="20">
        <v>0.97638888888888886</v>
      </c>
      <c r="C1556" t="str">
        <f t="shared" si="168"/>
        <v>13</v>
      </c>
      <c r="D1556" t="str">
        <f t="shared" si="169"/>
        <v>03</v>
      </c>
      <c r="E1556" t="str">
        <f t="shared" si="170"/>
        <v>10</v>
      </c>
      <c r="F1556">
        <f t="shared" si="171"/>
        <v>2013</v>
      </c>
      <c r="G1556">
        <f t="shared" si="172"/>
        <v>3</v>
      </c>
      <c r="H1556">
        <f t="shared" si="173"/>
        <v>10</v>
      </c>
      <c r="I1556" t="str">
        <f t="shared" si="174"/>
        <v>13</v>
      </c>
    </row>
    <row r="1557" spans="1:9" x14ac:dyDescent="0.25">
      <c r="A1557" s="19">
        <v>41979</v>
      </c>
      <c r="B1557" s="20">
        <v>3.0555555555555555E-2</v>
      </c>
      <c r="C1557" t="str">
        <f t="shared" si="168"/>
        <v>14</v>
      </c>
      <c r="D1557" t="str">
        <f t="shared" si="169"/>
        <v>12</v>
      </c>
      <c r="E1557" t="str">
        <f t="shared" si="170"/>
        <v>06</v>
      </c>
      <c r="F1557">
        <f t="shared" si="171"/>
        <v>2014</v>
      </c>
      <c r="G1557">
        <f t="shared" si="172"/>
        <v>12</v>
      </c>
      <c r="H1557">
        <f t="shared" si="173"/>
        <v>6</v>
      </c>
      <c r="I1557" t="str">
        <f t="shared" si="174"/>
        <v>14</v>
      </c>
    </row>
    <row r="1558" spans="1:9" x14ac:dyDescent="0.25">
      <c r="A1558" s="19">
        <v>41331</v>
      </c>
      <c r="B1558" s="20">
        <v>7.0833333333333331E-2</v>
      </c>
      <c r="C1558" t="str">
        <f t="shared" si="168"/>
        <v>13</v>
      </c>
      <c r="D1558" t="str">
        <f t="shared" si="169"/>
        <v>02</v>
      </c>
      <c r="E1558" t="str">
        <f t="shared" si="170"/>
        <v>26</v>
      </c>
      <c r="F1558">
        <f t="shared" si="171"/>
        <v>2013</v>
      </c>
      <c r="G1558">
        <f t="shared" si="172"/>
        <v>2</v>
      </c>
      <c r="H1558">
        <f t="shared" si="173"/>
        <v>26</v>
      </c>
      <c r="I1558" t="str">
        <f t="shared" si="174"/>
        <v>13</v>
      </c>
    </row>
    <row r="1559" spans="1:9" x14ac:dyDescent="0.25">
      <c r="A1559" s="19">
        <v>41732</v>
      </c>
      <c r="B1559" s="20">
        <v>4.0972222222222222E-2</v>
      </c>
      <c r="C1559" t="str">
        <f t="shared" si="168"/>
        <v>14</v>
      </c>
      <c r="D1559" t="str">
        <f t="shared" si="169"/>
        <v>04</v>
      </c>
      <c r="E1559" t="str">
        <f t="shared" si="170"/>
        <v>03</v>
      </c>
      <c r="F1559">
        <f t="shared" si="171"/>
        <v>2014</v>
      </c>
      <c r="G1559">
        <f t="shared" si="172"/>
        <v>4</v>
      </c>
      <c r="H1559">
        <f t="shared" si="173"/>
        <v>3</v>
      </c>
      <c r="I1559" t="str">
        <f t="shared" si="174"/>
        <v>14</v>
      </c>
    </row>
    <row r="1560" spans="1:9" x14ac:dyDescent="0.25">
      <c r="A1560" s="19">
        <v>42024</v>
      </c>
      <c r="B1560" s="20">
        <v>0</v>
      </c>
      <c r="C1560" t="str">
        <f t="shared" si="168"/>
        <v>15</v>
      </c>
      <c r="D1560" t="str">
        <f t="shared" si="169"/>
        <v>01</v>
      </c>
      <c r="E1560" t="str">
        <f t="shared" si="170"/>
        <v>20</v>
      </c>
      <c r="F1560">
        <f t="shared" si="171"/>
        <v>2015</v>
      </c>
      <c r="G1560">
        <f t="shared" si="172"/>
        <v>1</v>
      </c>
      <c r="H1560">
        <f t="shared" si="173"/>
        <v>20</v>
      </c>
      <c r="I1560" t="str">
        <f t="shared" si="174"/>
        <v>15</v>
      </c>
    </row>
    <row r="1561" spans="1:9" x14ac:dyDescent="0.25">
      <c r="A1561" s="19">
        <v>41477</v>
      </c>
      <c r="B1561" s="20">
        <v>3.0555555555555555E-2</v>
      </c>
      <c r="C1561" t="str">
        <f t="shared" si="168"/>
        <v>13</v>
      </c>
      <c r="D1561" t="str">
        <f t="shared" si="169"/>
        <v>07</v>
      </c>
      <c r="E1561" t="str">
        <f t="shared" si="170"/>
        <v>22</v>
      </c>
      <c r="F1561">
        <f t="shared" si="171"/>
        <v>2013</v>
      </c>
      <c r="G1561">
        <f t="shared" si="172"/>
        <v>7</v>
      </c>
      <c r="H1561">
        <f t="shared" si="173"/>
        <v>22</v>
      </c>
      <c r="I1561" t="str">
        <f t="shared" si="174"/>
        <v>13</v>
      </c>
    </row>
    <row r="1562" spans="1:9" x14ac:dyDescent="0.25">
      <c r="A1562" s="19">
        <v>42127</v>
      </c>
      <c r="B1562" s="20">
        <v>5.7638888888888892E-2</v>
      </c>
      <c r="C1562" t="str">
        <f t="shared" si="168"/>
        <v>15</v>
      </c>
      <c r="D1562" t="str">
        <f t="shared" si="169"/>
        <v>05</v>
      </c>
      <c r="E1562" t="str">
        <f t="shared" si="170"/>
        <v>03</v>
      </c>
      <c r="F1562">
        <f t="shared" si="171"/>
        <v>2015</v>
      </c>
      <c r="G1562">
        <f t="shared" si="172"/>
        <v>5</v>
      </c>
      <c r="H1562">
        <f t="shared" si="173"/>
        <v>3</v>
      </c>
      <c r="I1562" t="str">
        <f t="shared" si="174"/>
        <v>15</v>
      </c>
    </row>
    <row r="1563" spans="1:9" x14ac:dyDescent="0.25">
      <c r="A1563" s="19">
        <v>41458</v>
      </c>
      <c r="B1563" s="20">
        <v>7.3611111111111113E-2</v>
      </c>
      <c r="C1563" t="str">
        <f t="shared" si="168"/>
        <v>13</v>
      </c>
      <c r="D1563" t="str">
        <f t="shared" si="169"/>
        <v>07</v>
      </c>
      <c r="E1563" t="str">
        <f t="shared" si="170"/>
        <v>03</v>
      </c>
      <c r="F1563">
        <f t="shared" si="171"/>
        <v>2013</v>
      </c>
      <c r="G1563">
        <f t="shared" si="172"/>
        <v>7</v>
      </c>
      <c r="H1563">
        <f t="shared" si="173"/>
        <v>3</v>
      </c>
      <c r="I1563" t="str">
        <f t="shared" si="174"/>
        <v>13</v>
      </c>
    </row>
    <row r="1564" spans="1:9" x14ac:dyDescent="0.25">
      <c r="A1564" s="19">
        <v>41946</v>
      </c>
      <c r="B1564" s="20">
        <v>0.94791666666666663</v>
      </c>
      <c r="C1564" t="str">
        <f t="shared" si="168"/>
        <v>14</v>
      </c>
      <c r="D1564" t="str">
        <f t="shared" si="169"/>
        <v>11</v>
      </c>
      <c r="E1564" t="str">
        <f t="shared" si="170"/>
        <v>03</v>
      </c>
      <c r="F1564">
        <f t="shared" si="171"/>
        <v>2014</v>
      </c>
      <c r="G1564">
        <f t="shared" si="172"/>
        <v>11</v>
      </c>
      <c r="H1564">
        <f t="shared" si="173"/>
        <v>3</v>
      </c>
      <c r="I1564" t="str">
        <f t="shared" si="174"/>
        <v>14</v>
      </c>
    </row>
    <row r="1565" spans="1:9" x14ac:dyDescent="0.25">
      <c r="A1565" s="19">
        <v>41408</v>
      </c>
      <c r="B1565" s="20">
        <v>0.96111111111111114</v>
      </c>
      <c r="C1565" t="str">
        <f t="shared" si="168"/>
        <v>13</v>
      </c>
      <c r="D1565" t="str">
        <f t="shared" si="169"/>
        <v>05</v>
      </c>
      <c r="E1565" t="str">
        <f t="shared" si="170"/>
        <v>14</v>
      </c>
      <c r="F1565">
        <f t="shared" si="171"/>
        <v>2013</v>
      </c>
      <c r="G1565">
        <f t="shared" si="172"/>
        <v>5</v>
      </c>
      <c r="H1565">
        <f t="shared" si="173"/>
        <v>14</v>
      </c>
      <c r="I1565" t="str">
        <f t="shared" si="174"/>
        <v>13</v>
      </c>
    </row>
    <row r="1566" spans="1:9" x14ac:dyDescent="0.25">
      <c r="A1566" s="19">
        <v>41297</v>
      </c>
      <c r="B1566" s="20">
        <v>1.5972222222222221E-2</v>
      </c>
      <c r="C1566" t="str">
        <f t="shared" si="168"/>
        <v>13</v>
      </c>
      <c r="D1566" t="str">
        <f t="shared" si="169"/>
        <v>01</v>
      </c>
      <c r="E1566" t="str">
        <f t="shared" si="170"/>
        <v>23</v>
      </c>
      <c r="F1566">
        <f t="shared" si="171"/>
        <v>2013</v>
      </c>
      <c r="G1566">
        <f t="shared" si="172"/>
        <v>1</v>
      </c>
      <c r="H1566">
        <f t="shared" si="173"/>
        <v>23</v>
      </c>
      <c r="I1566" t="str">
        <f t="shared" si="174"/>
        <v>13</v>
      </c>
    </row>
    <row r="1567" spans="1:9" x14ac:dyDescent="0.25">
      <c r="A1567" s="19">
        <v>41643</v>
      </c>
      <c r="B1567" s="20">
        <v>0.97013888888888888</v>
      </c>
      <c r="C1567" t="str">
        <f t="shared" si="168"/>
        <v>14</v>
      </c>
      <c r="D1567" t="str">
        <f t="shared" si="169"/>
        <v>01</v>
      </c>
      <c r="E1567" t="str">
        <f t="shared" si="170"/>
        <v>04</v>
      </c>
      <c r="F1567">
        <f t="shared" si="171"/>
        <v>2014</v>
      </c>
      <c r="G1567">
        <f t="shared" si="172"/>
        <v>1</v>
      </c>
      <c r="H1567">
        <f t="shared" si="173"/>
        <v>4</v>
      </c>
      <c r="I1567" t="str">
        <f t="shared" si="174"/>
        <v>14</v>
      </c>
    </row>
    <row r="1568" spans="1:9" x14ac:dyDescent="0.25">
      <c r="A1568" s="19">
        <v>41417</v>
      </c>
      <c r="B1568" s="20">
        <v>2.9861111111111113E-2</v>
      </c>
      <c r="C1568" t="str">
        <f t="shared" si="168"/>
        <v>13</v>
      </c>
      <c r="D1568" t="str">
        <f t="shared" si="169"/>
        <v>05</v>
      </c>
      <c r="E1568" t="str">
        <f t="shared" si="170"/>
        <v>23</v>
      </c>
      <c r="F1568">
        <f t="shared" si="171"/>
        <v>2013</v>
      </c>
      <c r="G1568">
        <f t="shared" si="172"/>
        <v>5</v>
      </c>
      <c r="H1568">
        <f t="shared" si="173"/>
        <v>23</v>
      </c>
      <c r="I1568" t="str">
        <f t="shared" si="174"/>
        <v>13</v>
      </c>
    </row>
    <row r="1569" spans="1:9" x14ac:dyDescent="0.25">
      <c r="A1569" s="19">
        <v>42039</v>
      </c>
      <c r="B1569" s="20">
        <v>0.98055555555555551</v>
      </c>
      <c r="C1569" t="str">
        <f t="shared" si="168"/>
        <v>15</v>
      </c>
      <c r="D1569" t="str">
        <f t="shared" si="169"/>
        <v>02</v>
      </c>
      <c r="E1569" t="str">
        <f t="shared" si="170"/>
        <v>04</v>
      </c>
      <c r="F1569">
        <f t="shared" si="171"/>
        <v>2015</v>
      </c>
      <c r="G1569">
        <f t="shared" si="172"/>
        <v>2</v>
      </c>
      <c r="H1569">
        <f t="shared" si="173"/>
        <v>4</v>
      </c>
      <c r="I1569" t="str">
        <f t="shared" si="174"/>
        <v>15</v>
      </c>
    </row>
    <row r="1570" spans="1:9" x14ac:dyDescent="0.25">
      <c r="A1570" s="19">
        <v>41859</v>
      </c>
      <c r="B1570" s="20">
        <v>0.95486111111111116</v>
      </c>
      <c r="C1570" t="str">
        <f t="shared" si="168"/>
        <v>14</v>
      </c>
      <c r="D1570" t="str">
        <f t="shared" si="169"/>
        <v>08</v>
      </c>
      <c r="E1570" t="str">
        <f t="shared" si="170"/>
        <v>08</v>
      </c>
      <c r="F1570">
        <f t="shared" si="171"/>
        <v>2014</v>
      </c>
      <c r="G1570">
        <f t="shared" si="172"/>
        <v>8</v>
      </c>
      <c r="H1570">
        <f t="shared" si="173"/>
        <v>8</v>
      </c>
      <c r="I1570" t="str">
        <f t="shared" si="174"/>
        <v>14</v>
      </c>
    </row>
    <row r="1571" spans="1:9" x14ac:dyDescent="0.25">
      <c r="A1571" s="19">
        <v>41819</v>
      </c>
      <c r="B1571" s="20">
        <v>0.9819444444444444</v>
      </c>
      <c r="C1571" t="str">
        <f t="shared" si="168"/>
        <v>14</v>
      </c>
      <c r="D1571" t="str">
        <f t="shared" si="169"/>
        <v>06</v>
      </c>
      <c r="E1571" t="str">
        <f t="shared" si="170"/>
        <v>29</v>
      </c>
      <c r="F1571">
        <f t="shared" si="171"/>
        <v>2014</v>
      </c>
      <c r="G1571">
        <f t="shared" si="172"/>
        <v>6</v>
      </c>
      <c r="H1571">
        <f t="shared" si="173"/>
        <v>29</v>
      </c>
      <c r="I1571" t="str">
        <f t="shared" si="174"/>
        <v>14</v>
      </c>
    </row>
    <row r="1572" spans="1:9" x14ac:dyDescent="0.25">
      <c r="A1572" s="19">
        <v>41023</v>
      </c>
      <c r="B1572" s="20">
        <v>0.05</v>
      </c>
      <c r="C1572" t="str">
        <f t="shared" si="168"/>
        <v>12</v>
      </c>
      <c r="D1572" t="str">
        <f t="shared" si="169"/>
        <v>04</v>
      </c>
      <c r="E1572" t="str">
        <f t="shared" si="170"/>
        <v>24</v>
      </c>
      <c r="F1572">
        <f t="shared" si="171"/>
        <v>2012</v>
      </c>
      <c r="G1572">
        <f t="shared" si="172"/>
        <v>4</v>
      </c>
      <c r="H1572">
        <f t="shared" si="173"/>
        <v>24</v>
      </c>
      <c r="I1572" t="str">
        <f t="shared" si="174"/>
        <v>12</v>
      </c>
    </row>
    <row r="1573" spans="1:9" x14ac:dyDescent="0.25">
      <c r="A1573" s="19">
        <v>42046</v>
      </c>
      <c r="B1573" s="20">
        <v>2.0833333333333333E-3</v>
      </c>
      <c r="C1573" t="str">
        <f t="shared" si="168"/>
        <v>15</v>
      </c>
      <c r="D1573" t="str">
        <f t="shared" si="169"/>
        <v>02</v>
      </c>
      <c r="E1573" t="str">
        <f t="shared" si="170"/>
        <v>11</v>
      </c>
      <c r="F1573">
        <f t="shared" si="171"/>
        <v>2015</v>
      </c>
      <c r="G1573">
        <f t="shared" si="172"/>
        <v>2</v>
      </c>
      <c r="H1573">
        <f t="shared" si="173"/>
        <v>11</v>
      </c>
      <c r="I1573" t="str">
        <f t="shared" si="174"/>
        <v>15</v>
      </c>
    </row>
    <row r="1574" spans="1:9" x14ac:dyDescent="0.25">
      <c r="A1574" s="19">
        <v>42061</v>
      </c>
      <c r="B1574" s="20">
        <v>6.9444444444444448E-2</v>
      </c>
      <c r="C1574" t="str">
        <f t="shared" si="168"/>
        <v>15</v>
      </c>
      <c r="D1574" t="str">
        <f t="shared" si="169"/>
        <v>02</v>
      </c>
      <c r="E1574" t="str">
        <f t="shared" si="170"/>
        <v>26</v>
      </c>
      <c r="F1574">
        <f t="shared" si="171"/>
        <v>2015</v>
      </c>
      <c r="G1574">
        <f t="shared" si="172"/>
        <v>2</v>
      </c>
      <c r="H1574">
        <f t="shared" si="173"/>
        <v>26</v>
      </c>
      <c r="I1574" t="str">
        <f t="shared" si="174"/>
        <v>15</v>
      </c>
    </row>
    <row r="1575" spans="1:9" x14ac:dyDescent="0.25">
      <c r="A1575" s="19">
        <v>41245</v>
      </c>
      <c r="B1575" s="20">
        <v>2.6388888888888889E-2</v>
      </c>
      <c r="C1575" t="str">
        <f t="shared" si="168"/>
        <v>12</v>
      </c>
      <c r="D1575" t="str">
        <f t="shared" si="169"/>
        <v>12</v>
      </c>
      <c r="E1575" t="str">
        <f t="shared" si="170"/>
        <v>02</v>
      </c>
      <c r="F1575">
        <f t="shared" si="171"/>
        <v>2012</v>
      </c>
      <c r="G1575">
        <f t="shared" si="172"/>
        <v>12</v>
      </c>
      <c r="H1575">
        <f t="shared" si="173"/>
        <v>2</v>
      </c>
      <c r="I1575" t="str">
        <f t="shared" si="174"/>
        <v>12</v>
      </c>
    </row>
    <row r="1576" spans="1:9" x14ac:dyDescent="0.25">
      <c r="A1576" s="19">
        <v>41007</v>
      </c>
      <c r="B1576" s="20">
        <v>2.013888888888889E-2</v>
      </c>
      <c r="C1576" t="str">
        <f t="shared" si="168"/>
        <v>12</v>
      </c>
      <c r="D1576" t="str">
        <f t="shared" si="169"/>
        <v>04</v>
      </c>
      <c r="E1576" t="str">
        <f t="shared" si="170"/>
        <v>08</v>
      </c>
      <c r="F1576">
        <f t="shared" si="171"/>
        <v>2012</v>
      </c>
      <c r="G1576">
        <f t="shared" si="172"/>
        <v>4</v>
      </c>
      <c r="H1576">
        <f t="shared" si="173"/>
        <v>8</v>
      </c>
      <c r="I1576" t="str">
        <f t="shared" si="174"/>
        <v>12</v>
      </c>
    </row>
    <row r="1577" spans="1:9" x14ac:dyDescent="0.25">
      <c r="A1577" s="19">
        <v>42358</v>
      </c>
      <c r="B1577" s="20">
        <v>0.95763888888888893</v>
      </c>
      <c r="C1577" t="str">
        <f t="shared" si="168"/>
        <v>15</v>
      </c>
      <c r="D1577" t="str">
        <f t="shared" si="169"/>
        <v>12</v>
      </c>
      <c r="E1577" t="str">
        <f t="shared" si="170"/>
        <v>20</v>
      </c>
      <c r="F1577">
        <f t="shared" si="171"/>
        <v>2015</v>
      </c>
      <c r="G1577">
        <f t="shared" si="172"/>
        <v>12</v>
      </c>
      <c r="H1577">
        <f t="shared" si="173"/>
        <v>20</v>
      </c>
      <c r="I1577" t="str">
        <f t="shared" si="174"/>
        <v>15</v>
      </c>
    </row>
    <row r="1578" spans="1:9" x14ac:dyDescent="0.25">
      <c r="A1578" s="19">
        <v>42182</v>
      </c>
      <c r="B1578" s="20">
        <v>0.96180555555555558</v>
      </c>
      <c r="C1578" t="str">
        <f t="shared" si="168"/>
        <v>15</v>
      </c>
      <c r="D1578" t="str">
        <f t="shared" si="169"/>
        <v>06</v>
      </c>
      <c r="E1578" t="str">
        <f t="shared" si="170"/>
        <v>27</v>
      </c>
      <c r="F1578">
        <f t="shared" si="171"/>
        <v>2015</v>
      </c>
      <c r="G1578">
        <f t="shared" si="172"/>
        <v>6</v>
      </c>
      <c r="H1578">
        <f t="shared" si="173"/>
        <v>27</v>
      </c>
      <c r="I1578" t="str">
        <f t="shared" si="174"/>
        <v>15</v>
      </c>
    </row>
    <row r="1579" spans="1:9" x14ac:dyDescent="0.25">
      <c r="A1579" s="19">
        <v>41894</v>
      </c>
      <c r="B1579" s="20">
        <v>0.95833333333333337</v>
      </c>
      <c r="C1579" t="str">
        <f t="shared" si="168"/>
        <v>14</v>
      </c>
      <c r="D1579" t="str">
        <f t="shared" si="169"/>
        <v>09</v>
      </c>
      <c r="E1579" t="str">
        <f t="shared" si="170"/>
        <v>12</v>
      </c>
      <c r="F1579">
        <f t="shared" si="171"/>
        <v>2014</v>
      </c>
      <c r="G1579">
        <f t="shared" si="172"/>
        <v>9</v>
      </c>
      <c r="H1579">
        <f t="shared" si="173"/>
        <v>12</v>
      </c>
      <c r="I1579" t="str">
        <f t="shared" si="174"/>
        <v>14</v>
      </c>
    </row>
    <row r="1580" spans="1:9" x14ac:dyDescent="0.25">
      <c r="A1580" s="19">
        <v>42119</v>
      </c>
      <c r="B1580" s="20">
        <v>6.3888888888888884E-2</v>
      </c>
      <c r="C1580" t="str">
        <f t="shared" si="168"/>
        <v>15</v>
      </c>
      <c r="D1580" t="str">
        <f t="shared" si="169"/>
        <v>04</v>
      </c>
      <c r="E1580" t="str">
        <f t="shared" si="170"/>
        <v>25</v>
      </c>
      <c r="F1580">
        <f t="shared" si="171"/>
        <v>2015</v>
      </c>
      <c r="G1580">
        <f t="shared" si="172"/>
        <v>4</v>
      </c>
      <c r="H1580">
        <f t="shared" si="173"/>
        <v>25</v>
      </c>
      <c r="I1580" t="str">
        <f t="shared" si="174"/>
        <v>15</v>
      </c>
    </row>
    <row r="1581" spans="1:9" x14ac:dyDescent="0.25">
      <c r="A1581" s="19">
        <v>42565</v>
      </c>
      <c r="B1581" s="20">
        <v>6.9444444444444447E-4</v>
      </c>
      <c r="C1581" t="str">
        <f t="shared" si="168"/>
        <v>16</v>
      </c>
      <c r="D1581" t="str">
        <f t="shared" si="169"/>
        <v>07</v>
      </c>
      <c r="E1581" t="str">
        <f t="shared" si="170"/>
        <v>14</v>
      </c>
      <c r="F1581">
        <f t="shared" si="171"/>
        <v>2016</v>
      </c>
      <c r="G1581">
        <f t="shared" si="172"/>
        <v>7</v>
      </c>
      <c r="H1581">
        <f t="shared" si="173"/>
        <v>14</v>
      </c>
      <c r="I1581" t="str">
        <f t="shared" si="174"/>
        <v>16</v>
      </c>
    </row>
    <row r="1582" spans="1:9" x14ac:dyDescent="0.25">
      <c r="A1582" s="19">
        <v>41038</v>
      </c>
      <c r="B1582" s="20">
        <v>5.0694444444444445E-2</v>
      </c>
      <c r="C1582" t="str">
        <f t="shared" si="168"/>
        <v>12</v>
      </c>
      <c r="D1582" t="str">
        <f t="shared" si="169"/>
        <v>05</v>
      </c>
      <c r="E1582" t="str">
        <f t="shared" si="170"/>
        <v>09</v>
      </c>
      <c r="F1582">
        <f t="shared" si="171"/>
        <v>2012</v>
      </c>
      <c r="G1582">
        <f t="shared" si="172"/>
        <v>5</v>
      </c>
      <c r="H1582">
        <f t="shared" si="173"/>
        <v>9</v>
      </c>
      <c r="I1582" t="str">
        <f t="shared" si="174"/>
        <v>12</v>
      </c>
    </row>
    <row r="1583" spans="1:9" x14ac:dyDescent="0.25">
      <c r="A1583" s="19">
        <v>42492</v>
      </c>
      <c r="B1583" s="20">
        <v>0.99791666666666667</v>
      </c>
      <c r="C1583" t="str">
        <f t="shared" si="168"/>
        <v>16</v>
      </c>
      <c r="D1583" t="str">
        <f t="shared" si="169"/>
        <v>05</v>
      </c>
      <c r="E1583" t="str">
        <f t="shared" si="170"/>
        <v>02</v>
      </c>
      <c r="F1583">
        <f t="shared" si="171"/>
        <v>2016</v>
      </c>
      <c r="G1583">
        <f t="shared" si="172"/>
        <v>5</v>
      </c>
      <c r="H1583">
        <f t="shared" si="173"/>
        <v>2</v>
      </c>
      <c r="I1583" t="str">
        <f t="shared" si="174"/>
        <v>16</v>
      </c>
    </row>
    <row r="1584" spans="1:9" x14ac:dyDescent="0.25">
      <c r="A1584" s="19">
        <v>42642</v>
      </c>
      <c r="B1584" s="20">
        <v>1.8055555555555554E-2</v>
      </c>
      <c r="C1584" t="str">
        <f t="shared" si="168"/>
        <v>16</v>
      </c>
      <c r="D1584" t="str">
        <f t="shared" si="169"/>
        <v>09</v>
      </c>
      <c r="E1584" t="str">
        <f t="shared" si="170"/>
        <v>29</v>
      </c>
      <c r="F1584">
        <f t="shared" si="171"/>
        <v>2016</v>
      </c>
      <c r="G1584">
        <f t="shared" si="172"/>
        <v>9</v>
      </c>
      <c r="H1584">
        <f t="shared" si="173"/>
        <v>29</v>
      </c>
      <c r="I1584" t="str">
        <f t="shared" si="174"/>
        <v>16</v>
      </c>
    </row>
    <row r="1585" spans="1:9" x14ac:dyDescent="0.25">
      <c r="A1585" s="19">
        <v>41501</v>
      </c>
      <c r="B1585" s="20">
        <v>6.9444444444444441E-3</v>
      </c>
      <c r="C1585" t="str">
        <f t="shared" si="168"/>
        <v>13</v>
      </c>
      <c r="D1585" t="str">
        <f t="shared" si="169"/>
        <v>08</v>
      </c>
      <c r="E1585" t="str">
        <f t="shared" si="170"/>
        <v>15</v>
      </c>
      <c r="F1585">
        <f t="shared" si="171"/>
        <v>2013</v>
      </c>
      <c r="G1585">
        <f t="shared" si="172"/>
        <v>8</v>
      </c>
      <c r="H1585">
        <f t="shared" si="173"/>
        <v>15</v>
      </c>
      <c r="I1585" t="str">
        <f t="shared" si="174"/>
        <v>13</v>
      </c>
    </row>
    <row r="1586" spans="1:9" x14ac:dyDescent="0.25">
      <c r="A1586" s="19">
        <v>42677</v>
      </c>
      <c r="B1586" s="20">
        <v>6.9444444444444441E-3</v>
      </c>
      <c r="C1586" t="str">
        <f t="shared" si="168"/>
        <v>16</v>
      </c>
      <c r="D1586" t="str">
        <f t="shared" si="169"/>
        <v>11</v>
      </c>
      <c r="E1586" t="str">
        <f t="shared" si="170"/>
        <v>03</v>
      </c>
      <c r="F1586">
        <f t="shared" si="171"/>
        <v>2016</v>
      </c>
      <c r="G1586">
        <f t="shared" si="172"/>
        <v>11</v>
      </c>
      <c r="H1586">
        <f t="shared" si="173"/>
        <v>3</v>
      </c>
      <c r="I1586" t="str">
        <f t="shared" si="174"/>
        <v>16</v>
      </c>
    </row>
    <row r="1587" spans="1:9" x14ac:dyDescent="0.25">
      <c r="A1587" s="19">
        <v>41581</v>
      </c>
      <c r="B1587" s="20">
        <v>8.2638888888888887E-2</v>
      </c>
      <c r="C1587" t="str">
        <f t="shared" si="168"/>
        <v>13</v>
      </c>
      <c r="D1587" t="str">
        <f t="shared" si="169"/>
        <v>11</v>
      </c>
      <c r="E1587" t="str">
        <f t="shared" si="170"/>
        <v>03</v>
      </c>
      <c r="F1587">
        <f t="shared" si="171"/>
        <v>2013</v>
      </c>
      <c r="G1587">
        <f t="shared" si="172"/>
        <v>11</v>
      </c>
      <c r="H1587">
        <f t="shared" si="173"/>
        <v>3</v>
      </c>
      <c r="I1587" t="str">
        <f t="shared" si="174"/>
        <v>13</v>
      </c>
    </row>
    <row r="1588" spans="1:9" x14ac:dyDescent="0.25">
      <c r="A1588" s="19">
        <v>42104</v>
      </c>
      <c r="B1588" s="20">
        <v>0.97847222222222219</v>
      </c>
      <c r="C1588" t="str">
        <f t="shared" si="168"/>
        <v>15</v>
      </c>
      <c r="D1588" t="str">
        <f t="shared" si="169"/>
        <v>04</v>
      </c>
      <c r="E1588" t="str">
        <f t="shared" si="170"/>
        <v>10</v>
      </c>
      <c r="F1588">
        <f t="shared" si="171"/>
        <v>2015</v>
      </c>
      <c r="G1588">
        <f t="shared" si="172"/>
        <v>4</v>
      </c>
      <c r="H1588">
        <f t="shared" si="173"/>
        <v>10</v>
      </c>
      <c r="I1588" t="str">
        <f t="shared" si="174"/>
        <v>15</v>
      </c>
    </row>
    <row r="1589" spans="1:9" x14ac:dyDescent="0.25">
      <c r="A1589" s="19">
        <v>41696</v>
      </c>
      <c r="B1589" s="20">
        <v>0</v>
      </c>
      <c r="C1589" t="str">
        <f t="shared" si="168"/>
        <v>14</v>
      </c>
      <c r="D1589" t="str">
        <f t="shared" si="169"/>
        <v>02</v>
      </c>
      <c r="E1589" t="str">
        <f t="shared" si="170"/>
        <v>26</v>
      </c>
      <c r="F1589">
        <f t="shared" si="171"/>
        <v>2014</v>
      </c>
      <c r="G1589">
        <f t="shared" si="172"/>
        <v>2</v>
      </c>
      <c r="H1589">
        <f t="shared" si="173"/>
        <v>26</v>
      </c>
      <c r="I1589" t="str">
        <f t="shared" si="174"/>
        <v>14</v>
      </c>
    </row>
    <row r="1590" spans="1:9" x14ac:dyDescent="0.25">
      <c r="A1590" s="19">
        <v>41126</v>
      </c>
      <c r="B1590" s="20">
        <v>5.2777777777777778E-2</v>
      </c>
      <c r="C1590" t="str">
        <f t="shared" si="168"/>
        <v>12</v>
      </c>
      <c r="D1590" t="str">
        <f t="shared" si="169"/>
        <v>08</v>
      </c>
      <c r="E1590" t="str">
        <f t="shared" si="170"/>
        <v>05</v>
      </c>
      <c r="F1590">
        <f t="shared" si="171"/>
        <v>2012</v>
      </c>
      <c r="G1590">
        <f t="shared" si="172"/>
        <v>8</v>
      </c>
      <c r="H1590">
        <f t="shared" si="173"/>
        <v>5</v>
      </c>
      <c r="I1590" t="str">
        <f t="shared" si="174"/>
        <v>12</v>
      </c>
    </row>
    <row r="1591" spans="1:9" x14ac:dyDescent="0.25">
      <c r="A1591" s="19">
        <v>41283</v>
      </c>
      <c r="B1591" s="20">
        <v>0.99236111111111114</v>
      </c>
      <c r="C1591" t="str">
        <f t="shared" si="168"/>
        <v>13</v>
      </c>
      <c r="D1591" t="str">
        <f t="shared" si="169"/>
        <v>01</v>
      </c>
      <c r="E1591" t="str">
        <f t="shared" si="170"/>
        <v>09</v>
      </c>
      <c r="F1591">
        <f t="shared" si="171"/>
        <v>2013</v>
      </c>
      <c r="G1591">
        <f t="shared" si="172"/>
        <v>1</v>
      </c>
      <c r="H1591">
        <f t="shared" si="173"/>
        <v>9</v>
      </c>
      <c r="I1591" t="str">
        <f t="shared" si="174"/>
        <v>13</v>
      </c>
    </row>
    <row r="1592" spans="1:9" x14ac:dyDescent="0.25">
      <c r="A1592" s="19">
        <v>41792</v>
      </c>
      <c r="B1592" s="20">
        <v>0.95833333333333337</v>
      </c>
      <c r="C1592" t="str">
        <f t="shared" si="168"/>
        <v>14</v>
      </c>
      <c r="D1592" t="str">
        <f t="shared" si="169"/>
        <v>06</v>
      </c>
      <c r="E1592" t="str">
        <f t="shared" si="170"/>
        <v>02</v>
      </c>
      <c r="F1592">
        <f t="shared" si="171"/>
        <v>2014</v>
      </c>
      <c r="G1592">
        <f t="shared" si="172"/>
        <v>6</v>
      </c>
      <c r="H1592">
        <f t="shared" si="173"/>
        <v>2</v>
      </c>
      <c r="I1592" t="str">
        <f t="shared" si="174"/>
        <v>14</v>
      </c>
    </row>
    <row r="1593" spans="1:9" x14ac:dyDescent="0.25">
      <c r="A1593" s="19">
        <v>41737</v>
      </c>
      <c r="B1593" s="20">
        <v>5.0694444444444445E-2</v>
      </c>
      <c r="C1593" t="str">
        <f t="shared" si="168"/>
        <v>14</v>
      </c>
      <c r="D1593" t="str">
        <f t="shared" si="169"/>
        <v>04</v>
      </c>
      <c r="E1593" t="str">
        <f t="shared" si="170"/>
        <v>08</v>
      </c>
      <c r="F1593">
        <f t="shared" si="171"/>
        <v>2014</v>
      </c>
      <c r="G1593">
        <f t="shared" si="172"/>
        <v>4</v>
      </c>
      <c r="H1593">
        <f t="shared" si="173"/>
        <v>8</v>
      </c>
      <c r="I1593" t="str">
        <f t="shared" si="174"/>
        <v>14</v>
      </c>
    </row>
    <row r="1594" spans="1:9" x14ac:dyDescent="0.25">
      <c r="A1594" s="19">
        <v>41730</v>
      </c>
      <c r="B1594" s="20">
        <v>5.7638888888888892E-2</v>
      </c>
      <c r="C1594" t="str">
        <f t="shared" si="168"/>
        <v>14</v>
      </c>
      <c r="D1594" t="str">
        <f t="shared" si="169"/>
        <v>04</v>
      </c>
      <c r="E1594" t="str">
        <f t="shared" si="170"/>
        <v>01</v>
      </c>
      <c r="F1594">
        <f t="shared" si="171"/>
        <v>2014</v>
      </c>
      <c r="G1594">
        <f t="shared" si="172"/>
        <v>4</v>
      </c>
      <c r="H1594">
        <f t="shared" si="173"/>
        <v>1</v>
      </c>
      <c r="I1594" t="str">
        <f t="shared" si="174"/>
        <v>14</v>
      </c>
    </row>
    <row r="1595" spans="1:9" x14ac:dyDescent="0.25">
      <c r="A1595" s="19">
        <v>42216</v>
      </c>
      <c r="B1595" s="20">
        <v>2.7777777777777776E-2</v>
      </c>
      <c r="C1595" t="str">
        <f t="shared" si="168"/>
        <v>15</v>
      </c>
      <c r="D1595" t="str">
        <f t="shared" si="169"/>
        <v>07</v>
      </c>
      <c r="E1595" t="str">
        <f t="shared" si="170"/>
        <v>31</v>
      </c>
      <c r="F1595">
        <f t="shared" si="171"/>
        <v>2015</v>
      </c>
      <c r="G1595">
        <f t="shared" si="172"/>
        <v>7</v>
      </c>
      <c r="H1595">
        <f t="shared" si="173"/>
        <v>31</v>
      </c>
      <c r="I1595" t="str">
        <f t="shared" si="174"/>
        <v>15</v>
      </c>
    </row>
    <row r="1596" spans="1:9" x14ac:dyDescent="0.25">
      <c r="A1596" s="19">
        <v>42277</v>
      </c>
      <c r="B1596" s="20">
        <v>0.99305555555555558</v>
      </c>
      <c r="C1596" t="str">
        <f t="shared" si="168"/>
        <v>15</v>
      </c>
      <c r="D1596" t="str">
        <f t="shared" si="169"/>
        <v>09</v>
      </c>
      <c r="E1596" t="str">
        <f t="shared" si="170"/>
        <v>30</v>
      </c>
      <c r="F1596">
        <f t="shared" si="171"/>
        <v>2015</v>
      </c>
      <c r="G1596">
        <f t="shared" si="172"/>
        <v>9</v>
      </c>
      <c r="H1596">
        <f t="shared" si="173"/>
        <v>30</v>
      </c>
      <c r="I1596" t="str">
        <f t="shared" si="174"/>
        <v>15</v>
      </c>
    </row>
    <row r="1597" spans="1:9" x14ac:dyDescent="0.25">
      <c r="A1597" s="19">
        <v>41112</v>
      </c>
      <c r="B1597" s="20">
        <v>6.9444444444444448E-2</v>
      </c>
      <c r="C1597" t="str">
        <f t="shared" si="168"/>
        <v>12</v>
      </c>
      <c r="D1597" t="str">
        <f t="shared" si="169"/>
        <v>07</v>
      </c>
      <c r="E1597" t="str">
        <f t="shared" si="170"/>
        <v>22</v>
      </c>
      <c r="F1597">
        <f t="shared" si="171"/>
        <v>2012</v>
      </c>
      <c r="G1597">
        <f t="shared" si="172"/>
        <v>7</v>
      </c>
      <c r="H1597">
        <f t="shared" si="173"/>
        <v>22</v>
      </c>
      <c r="I1597" t="str">
        <f t="shared" si="174"/>
        <v>12</v>
      </c>
    </row>
    <row r="1598" spans="1:9" x14ac:dyDescent="0.25">
      <c r="A1598" s="19">
        <v>41526</v>
      </c>
      <c r="B1598" s="20">
        <v>0.96527777777777779</v>
      </c>
      <c r="C1598" t="str">
        <f t="shared" si="168"/>
        <v>13</v>
      </c>
      <c r="D1598" t="str">
        <f t="shared" si="169"/>
        <v>09</v>
      </c>
      <c r="E1598" t="str">
        <f t="shared" si="170"/>
        <v>09</v>
      </c>
      <c r="F1598">
        <f t="shared" si="171"/>
        <v>2013</v>
      </c>
      <c r="G1598">
        <f t="shared" si="172"/>
        <v>9</v>
      </c>
      <c r="H1598">
        <f t="shared" si="173"/>
        <v>9</v>
      </c>
      <c r="I1598" t="str">
        <f t="shared" si="174"/>
        <v>13</v>
      </c>
    </row>
    <row r="1599" spans="1:9" x14ac:dyDescent="0.25">
      <c r="A1599" s="19">
        <v>41495</v>
      </c>
      <c r="B1599" s="20">
        <v>5.9722222222222225E-2</v>
      </c>
      <c r="C1599" t="str">
        <f t="shared" si="168"/>
        <v>13</v>
      </c>
      <c r="D1599" t="str">
        <f t="shared" si="169"/>
        <v>08</v>
      </c>
      <c r="E1599" t="str">
        <f t="shared" si="170"/>
        <v>09</v>
      </c>
      <c r="F1599">
        <f t="shared" si="171"/>
        <v>2013</v>
      </c>
      <c r="G1599">
        <f t="shared" si="172"/>
        <v>8</v>
      </c>
      <c r="H1599">
        <f t="shared" si="173"/>
        <v>9</v>
      </c>
      <c r="I1599" t="str">
        <f t="shared" si="174"/>
        <v>13</v>
      </c>
    </row>
    <row r="1600" spans="1:9" x14ac:dyDescent="0.25">
      <c r="A1600" s="19">
        <v>41348</v>
      </c>
      <c r="B1600" s="20">
        <v>4.2361111111111113E-2</v>
      </c>
      <c r="C1600" t="str">
        <f t="shared" si="168"/>
        <v>13</v>
      </c>
      <c r="D1600" t="str">
        <f t="shared" si="169"/>
        <v>03</v>
      </c>
      <c r="E1600" t="str">
        <f t="shared" si="170"/>
        <v>15</v>
      </c>
      <c r="F1600">
        <f t="shared" si="171"/>
        <v>2013</v>
      </c>
      <c r="G1600">
        <f t="shared" si="172"/>
        <v>3</v>
      </c>
      <c r="H1600">
        <f t="shared" si="173"/>
        <v>15</v>
      </c>
      <c r="I1600" t="str">
        <f t="shared" si="174"/>
        <v>13</v>
      </c>
    </row>
    <row r="1601" spans="1:9" x14ac:dyDescent="0.25">
      <c r="A1601" s="19">
        <v>41371</v>
      </c>
      <c r="B1601" s="20">
        <v>0.99305555555555558</v>
      </c>
      <c r="C1601" t="str">
        <f t="shared" si="168"/>
        <v>13</v>
      </c>
      <c r="D1601" t="str">
        <f t="shared" si="169"/>
        <v>04</v>
      </c>
      <c r="E1601" t="str">
        <f t="shared" si="170"/>
        <v>07</v>
      </c>
      <c r="F1601">
        <f t="shared" si="171"/>
        <v>2013</v>
      </c>
      <c r="G1601">
        <f t="shared" si="172"/>
        <v>4</v>
      </c>
      <c r="H1601">
        <f t="shared" si="173"/>
        <v>7</v>
      </c>
      <c r="I1601" t="str">
        <f t="shared" si="174"/>
        <v>13</v>
      </c>
    </row>
    <row r="1602" spans="1:9" x14ac:dyDescent="0.25">
      <c r="A1602" s="19">
        <v>41527</v>
      </c>
      <c r="B1602" s="20">
        <v>6.3194444444444442E-2</v>
      </c>
      <c r="C1602" t="str">
        <f t="shared" si="168"/>
        <v>13</v>
      </c>
      <c r="D1602" t="str">
        <f t="shared" si="169"/>
        <v>09</v>
      </c>
      <c r="E1602" t="str">
        <f t="shared" si="170"/>
        <v>10</v>
      </c>
      <c r="F1602">
        <f t="shared" si="171"/>
        <v>2013</v>
      </c>
      <c r="G1602">
        <f t="shared" si="172"/>
        <v>9</v>
      </c>
      <c r="H1602">
        <f t="shared" si="173"/>
        <v>10</v>
      </c>
      <c r="I1602" t="str">
        <f t="shared" si="174"/>
        <v>13</v>
      </c>
    </row>
    <row r="1603" spans="1:9" x14ac:dyDescent="0.25">
      <c r="A1603" s="19">
        <v>41980</v>
      </c>
      <c r="B1603" s="20">
        <v>6.2500000000000003E-3</v>
      </c>
      <c r="C1603" t="str">
        <f t="shared" ref="C1603:C1666" si="175">TEXT(A1603,"YY")</f>
        <v>14</v>
      </c>
      <c r="D1603" t="str">
        <f t="shared" ref="D1603:D1666" si="176">TEXT(A1603,"mm")</f>
        <v>12</v>
      </c>
      <c r="E1603" t="str">
        <f t="shared" ref="E1603:E1666" si="177">TEXT(A1603,"dd")</f>
        <v>07</v>
      </c>
      <c r="F1603">
        <f t="shared" ref="F1603:F1666" si="178">YEAR($A1603)</f>
        <v>2014</v>
      </c>
      <c r="G1603">
        <f t="shared" ref="G1603:G1666" si="179">MONTH($A1603)</f>
        <v>12</v>
      </c>
      <c r="H1603">
        <f t="shared" ref="H1603:H1666" si="180">DAY($A1603)</f>
        <v>7</v>
      </c>
      <c r="I1603" t="str">
        <f t="shared" ref="I1603:I1666" si="181">TEXT($A1603,"YY")</f>
        <v>14</v>
      </c>
    </row>
    <row r="1604" spans="1:9" x14ac:dyDescent="0.25">
      <c r="A1604" s="19">
        <v>42180</v>
      </c>
      <c r="B1604" s="20">
        <v>2.6388888888888889E-2</v>
      </c>
      <c r="C1604" t="str">
        <f t="shared" si="175"/>
        <v>15</v>
      </c>
      <c r="D1604" t="str">
        <f t="shared" si="176"/>
        <v>06</v>
      </c>
      <c r="E1604" t="str">
        <f t="shared" si="177"/>
        <v>25</v>
      </c>
      <c r="F1604">
        <f t="shared" si="178"/>
        <v>2015</v>
      </c>
      <c r="G1604">
        <f t="shared" si="179"/>
        <v>6</v>
      </c>
      <c r="H1604">
        <f t="shared" si="180"/>
        <v>25</v>
      </c>
      <c r="I1604" t="str">
        <f t="shared" si="181"/>
        <v>15</v>
      </c>
    </row>
    <row r="1605" spans="1:9" x14ac:dyDescent="0.25">
      <c r="A1605" s="19">
        <v>42431</v>
      </c>
      <c r="B1605" s="20">
        <v>5.8333333333333334E-2</v>
      </c>
      <c r="C1605" t="str">
        <f t="shared" si="175"/>
        <v>16</v>
      </c>
      <c r="D1605" t="str">
        <f t="shared" si="176"/>
        <v>03</v>
      </c>
      <c r="E1605" t="str">
        <f t="shared" si="177"/>
        <v>02</v>
      </c>
      <c r="F1605">
        <f t="shared" si="178"/>
        <v>2016</v>
      </c>
      <c r="G1605">
        <f t="shared" si="179"/>
        <v>3</v>
      </c>
      <c r="H1605">
        <f t="shared" si="180"/>
        <v>2</v>
      </c>
      <c r="I1605" t="str">
        <f t="shared" si="181"/>
        <v>16</v>
      </c>
    </row>
    <row r="1606" spans="1:9" x14ac:dyDescent="0.25">
      <c r="A1606" s="19">
        <v>41311</v>
      </c>
      <c r="B1606" s="20">
        <v>5.9027777777777776E-2</v>
      </c>
      <c r="C1606" t="str">
        <f t="shared" si="175"/>
        <v>13</v>
      </c>
      <c r="D1606" t="str">
        <f t="shared" si="176"/>
        <v>02</v>
      </c>
      <c r="E1606" t="str">
        <f t="shared" si="177"/>
        <v>06</v>
      </c>
      <c r="F1606">
        <f t="shared" si="178"/>
        <v>2013</v>
      </c>
      <c r="G1606">
        <f t="shared" si="179"/>
        <v>2</v>
      </c>
      <c r="H1606">
        <f t="shared" si="180"/>
        <v>6</v>
      </c>
      <c r="I1606" t="str">
        <f t="shared" si="181"/>
        <v>13</v>
      </c>
    </row>
    <row r="1607" spans="1:9" x14ac:dyDescent="0.25">
      <c r="A1607" s="19">
        <v>42638</v>
      </c>
      <c r="B1607" s="20">
        <v>0.9770833333333333</v>
      </c>
      <c r="C1607" t="str">
        <f t="shared" si="175"/>
        <v>16</v>
      </c>
      <c r="D1607" t="str">
        <f t="shared" si="176"/>
        <v>09</v>
      </c>
      <c r="E1607" t="str">
        <f t="shared" si="177"/>
        <v>25</v>
      </c>
      <c r="F1607">
        <f t="shared" si="178"/>
        <v>2016</v>
      </c>
      <c r="G1607">
        <f t="shared" si="179"/>
        <v>9</v>
      </c>
      <c r="H1607">
        <f t="shared" si="180"/>
        <v>25</v>
      </c>
      <c r="I1607" t="str">
        <f t="shared" si="181"/>
        <v>16</v>
      </c>
    </row>
    <row r="1608" spans="1:9" x14ac:dyDescent="0.25">
      <c r="A1608" s="19">
        <v>41929</v>
      </c>
      <c r="B1608" s="20">
        <v>3.0555555555555555E-2</v>
      </c>
      <c r="C1608" t="str">
        <f t="shared" si="175"/>
        <v>14</v>
      </c>
      <c r="D1608" t="str">
        <f t="shared" si="176"/>
        <v>10</v>
      </c>
      <c r="E1608" t="str">
        <f t="shared" si="177"/>
        <v>17</v>
      </c>
      <c r="F1608">
        <f t="shared" si="178"/>
        <v>2014</v>
      </c>
      <c r="G1608">
        <f t="shared" si="179"/>
        <v>10</v>
      </c>
      <c r="H1608">
        <f t="shared" si="180"/>
        <v>17</v>
      </c>
      <c r="I1608" t="str">
        <f t="shared" si="181"/>
        <v>14</v>
      </c>
    </row>
    <row r="1609" spans="1:9" x14ac:dyDescent="0.25">
      <c r="A1609" s="19">
        <v>42577</v>
      </c>
      <c r="B1609" s="20">
        <v>0.98888888888888893</v>
      </c>
      <c r="C1609" t="str">
        <f t="shared" si="175"/>
        <v>16</v>
      </c>
      <c r="D1609" t="str">
        <f t="shared" si="176"/>
        <v>07</v>
      </c>
      <c r="E1609" t="str">
        <f t="shared" si="177"/>
        <v>26</v>
      </c>
      <c r="F1609">
        <f t="shared" si="178"/>
        <v>2016</v>
      </c>
      <c r="G1609">
        <f t="shared" si="179"/>
        <v>7</v>
      </c>
      <c r="H1609">
        <f t="shared" si="180"/>
        <v>26</v>
      </c>
      <c r="I1609" t="str">
        <f t="shared" si="181"/>
        <v>16</v>
      </c>
    </row>
    <row r="1610" spans="1:9" x14ac:dyDescent="0.25">
      <c r="A1610" s="19">
        <v>41445</v>
      </c>
      <c r="B1610" s="20">
        <v>7.6388888888888895E-2</v>
      </c>
      <c r="C1610" t="str">
        <f t="shared" si="175"/>
        <v>13</v>
      </c>
      <c r="D1610" t="str">
        <f t="shared" si="176"/>
        <v>06</v>
      </c>
      <c r="E1610" t="str">
        <f t="shared" si="177"/>
        <v>20</v>
      </c>
      <c r="F1610">
        <f t="shared" si="178"/>
        <v>2013</v>
      </c>
      <c r="G1610">
        <f t="shared" si="179"/>
        <v>6</v>
      </c>
      <c r="H1610">
        <f t="shared" si="180"/>
        <v>20</v>
      </c>
      <c r="I1610" t="str">
        <f t="shared" si="181"/>
        <v>13</v>
      </c>
    </row>
    <row r="1611" spans="1:9" x14ac:dyDescent="0.25">
      <c r="A1611" s="19">
        <v>41572</v>
      </c>
      <c r="B1611" s="20">
        <v>3.6805555555555557E-2</v>
      </c>
      <c r="C1611" t="str">
        <f t="shared" si="175"/>
        <v>13</v>
      </c>
      <c r="D1611" t="str">
        <f t="shared" si="176"/>
        <v>10</v>
      </c>
      <c r="E1611" t="str">
        <f t="shared" si="177"/>
        <v>25</v>
      </c>
      <c r="F1611">
        <f t="shared" si="178"/>
        <v>2013</v>
      </c>
      <c r="G1611">
        <f t="shared" si="179"/>
        <v>10</v>
      </c>
      <c r="H1611">
        <f t="shared" si="180"/>
        <v>25</v>
      </c>
      <c r="I1611" t="str">
        <f t="shared" si="181"/>
        <v>13</v>
      </c>
    </row>
    <row r="1612" spans="1:9" x14ac:dyDescent="0.25">
      <c r="A1612" s="19">
        <v>42088</v>
      </c>
      <c r="B1612" s="20">
        <v>4.027777777777778E-2</v>
      </c>
      <c r="C1612" t="str">
        <f t="shared" si="175"/>
        <v>15</v>
      </c>
      <c r="D1612" t="str">
        <f t="shared" si="176"/>
        <v>03</v>
      </c>
      <c r="E1612" t="str">
        <f t="shared" si="177"/>
        <v>25</v>
      </c>
      <c r="F1612">
        <f t="shared" si="178"/>
        <v>2015</v>
      </c>
      <c r="G1612">
        <f t="shared" si="179"/>
        <v>3</v>
      </c>
      <c r="H1612">
        <f t="shared" si="180"/>
        <v>25</v>
      </c>
      <c r="I1612" t="str">
        <f t="shared" si="181"/>
        <v>15</v>
      </c>
    </row>
    <row r="1613" spans="1:9" x14ac:dyDescent="0.25">
      <c r="A1613" s="19">
        <v>42289</v>
      </c>
      <c r="B1613" s="20">
        <v>3.0555555555555555E-2</v>
      </c>
      <c r="C1613" t="str">
        <f t="shared" si="175"/>
        <v>15</v>
      </c>
      <c r="D1613" t="str">
        <f t="shared" si="176"/>
        <v>10</v>
      </c>
      <c r="E1613" t="str">
        <f t="shared" si="177"/>
        <v>12</v>
      </c>
      <c r="F1613">
        <f t="shared" si="178"/>
        <v>2015</v>
      </c>
      <c r="G1613">
        <f t="shared" si="179"/>
        <v>10</v>
      </c>
      <c r="H1613">
        <f t="shared" si="180"/>
        <v>12</v>
      </c>
      <c r="I1613" t="str">
        <f t="shared" si="181"/>
        <v>15</v>
      </c>
    </row>
    <row r="1614" spans="1:9" x14ac:dyDescent="0.25">
      <c r="A1614" s="19">
        <v>41341</v>
      </c>
      <c r="B1614" s="20">
        <v>5.6944444444444443E-2</v>
      </c>
      <c r="C1614" t="str">
        <f t="shared" si="175"/>
        <v>13</v>
      </c>
      <c r="D1614" t="str">
        <f t="shared" si="176"/>
        <v>03</v>
      </c>
      <c r="E1614" t="str">
        <f t="shared" si="177"/>
        <v>08</v>
      </c>
      <c r="F1614">
        <f t="shared" si="178"/>
        <v>2013</v>
      </c>
      <c r="G1614">
        <f t="shared" si="179"/>
        <v>3</v>
      </c>
      <c r="H1614">
        <f t="shared" si="180"/>
        <v>8</v>
      </c>
      <c r="I1614" t="str">
        <f t="shared" si="181"/>
        <v>13</v>
      </c>
    </row>
    <row r="1615" spans="1:9" x14ac:dyDescent="0.25">
      <c r="A1615" s="19">
        <v>42106</v>
      </c>
      <c r="B1615" s="20">
        <v>4.2361111111111113E-2</v>
      </c>
      <c r="C1615" t="str">
        <f t="shared" si="175"/>
        <v>15</v>
      </c>
      <c r="D1615" t="str">
        <f t="shared" si="176"/>
        <v>04</v>
      </c>
      <c r="E1615" t="str">
        <f t="shared" si="177"/>
        <v>12</v>
      </c>
      <c r="F1615">
        <f t="shared" si="178"/>
        <v>2015</v>
      </c>
      <c r="G1615">
        <f t="shared" si="179"/>
        <v>4</v>
      </c>
      <c r="H1615">
        <f t="shared" si="180"/>
        <v>12</v>
      </c>
      <c r="I1615" t="str">
        <f t="shared" si="181"/>
        <v>15</v>
      </c>
    </row>
    <row r="1616" spans="1:9" x14ac:dyDescent="0.25">
      <c r="A1616" s="19">
        <v>42414</v>
      </c>
      <c r="B1616" s="20">
        <v>2.8472222222222222E-2</v>
      </c>
      <c r="C1616" t="str">
        <f t="shared" si="175"/>
        <v>16</v>
      </c>
      <c r="D1616" t="str">
        <f t="shared" si="176"/>
        <v>02</v>
      </c>
      <c r="E1616" t="str">
        <f t="shared" si="177"/>
        <v>14</v>
      </c>
      <c r="F1616">
        <f t="shared" si="178"/>
        <v>2016</v>
      </c>
      <c r="G1616">
        <f t="shared" si="179"/>
        <v>2</v>
      </c>
      <c r="H1616">
        <f t="shared" si="180"/>
        <v>14</v>
      </c>
      <c r="I1616" t="str">
        <f t="shared" si="181"/>
        <v>16</v>
      </c>
    </row>
    <row r="1617" spans="1:9" x14ac:dyDescent="0.25">
      <c r="A1617" s="19">
        <v>41513</v>
      </c>
      <c r="B1617" s="20">
        <v>4.9305555555555554E-2</v>
      </c>
      <c r="C1617" t="str">
        <f t="shared" si="175"/>
        <v>13</v>
      </c>
      <c r="D1617" t="str">
        <f t="shared" si="176"/>
        <v>08</v>
      </c>
      <c r="E1617" t="str">
        <f t="shared" si="177"/>
        <v>27</v>
      </c>
      <c r="F1617">
        <f t="shared" si="178"/>
        <v>2013</v>
      </c>
      <c r="G1617">
        <f t="shared" si="179"/>
        <v>8</v>
      </c>
      <c r="H1617">
        <f t="shared" si="180"/>
        <v>27</v>
      </c>
      <c r="I1617" t="str">
        <f t="shared" si="181"/>
        <v>13</v>
      </c>
    </row>
    <row r="1618" spans="1:9" x14ac:dyDescent="0.25">
      <c r="A1618" s="19">
        <v>41736</v>
      </c>
      <c r="B1618" s="20">
        <v>4.1666666666666664E-2</v>
      </c>
      <c r="C1618" t="str">
        <f t="shared" si="175"/>
        <v>14</v>
      </c>
      <c r="D1618" t="str">
        <f t="shared" si="176"/>
        <v>04</v>
      </c>
      <c r="E1618" t="str">
        <f t="shared" si="177"/>
        <v>07</v>
      </c>
      <c r="F1618">
        <f t="shared" si="178"/>
        <v>2014</v>
      </c>
      <c r="G1618">
        <f t="shared" si="179"/>
        <v>4</v>
      </c>
      <c r="H1618">
        <f t="shared" si="180"/>
        <v>7</v>
      </c>
      <c r="I1618" t="str">
        <f t="shared" si="181"/>
        <v>14</v>
      </c>
    </row>
    <row r="1619" spans="1:9" x14ac:dyDescent="0.25">
      <c r="A1619" s="19">
        <v>41496</v>
      </c>
      <c r="B1619" s="20">
        <v>2.2222222222222223E-2</v>
      </c>
      <c r="C1619" t="str">
        <f t="shared" si="175"/>
        <v>13</v>
      </c>
      <c r="D1619" t="str">
        <f t="shared" si="176"/>
        <v>08</v>
      </c>
      <c r="E1619" t="str">
        <f t="shared" si="177"/>
        <v>10</v>
      </c>
      <c r="F1619">
        <f t="shared" si="178"/>
        <v>2013</v>
      </c>
      <c r="G1619">
        <f t="shared" si="179"/>
        <v>8</v>
      </c>
      <c r="H1619">
        <f t="shared" si="180"/>
        <v>10</v>
      </c>
      <c r="I1619" t="str">
        <f t="shared" si="181"/>
        <v>13</v>
      </c>
    </row>
    <row r="1620" spans="1:9" x14ac:dyDescent="0.25">
      <c r="A1620" s="19">
        <v>42802</v>
      </c>
      <c r="B1620" s="20">
        <v>0.94027777777777777</v>
      </c>
      <c r="C1620" t="str">
        <f t="shared" si="175"/>
        <v>17</v>
      </c>
      <c r="D1620" t="str">
        <f t="shared" si="176"/>
        <v>03</v>
      </c>
      <c r="E1620" t="str">
        <f t="shared" si="177"/>
        <v>08</v>
      </c>
      <c r="F1620">
        <f t="shared" si="178"/>
        <v>2017</v>
      </c>
      <c r="G1620">
        <f t="shared" si="179"/>
        <v>3</v>
      </c>
      <c r="H1620">
        <f t="shared" si="180"/>
        <v>8</v>
      </c>
      <c r="I1620" t="str">
        <f t="shared" si="181"/>
        <v>17</v>
      </c>
    </row>
    <row r="1621" spans="1:9" x14ac:dyDescent="0.25">
      <c r="A1621" s="19">
        <v>41179</v>
      </c>
      <c r="B1621" s="20">
        <v>9.930555555555555E-2</v>
      </c>
      <c r="C1621" t="str">
        <f t="shared" si="175"/>
        <v>12</v>
      </c>
      <c r="D1621" t="str">
        <f t="shared" si="176"/>
        <v>09</v>
      </c>
      <c r="E1621" t="str">
        <f t="shared" si="177"/>
        <v>27</v>
      </c>
      <c r="F1621">
        <f t="shared" si="178"/>
        <v>2012</v>
      </c>
      <c r="G1621">
        <f t="shared" si="179"/>
        <v>9</v>
      </c>
      <c r="H1621">
        <f t="shared" si="180"/>
        <v>27</v>
      </c>
      <c r="I1621" t="str">
        <f t="shared" si="181"/>
        <v>12</v>
      </c>
    </row>
    <row r="1622" spans="1:9" x14ac:dyDescent="0.25">
      <c r="A1622" s="19">
        <v>41655</v>
      </c>
      <c r="B1622" s="20">
        <v>3.6805555555555557E-2</v>
      </c>
      <c r="C1622" t="str">
        <f t="shared" si="175"/>
        <v>14</v>
      </c>
      <c r="D1622" t="str">
        <f t="shared" si="176"/>
        <v>01</v>
      </c>
      <c r="E1622" t="str">
        <f t="shared" si="177"/>
        <v>16</v>
      </c>
      <c r="F1622">
        <f t="shared" si="178"/>
        <v>2014</v>
      </c>
      <c r="G1622">
        <f t="shared" si="179"/>
        <v>1</v>
      </c>
      <c r="H1622">
        <f t="shared" si="180"/>
        <v>16</v>
      </c>
      <c r="I1622" t="str">
        <f t="shared" si="181"/>
        <v>14</v>
      </c>
    </row>
    <row r="1623" spans="1:9" x14ac:dyDescent="0.25">
      <c r="A1623" s="19">
        <v>42494</v>
      </c>
      <c r="B1623" s="20">
        <v>1.3194444444444444E-2</v>
      </c>
      <c r="C1623" t="str">
        <f t="shared" si="175"/>
        <v>16</v>
      </c>
      <c r="D1623" t="str">
        <f t="shared" si="176"/>
        <v>05</v>
      </c>
      <c r="E1623" t="str">
        <f t="shared" si="177"/>
        <v>04</v>
      </c>
      <c r="F1623">
        <f t="shared" si="178"/>
        <v>2016</v>
      </c>
      <c r="G1623">
        <f t="shared" si="179"/>
        <v>5</v>
      </c>
      <c r="H1623">
        <f t="shared" si="180"/>
        <v>4</v>
      </c>
      <c r="I1623" t="str">
        <f t="shared" si="181"/>
        <v>16</v>
      </c>
    </row>
    <row r="1624" spans="1:9" x14ac:dyDescent="0.25">
      <c r="A1624" s="19">
        <v>42441</v>
      </c>
      <c r="B1624" s="20">
        <v>0.98333333333333328</v>
      </c>
      <c r="C1624" t="str">
        <f t="shared" si="175"/>
        <v>16</v>
      </c>
      <c r="D1624" t="str">
        <f t="shared" si="176"/>
        <v>03</v>
      </c>
      <c r="E1624" t="str">
        <f t="shared" si="177"/>
        <v>12</v>
      </c>
      <c r="F1624">
        <f t="shared" si="178"/>
        <v>2016</v>
      </c>
      <c r="G1624">
        <f t="shared" si="179"/>
        <v>3</v>
      </c>
      <c r="H1624">
        <f t="shared" si="180"/>
        <v>12</v>
      </c>
      <c r="I1624" t="str">
        <f t="shared" si="181"/>
        <v>16</v>
      </c>
    </row>
    <row r="1625" spans="1:9" x14ac:dyDescent="0.25">
      <c r="A1625" s="19">
        <v>42140</v>
      </c>
      <c r="B1625" s="20">
        <v>0.97847222222222219</v>
      </c>
      <c r="C1625" t="str">
        <f t="shared" si="175"/>
        <v>15</v>
      </c>
      <c r="D1625" t="str">
        <f t="shared" si="176"/>
        <v>05</v>
      </c>
      <c r="E1625" t="str">
        <f t="shared" si="177"/>
        <v>16</v>
      </c>
      <c r="F1625">
        <f t="shared" si="178"/>
        <v>2015</v>
      </c>
      <c r="G1625">
        <f t="shared" si="179"/>
        <v>5</v>
      </c>
      <c r="H1625">
        <f t="shared" si="180"/>
        <v>16</v>
      </c>
      <c r="I1625" t="str">
        <f t="shared" si="181"/>
        <v>15</v>
      </c>
    </row>
    <row r="1626" spans="1:9" x14ac:dyDescent="0.25">
      <c r="A1626" s="19">
        <v>42070</v>
      </c>
      <c r="B1626" s="20">
        <v>0.94166666666666665</v>
      </c>
      <c r="C1626" t="str">
        <f t="shared" si="175"/>
        <v>15</v>
      </c>
      <c r="D1626" t="str">
        <f t="shared" si="176"/>
        <v>03</v>
      </c>
      <c r="E1626" t="str">
        <f t="shared" si="177"/>
        <v>07</v>
      </c>
      <c r="F1626">
        <f t="shared" si="178"/>
        <v>2015</v>
      </c>
      <c r="G1626">
        <f t="shared" si="179"/>
        <v>3</v>
      </c>
      <c r="H1626">
        <f t="shared" si="180"/>
        <v>7</v>
      </c>
      <c r="I1626" t="str">
        <f t="shared" si="181"/>
        <v>15</v>
      </c>
    </row>
    <row r="1627" spans="1:9" x14ac:dyDescent="0.25">
      <c r="A1627" s="19">
        <v>41753</v>
      </c>
      <c r="B1627" s="20">
        <v>0.95138888888888884</v>
      </c>
      <c r="C1627" t="str">
        <f t="shared" si="175"/>
        <v>14</v>
      </c>
      <c r="D1627" t="str">
        <f t="shared" si="176"/>
        <v>04</v>
      </c>
      <c r="E1627" t="str">
        <f t="shared" si="177"/>
        <v>24</v>
      </c>
      <c r="F1627">
        <f t="shared" si="178"/>
        <v>2014</v>
      </c>
      <c r="G1627">
        <f t="shared" si="179"/>
        <v>4</v>
      </c>
      <c r="H1627">
        <f t="shared" si="180"/>
        <v>24</v>
      </c>
      <c r="I1627" t="str">
        <f t="shared" si="181"/>
        <v>14</v>
      </c>
    </row>
    <row r="1628" spans="1:9" x14ac:dyDescent="0.25">
      <c r="A1628" s="19">
        <v>41914</v>
      </c>
      <c r="B1628" s="20">
        <v>9.3055555555555558E-2</v>
      </c>
      <c r="C1628" t="str">
        <f t="shared" si="175"/>
        <v>14</v>
      </c>
      <c r="D1628" t="str">
        <f t="shared" si="176"/>
        <v>10</v>
      </c>
      <c r="E1628" t="str">
        <f t="shared" si="177"/>
        <v>02</v>
      </c>
      <c r="F1628">
        <f t="shared" si="178"/>
        <v>2014</v>
      </c>
      <c r="G1628">
        <f t="shared" si="179"/>
        <v>10</v>
      </c>
      <c r="H1628">
        <f t="shared" si="180"/>
        <v>2</v>
      </c>
      <c r="I1628" t="str">
        <f t="shared" si="181"/>
        <v>14</v>
      </c>
    </row>
    <row r="1629" spans="1:9" x14ac:dyDescent="0.25">
      <c r="A1629" s="19">
        <v>41699</v>
      </c>
      <c r="B1629" s="20">
        <v>6.5277777777777782E-2</v>
      </c>
      <c r="C1629" t="str">
        <f t="shared" si="175"/>
        <v>14</v>
      </c>
      <c r="D1629" t="str">
        <f t="shared" si="176"/>
        <v>03</v>
      </c>
      <c r="E1629" t="str">
        <f t="shared" si="177"/>
        <v>01</v>
      </c>
      <c r="F1629">
        <f t="shared" si="178"/>
        <v>2014</v>
      </c>
      <c r="G1629">
        <f t="shared" si="179"/>
        <v>3</v>
      </c>
      <c r="H1629">
        <f t="shared" si="180"/>
        <v>1</v>
      </c>
      <c r="I1629" t="str">
        <f t="shared" si="181"/>
        <v>14</v>
      </c>
    </row>
    <row r="1630" spans="1:9" x14ac:dyDescent="0.25">
      <c r="A1630" s="19">
        <v>41612</v>
      </c>
      <c r="B1630" s="20">
        <v>2.7083333333333334E-2</v>
      </c>
      <c r="C1630" t="str">
        <f t="shared" si="175"/>
        <v>13</v>
      </c>
      <c r="D1630" t="str">
        <f t="shared" si="176"/>
        <v>12</v>
      </c>
      <c r="E1630" t="str">
        <f t="shared" si="177"/>
        <v>04</v>
      </c>
      <c r="F1630">
        <f t="shared" si="178"/>
        <v>2013</v>
      </c>
      <c r="G1630">
        <f t="shared" si="179"/>
        <v>12</v>
      </c>
      <c r="H1630">
        <f t="shared" si="180"/>
        <v>4</v>
      </c>
      <c r="I1630" t="str">
        <f t="shared" si="181"/>
        <v>13</v>
      </c>
    </row>
    <row r="1631" spans="1:9" x14ac:dyDescent="0.25">
      <c r="A1631" s="19">
        <v>42006</v>
      </c>
      <c r="B1631" s="20">
        <v>1.6666666666666666E-2</v>
      </c>
      <c r="C1631" t="str">
        <f t="shared" si="175"/>
        <v>15</v>
      </c>
      <c r="D1631" t="str">
        <f t="shared" si="176"/>
        <v>01</v>
      </c>
      <c r="E1631" t="str">
        <f t="shared" si="177"/>
        <v>02</v>
      </c>
      <c r="F1631">
        <f t="shared" si="178"/>
        <v>2015</v>
      </c>
      <c r="G1631">
        <f t="shared" si="179"/>
        <v>1</v>
      </c>
      <c r="H1631">
        <f t="shared" si="180"/>
        <v>2</v>
      </c>
      <c r="I1631" t="str">
        <f t="shared" si="181"/>
        <v>15</v>
      </c>
    </row>
    <row r="1632" spans="1:9" x14ac:dyDescent="0.25">
      <c r="A1632" s="19">
        <v>41249</v>
      </c>
      <c r="B1632" s="20">
        <v>9.0277777777777776E-2</v>
      </c>
      <c r="C1632" t="str">
        <f t="shared" si="175"/>
        <v>12</v>
      </c>
      <c r="D1632" t="str">
        <f t="shared" si="176"/>
        <v>12</v>
      </c>
      <c r="E1632" t="str">
        <f t="shared" si="177"/>
        <v>06</v>
      </c>
      <c r="F1632">
        <f t="shared" si="178"/>
        <v>2012</v>
      </c>
      <c r="G1632">
        <f t="shared" si="179"/>
        <v>12</v>
      </c>
      <c r="H1632">
        <f t="shared" si="180"/>
        <v>6</v>
      </c>
      <c r="I1632" t="str">
        <f t="shared" si="181"/>
        <v>12</v>
      </c>
    </row>
    <row r="1633" spans="1:9" x14ac:dyDescent="0.25">
      <c r="A1633" s="19">
        <v>42225</v>
      </c>
      <c r="B1633" s="20">
        <v>4.3055555555555555E-2</v>
      </c>
      <c r="C1633" t="str">
        <f t="shared" si="175"/>
        <v>15</v>
      </c>
      <c r="D1633" t="str">
        <f t="shared" si="176"/>
        <v>08</v>
      </c>
      <c r="E1633" t="str">
        <f t="shared" si="177"/>
        <v>09</v>
      </c>
      <c r="F1633">
        <f t="shared" si="178"/>
        <v>2015</v>
      </c>
      <c r="G1633">
        <f t="shared" si="179"/>
        <v>8</v>
      </c>
      <c r="H1633">
        <f t="shared" si="180"/>
        <v>9</v>
      </c>
      <c r="I1633" t="str">
        <f t="shared" si="181"/>
        <v>15</v>
      </c>
    </row>
    <row r="1634" spans="1:9" x14ac:dyDescent="0.25">
      <c r="A1634" s="19">
        <v>42096</v>
      </c>
      <c r="B1634" s="20">
        <v>1.0416666666666666E-2</v>
      </c>
      <c r="C1634" t="str">
        <f t="shared" si="175"/>
        <v>15</v>
      </c>
      <c r="D1634" t="str">
        <f t="shared" si="176"/>
        <v>04</v>
      </c>
      <c r="E1634" t="str">
        <f t="shared" si="177"/>
        <v>02</v>
      </c>
      <c r="F1634">
        <f t="shared" si="178"/>
        <v>2015</v>
      </c>
      <c r="G1634">
        <f t="shared" si="179"/>
        <v>4</v>
      </c>
      <c r="H1634">
        <f t="shared" si="180"/>
        <v>2</v>
      </c>
      <c r="I1634" t="str">
        <f t="shared" si="181"/>
        <v>15</v>
      </c>
    </row>
    <row r="1635" spans="1:9" x14ac:dyDescent="0.25">
      <c r="A1635" s="19">
        <v>42424</v>
      </c>
      <c r="B1635" s="20">
        <v>0.96388888888888891</v>
      </c>
      <c r="C1635" t="str">
        <f t="shared" si="175"/>
        <v>16</v>
      </c>
      <c r="D1635" t="str">
        <f t="shared" si="176"/>
        <v>02</v>
      </c>
      <c r="E1635" t="str">
        <f t="shared" si="177"/>
        <v>24</v>
      </c>
      <c r="F1635">
        <f t="shared" si="178"/>
        <v>2016</v>
      </c>
      <c r="G1635">
        <f t="shared" si="179"/>
        <v>2</v>
      </c>
      <c r="H1635">
        <f t="shared" si="180"/>
        <v>24</v>
      </c>
      <c r="I1635" t="str">
        <f t="shared" si="181"/>
        <v>16</v>
      </c>
    </row>
    <row r="1636" spans="1:9" x14ac:dyDescent="0.25">
      <c r="A1636" s="19">
        <v>42082</v>
      </c>
      <c r="B1636" s="20">
        <v>0.99027777777777781</v>
      </c>
      <c r="C1636" t="str">
        <f t="shared" si="175"/>
        <v>15</v>
      </c>
      <c r="D1636" t="str">
        <f t="shared" si="176"/>
        <v>03</v>
      </c>
      <c r="E1636" t="str">
        <f t="shared" si="177"/>
        <v>19</v>
      </c>
      <c r="F1636">
        <f t="shared" si="178"/>
        <v>2015</v>
      </c>
      <c r="G1636">
        <f t="shared" si="179"/>
        <v>3</v>
      </c>
      <c r="H1636">
        <f t="shared" si="180"/>
        <v>19</v>
      </c>
      <c r="I1636" t="str">
        <f t="shared" si="181"/>
        <v>15</v>
      </c>
    </row>
    <row r="1637" spans="1:9" x14ac:dyDescent="0.25">
      <c r="A1637" s="19">
        <v>41170</v>
      </c>
      <c r="B1637" s="20">
        <v>0.05</v>
      </c>
      <c r="C1637" t="str">
        <f t="shared" si="175"/>
        <v>12</v>
      </c>
      <c r="D1637" t="str">
        <f t="shared" si="176"/>
        <v>09</v>
      </c>
      <c r="E1637" t="str">
        <f t="shared" si="177"/>
        <v>18</v>
      </c>
      <c r="F1637">
        <f t="shared" si="178"/>
        <v>2012</v>
      </c>
      <c r="G1637">
        <f t="shared" si="179"/>
        <v>9</v>
      </c>
      <c r="H1637">
        <f t="shared" si="180"/>
        <v>18</v>
      </c>
      <c r="I1637" t="str">
        <f t="shared" si="181"/>
        <v>12</v>
      </c>
    </row>
    <row r="1638" spans="1:9" x14ac:dyDescent="0.25">
      <c r="A1638" s="19">
        <v>42278</v>
      </c>
      <c r="B1638" s="20">
        <v>4.027777777777778E-2</v>
      </c>
      <c r="C1638" t="str">
        <f t="shared" si="175"/>
        <v>15</v>
      </c>
      <c r="D1638" t="str">
        <f t="shared" si="176"/>
        <v>10</v>
      </c>
      <c r="E1638" t="str">
        <f t="shared" si="177"/>
        <v>01</v>
      </c>
      <c r="F1638">
        <f t="shared" si="178"/>
        <v>2015</v>
      </c>
      <c r="G1638">
        <f t="shared" si="179"/>
        <v>10</v>
      </c>
      <c r="H1638">
        <f t="shared" si="180"/>
        <v>1</v>
      </c>
      <c r="I1638" t="str">
        <f t="shared" si="181"/>
        <v>15</v>
      </c>
    </row>
    <row r="1639" spans="1:9" x14ac:dyDescent="0.25">
      <c r="A1639" s="19">
        <v>41313</v>
      </c>
      <c r="B1639" s="20">
        <v>6.5972222222222224E-2</v>
      </c>
      <c r="C1639" t="str">
        <f t="shared" si="175"/>
        <v>13</v>
      </c>
      <c r="D1639" t="str">
        <f t="shared" si="176"/>
        <v>02</v>
      </c>
      <c r="E1639" t="str">
        <f t="shared" si="177"/>
        <v>08</v>
      </c>
      <c r="F1639">
        <f t="shared" si="178"/>
        <v>2013</v>
      </c>
      <c r="G1639">
        <f t="shared" si="179"/>
        <v>2</v>
      </c>
      <c r="H1639">
        <f t="shared" si="180"/>
        <v>8</v>
      </c>
      <c r="I1639" t="str">
        <f t="shared" si="181"/>
        <v>13</v>
      </c>
    </row>
    <row r="1640" spans="1:9" x14ac:dyDescent="0.25">
      <c r="A1640" s="19">
        <v>42419</v>
      </c>
      <c r="B1640" s="20">
        <v>4.8611111111111112E-3</v>
      </c>
      <c r="C1640" t="str">
        <f t="shared" si="175"/>
        <v>16</v>
      </c>
      <c r="D1640" t="str">
        <f t="shared" si="176"/>
        <v>02</v>
      </c>
      <c r="E1640" t="str">
        <f t="shared" si="177"/>
        <v>19</v>
      </c>
      <c r="F1640">
        <f t="shared" si="178"/>
        <v>2016</v>
      </c>
      <c r="G1640">
        <f t="shared" si="179"/>
        <v>2</v>
      </c>
      <c r="H1640">
        <f t="shared" si="180"/>
        <v>19</v>
      </c>
      <c r="I1640" t="str">
        <f t="shared" si="181"/>
        <v>16</v>
      </c>
    </row>
    <row r="1641" spans="1:9" x14ac:dyDescent="0.25">
      <c r="A1641" s="19">
        <v>41708</v>
      </c>
      <c r="B1641" s="20">
        <v>4.8611111111111112E-2</v>
      </c>
      <c r="C1641" t="str">
        <f t="shared" si="175"/>
        <v>14</v>
      </c>
      <c r="D1641" t="str">
        <f t="shared" si="176"/>
        <v>03</v>
      </c>
      <c r="E1641" t="str">
        <f t="shared" si="177"/>
        <v>10</v>
      </c>
      <c r="F1641">
        <f t="shared" si="178"/>
        <v>2014</v>
      </c>
      <c r="G1641">
        <f t="shared" si="179"/>
        <v>3</v>
      </c>
      <c r="H1641">
        <f t="shared" si="180"/>
        <v>10</v>
      </c>
      <c r="I1641" t="str">
        <f t="shared" si="181"/>
        <v>14</v>
      </c>
    </row>
    <row r="1642" spans="1:9" x14ac:dyDescent="0.25">
      <c r="A1642" s="19">
        <v>41637</v>
      </c>
      <c r="B1642" s="20">
        <v>6.3194444444444442E-2</v>
      </c>
      <c r="C1642" t="str">
        <f t="shared" si="175"/>
        <v>13</v>
      </c>
      <c r="D1642" t="str">
        <f t="shared" si="176"/>
        <v>12</v>
      </c>
      <c r="E1642" t="str">
        <f t="shared" si="177"/>
        <v>29</v>
      </c>
      <c r="F1642">
        <f t="shared" si="178"/>
        <v>2013</v>
      </c>
      <c r="G1642">
        <f t="shared" si="179"/>
        <v>12</v>
      </c>
      <c r="H1642">
        <f t="shared" si="180"/>
        <v>29</v>
      </c>
      <c r="I1642" t="str">
        <f t="shared" si="181"/>
        <v>13</v>
      </c>
    </row>
    <row r="1643" spans="1:9" x14ac:dyDescent="0.25">
      <c r="A1643" s="19">
        <v>41892</v>
      </c>
      <c r="B1643" s="20">
        <v>0.9819444444444444</v>
      </c>
      <c r="C1643" t="str">
        <f t="shared" si="175"/>
        <v>14</v>
      </c>
      <c r="D1643" t="str">
        <f t="shared" si="176"/>
        <v>09</v>
      </c>
      <c r="E1643" t="str">
        <f t="shared" si="177"/>
        <v>10</v>
      </c>
      <c r="F1643">
        <f t="shared" si="178"/>
        <v>2014</v>
      </c>
      <c r="G1643">
        <f t="shared" si="179"/>
        <v>9</v>
      </c>
      <c r="H1643">
        <f t="shared" si="180"/>
        <v>10</v>
      </c>
      <c r="I1643" t="str">
        <f t="shared" si="181"/>
        <v>14</v>
      </c>
    </row>
    <row r="1644" spans="1:9" x14ac:dyDescent="0.25">
      <c r="A1644" s="19">
        <v>41904</v>
      </c>
      <c r="B1644" s="20">
        <v>1.5277777777777777E-2</v>
      </c>
      <c r="C1644" t="str">
        <f t="shared" si="175"/>
        <v>14</v>
      </c>
      <c r="D1644" t="str">
        <f t="shared" si="176"/>
        <v>09</v>
      </c>
      <c r="E1644" t="str">
        <f t="shared" si="177"/>
        <v>22</v>
      </c>
      <c r="F1644">
        <f t="shared" si="178"/>
        <v>2014</v>
      </c>
      <c r="G1644">
        <f t="shared" si="179"/>
        <v>9</v>
      </c>
      <c r="H1644">
        <f t="shared" si="180"/>
        <v>22</v>
      </c>
      <c r="I1644" t="str">
        <f t="shared" si="181"/>
        <v>14</v>
      </c>
    </row>
    <row r="1645" spans="1:9" x14ac:dyDescent="0.25">
      <c r="A1645" s="19">
        <v>41652</v>
      </c>
      <c r="B1645" s="20">
        <v>8.1944444444444445E-2</v>
      </c>
      <c r="C1645" t="str">
        <f t="shared" si="175"/>
        <v>14</v>
      </c>
      <c r="D1645" t="str">
        <f t="shared" si="176"/>
        <v>01</v>
      </c>
      <c r="E1645" t="str">
        <f t="shared" si="177"/>
        <v>13</v>
      </c>
      <c r="F1645">
        <f t="shared" si="178"/>
        <v>2014</v>
      </c>
      <c r="G1645">
        <f t="shared" si="179"/>
        <v>1</v>
      </c>
      <c r="H1645">
        <f t="shared" si="180"/>
        <v>13</v>
      </c>
      <c r="I1645" t="str">
        <f t="shared" si="181"/>
        <v>14</v>
      </c>
    </row>
    <row r="1646" spans="1:9" x14ac:dyDescent="0.25">
      <c r="A1646" s="19">
        <v>41142</v>
      </c>
      <c r="B1646" s="20">
        <v>5.7638888888888892E-2</v>
      </c>
      <c r="C1646" t="str">
        <f t="shared" si="175"/>
        <v>12</v>
      </c>
      <c r="D1646" t="str">
        <f t="shared" si="176"/>
        <v>08</v>
      </c>
      <c r="E1646" t="str">
        <f t="shared" si="177"/>
        <v>21</v>
      </c>
      <c r="F1646">
        <f t="shared" si="178"/>
        <v>2012</v>
      </c>
      <c r="G1646">
        <f t="shared" si="179"/>
        <v>8</v>
      </c>
      <c r="H1646">
        <f t="shared" si="180"/>
        <v>21</v>
      </c>
      <c r="I1646" t="str">
        <f t="shared" si="181"/>
        <v>12</v>
      </c>
    </row>
    <row r="1647" spans="1:9" x14ac:dyDescent="0.25">
      <c r="A1647" s="19">
        <v>42727</v>
      </c>
      <c r="B1647" s="20">
        <v>0.96458333333333335</v>
      </c>
      <c r="C1647" t="str">
        <f t="shared" si="175"/>
        <v>16</v>
      </c>
      <c r="D1647" t="str">
        <f t="shared" si="176"/>
        <v>12</v>
      </c>
      <c r="E1647" t="str">
        <f t="shared" si="177"/>
        <v>23</v>
      </c>
      <c r="F1647">
        <f t="shared" si="178"/>
        <v>2016</v>
      </c>
      <c r="G1647">
        <f t="shared" si="179"/>
        <v>12</v>
      </c>
      <c r="H1647">
        <f t="shared" si="180"/>
        <v>23</v>
      </c>
      <c r="I1647" t="str">
        <f t="shared" si="181"/>
        <v>16</v>
      </c>
    </row>
    <row r="1648" spans="1:9" x14ac:dyDescent="0.25">
      <c r="A1648" s="19">
        <v>41292</v>
      </c>
      <c r="B1648" s="20">
        <v>1.3888888888888888E-2</v>
      </c>
      <c r="C1648" t="str">
        <f t="shared" si="175"/>
        <v>13</v>
      </c>
      <c r="D1648" t="str">
        <f t="shared" si="176"/>
        <v>01</v>
      </c>
      <c r="E1648" t="str">
        <f t="shared" si="177"/>
        <v>18</v>
      </c>
      <c r="F1648">
        <f t="shared" si="178"/>
        <v>2013</v>
      </c>
      <c r="G1648">
        <f t="shared" si="179"/>
        <v>1</v>
      </c>
      <c r="H1648">
        <f t="shared" si="180"/>
        <v>18</v>
      </c>
      <c r="I1648" t="str">
        <f t="shared" si="181"/>
        <v>13</v>
      </c>
    </row>
    <row r="1649" spans="1:9" x14ac:dyDescent="0.25">
      <c r="A1649" s="19">
        <v>41239</v>
      </c>
      <c r="B1649" s="20">
        <v>2.5694444444444443E-2</v>
      </c>
      <c r="C1649" t="str">
        <f t="shared" si="175"/>
        <v>12</v>
      </c>
      <c r="D1649" t="str">
        <f t="shared" si="176"/>
        <v>11</v>
      </c>
      <c r="E1649" t="str">
        <f t="shared" si="177"/>
        <v>26</v>
      </c>
      <c r="F1649">
        <f t="shared" si="178"/>
        <v>2012</v>
      </c>
      <c r="G1649">
        <f t="shared" si="179"/>
        <v>11</v>
      </c>
      <c r="H1649">
        <f t="shared" si="180"/>
        <v>26</v>
      </c>
      <c r="I1649" t="str">
        <f t="shared" si="181"/>
        <v>12</v>
      </c>
    </row>
    <row r="1650" spans="1:9" x14ac:dyDescent="0.25">
      <c r="A1650" s="19">
        <v>41798</v>
      </c>
      <c r="B1650" s="20">
        <v>2.2916666666666665E-2</v>
      </c>
      <c r="C1650" t="str">
        <f t="shared" si="175"/>
        <v>14</v>
      </c>
      <c r="D1650" t="str">
        <f t="shared" si="176"/>
        <v>06</v>
      </c>
      <c r="E1650" t="str">
        <f t="shared" si="177"/>
        <v>08</v>
      </c>
      <c r="F1650">
        <f t="shared" si="178"/>
        <v>2014</v>
      </c>
      <c r="G1650">
        <f t="shared" si="179"/>
        <v>6</v>
      </c>
      <c r="H1650">
        <f t="shared" si="180"/>
        <v>8</v>
      </c>
      <c r="I1650" t="str">
        <f t="shared" si="181"/>
        <v>14</v>
      </c>
    </row>
    <row r="1651" spans="1:9" x14ac:dyDescent="0.25">
      <c r="A1651" s="19">
        <v>41418</v>
      </c>
      <c r="B1651" s="20">
        <v>0.97083333333333333</v>
      </c>
      <c r="C1651" t="str">
        <f t="shared" si="175"/>
        <v>13</v>
      </c>
      <c r="D1651" t="str">
        <f t="shared" si="176"/>
        <v>05</v>
      </c>
      <c r="E1651" t="str">
        <f t="shared" si="177"/>
        <v>24</v>
      </c>
      <c r="F1651">
        <f t="shared" si="178"/>
        <v>2013</v>
      </c>
      <c r="G1651">
        <f t="shared" si="179"/>
        <v>5</v>
      </c>
      <c r="H1651">
        <f t="shared" si="180"/>
        <v>24</v>
      </c>
      <c r="I1651" t="str">
        <f t="shared" si="181"/>
        <v>13</v>
      </c>
    </row>
    <row r="1652" spans="1:9" x14ac:dyDescent="0.25">
      <c r="A1652" s="19">
        <v>41112</v>
      </c>
      <c r="B1652" s="20">
        <v>4.4444444444444446E-2</v>
      </c>
      <c r="C1652" t="str">
        <f t="shared" si="175"/>
        <v>12</v>
      </c>
      <c r="D1652" t="str">
        <f t="shared" si="176"/>
        <v>07</v>
      </c>
      <c r="E1652" t="str">
        <f t="shared" si="177"/>
        <v>22</v>
      </c>
      <c r="F1652">
        <f t="shared" si="178"/>
        <v>2012</v>
      </c>
      <c r="G1652">
        <f t="shared" si="179"/>
        <v>7</v>
      </c>
      <c r="H1652">
        <f t="shared" si="180"/>
        <v>22</v>
      </c>
      <c r="I1652" t="str">
        <f t="shared" si="181"/>
        <v>12</v>
      </c>
    </row>
    <row r="1653" spans="1:9" x14ac:dyDescent="0.25">
      <c r="A1653" s="19">
        <v>42479</v>
      </c>
      <c r="B1653" s="20">
        <v>3.0555555555555555E-2</v>
      </c>
      <c r="C1653" t="str">
        <f t="shared" si="175"/>
        <v>16</v>
      </c>
      <c r="D1653" t="str">
        <f t="shared" si="176"/>
        <v>04</v>
      </c>
      <c r="E1653" t="str">
        <f t="shared" si="177"/>
        <v>19</v>
      </c>
      <c r="F1653">
        <f t="shared" si="178"/>
        <v>2016</v>
      </c>
      <c r="G1653">
        <f t="shared" si="179"/>
        <v>4</v>
      </c>
      <c r="H1653">
        <f t="shared" si="180"/>
        <v>19</v>
      </c>
      <c r="I1653" t="str">
        <f t="shared" si="181"/>
        <v>16</v>
      </c>
    </row>
    <row r="1654" spans="1:9" x14ac:dyDescent="0.25">
      <c r="A1654" s="19">
        <v>41977</v>
      </c>
      <c r="B1654" s="20">
        <v>0</v>
      </c>
      <c r="C1654" t="str">
        <f t="shared" si="175"/>
        <v>14</v>
      </c>
      <c r="D1654" t="str">
        <f t="shared" si="176"/>
        <v>12</v>
      </c>
      <c r="E1654" t="str">
        <f t="shared" si="177"/>
        <v>04</v>
      </c>
      <c r="F1654">
        <f t="shared" si="178"/>
        <v>2014</v>
      </c>
      <c r="G1654">
        <f t="shared" si="179"/>
        <v>12</v>
      </c>
      <c r="H1654">
        <f t="shared" si="180"/>
        <v>4</v>
      </c>
      <c r="I1654" t="str">
        <f t="shared" si="181"/>
        <v>14</v>
      </c>
    </row>
    <row r="1655" spans="1:9" x14ac:dyDescent="0.25">
      <c r="A1655" s="19">
        <v>41759</v>
      </c>
      <c r="B1655" s="20">
        <v>4.027777777777778E-2</v>
      </c>
      <c r="C1655" t="str">
        <f t="shared" si="175"/>
        <v>14</v>
      </c>
      <c r="D1655" t="str">
        <f t="shared" si="176"/>
        <v>04</v>
      </c>
      <c r="E1655" t="str">
        <f t="shared" si="177"/>
        <v>30</v>
      </c>
      <c r="F1655">
        <f t="shared" si="178"/>
        <v>2014</v>
      </c>
      <c r="G1655">
        <f t="shared" si="179"/>
        <v>4</v>
      </c>
      <c r="H1655">
        <f t="shared" si="180"/>
        <v>30</v>
      </c>
      <c r="I1655" t="str">
        <f t="shared" si="181"/>
        <v>14</v>
      </c>
    </row>
    <row r="1656" spans="1:9" x14ac:dyDescent="0.25">
      <c r="A1656" s="19">
        <v>41594</v>
      </c>
      <c r="B1656" s="20">
        <v>8.9583333333333334E-2</v>
      </c>
      <c r="C1656" t="str">
        <f t="shared" si="175"/>
        <v>13</v>
      </c>
      <c r="D1656" t="str">
        <f t="shared" si="176"/>
        <v>11</v>
      </c>
      <c r="E1656" t="str">
        <f t="shared" si="177"/>
        <v>16</v>
      </c>
      <c r="F1656">
        <f t="shared" si="178"/>
        <v>2013</v>
      </c>
      <c r="G1656">
        <f t="shared" si="179"/>
        <v>11</v>
      </c>
      <c r="H1656">
        <f t="shared" si="180"/>
        <v>16</v>
      </c>
      <c r="I1656" t="str">
        <f t="shared" si="181"/>
        <v>13</v>
      </c>
    </row>
    <row r="1657" spans="1:9" x14ac:dyDescent="0.25">
      <c r="A1657" s="19">
        <v>41709</v>
      </c>
      <c r="B1657" s="20">
        <v>7.2222222222222215E-2</v>
      </c>
      <c r="C1657" t="str">
        <f t="shared" si="175"/>
        <v>14</v>
      </c>
      <c r="D1657" t="str">
        <f t="shared" si="176"/>
        <v>03</v>
      </c>
      <c r="E1657" t="str">
        <f t="shared" si="177"/>
        <v>11</v>
      </c>
      <c r="F1657">
        <f t="shared" si="178"/>
        <v>2014</v>
      </c>
      <c r="G1657">
        <f t="shared" si="179"/>
        <v>3</v>
      </c>
      <c r="H1657">
        <f t="shared" si="180"/>
        <v>11</v>
      </c>
      <c r="I1657" t="str">
        <f t="shared" si="181"/>
        <v>14</v>
      </c>
    </row>
    <row r="1658" spans="1:9" x14ac:dyDescent="0.25">
      <c r="A1658" s="19">
        <v>41314</v>
      </c>
      <c r="B1658" s="20">
        <v>6.8750000000000006E-2</v>
      </c>
      <c r="C1658" t="str">
        <f t="shared" si="175"/>
        <v>13</v>
      </c>
      <c r="D1658" t="str">
        <f t="shared" si="176"/>
        <v>02</v>
      </c>
      <c r="E1658" t="str">
        <f t="shared" si="177"/>
        <v>09</v>
      </c>
      <c r="F1658">
        <f t="shared" si="178"/>
        <v>2013</v>
      </c>
      <c r="G1658">
        <f t="shared" si="179"/>
        <v>2</v>
      </c>
      <c r="H1658">
        <f t="shared" si="180"/>
        <v>9</v>
      </c>
      <c r="I1658" t="str">
        <f t="shared" si="181"/>
        <v>13</v>
      </c>
    </row>
    <row r="1659" spans="1:9" x14ac:dyDescent="0.25">
      <c r="A1659" s="19">
        <v>41158</v>
      </c>
      <c r="B1659" s="20">
        <v>6.1805555555555558E-2</v>
      </c>
      <c r="C1659" t="str">
        <f t="shared" si="175"/>
        <v>12</v>
      </c>
      <c r="D1659" t="str">
        <f t="shared" si="176"/>
        <v>09</v>
      </c>
      <c r="E1659" t="str">
        <f t="shared" si="177"/>
        <v>06</v>
      </c>
      <c r="F1659">
        <f t="shared" si="178"/>
        <v>2012</v>
      </c>
      <c r="G1659">
        <f t="shared" si="179"/>
        <v>9</v>
      </c>
      <c r="H1659">
        <f t="shared" si="180"/>
        <v>6</v>
      </c>
      <c r="I1659" t="str">
        <f t="shared" si="181"/>
        <v>12</v>
      </c>
    </row>
    <row r="1660" spans="1:9" x14ac:dyDescent="0.25">
      <c r="A1660" s="19">
        <v>41909</v>
      </c>
      <c r="B1660" s="20">
        <v>4.5138888888888888E-2</v>
      </c>
      <c r="C1660" t="str">
        <f t="shared" si="175"/>
        <v>14</v>
      </c>
      <c r="D1660" t="str">
        <f t="shared" si="176"/>
        <v>09</v>
      </c>
      <c r="E1660" t="str">
        <f t="shared" si="177"/>
        <v>27</v>
      </c>
      <c r="F1660">
        <f t="shared" si="178"/>
        <v>2014</v>
      </c>
      <c r="G1660">
        <f t="shared" si="179"/>
        <v>9</v>
      </c>
      <c r="H1660">
        <f t="shared" si="180"/>
        <v>27</v>
      </c>
      <c r="I1660" t="str">
        <f t="shared" si="181"/>
        <v>14</v>
      </c>
    </row>
    <row r="1661" spans="1:9" x14ac:dyDescent="0.25">
      <c r="A1661" s="19">
        <v>41031</v>
      </c>
      <c r="B1661" s="20">
        <v>2.0833333333333332E-2</v>
      </c>
      <c r="C1661" t="str">
        <f t="shared" si="175"/>
        <v>12</v>
      </c>
      <c r="D1661" t="str">
        <f t="shared" si="176"/>
        <v>05</v>
      </c>
      <c r="E1661" t="str">
        <f t="shared" si="177"/>
        <v>02</v>
      </c>
      <c r="F1661">
        <f t="shared" si="178"/>
        <v>2012</v>
      </c>
      <c r="G1661">
        <f t="shared" si="179"/>
        <v>5</v>
      </c>
      <c r="H1661">
        <f t="shared" si="180"/>
        <v>2</v>
      </c>
      <c r="I1661" t="str">
        <f t="shared" si="181"/>
        <v>12</v>
      </c>
    </row>
    <row r="1662" spans="1:9" x14ac:dyDescent="0.25">
      <c r="A1662" s="19">
        <v>41077</v>
      </c>
      <c r="B1662" s="20">
        <v>4.2361111111111113E-2</v>
      </c>
      <c r="C1662" t="str">
        <f t="shared" si="175"/>
        <v>12</v>
      </c>
      <c r="D1662" t="str">
        <f t="shared" si="176"/>
        <v>06</v>
      </c>
      <c r="E1662" t="str">
        <f t="shared" si="177"/>
        <v>17</v>
      </c>
      <c r="F1662">
        <f t="shared" si="178"/>
        <v>2012</v>
      </c>
      <c r="G1662">
        <f t="shared" si="179"/>
        <v>6</v>
      </c>
      <c r="H1662">
        <f t="shared" si="180"/>
        <v>17</v>
      </c>
      <c r="I1662" t="str">
        <f t="shared" si="181"/>
        <v>12</v>
      </c>
    </row>
    <row r="1663" spans="1:9" x14ac:dyDescent="0.25">
      <c r="A1663" s="19">
        <v>41686</v>
      </c>
      <c r="B1663" s="20">
        <v>0.98472222222222228</v>
      </c>
      <c r="C1663" t="str">
        <f t="shared" si="175"/>
        <v>14</v>
      </c>
      <c r="D1663" t="str">
        <f t="shared" si="176"/>
        <v>02</v>
      </c>
      <c r="E1663" t="str">
        <f t="shared" si="177"/>
        <v>16</v>
      </c>
      <c r="F1663">
        <f t="shared" si="178"/>
        <v>2014</v>
      </c>
      <c r="G1663">
        <f t="shared" si="179"/>
        <v>2</v>
      </c>
      <c r="H1663">
        <f t="shared" si="180"/>
        <v>16</v>
      </c>
      <c r="I1663" t="str">
        <f t="shared" si="181"/>
        <v>14</v>
      </c>
    </row>
    <row r="1664" spans="1:9" x14ac:dyDescent="0.25">
      <c r="A1664" s="19">
        <v>41153</v>
      </c>
      <c r="B1664" s="20">
        <v>0.59722222222222221</v>
      </c>
      <c r="C1664" t="str">
        <f t="shared" si="175"/>
        <v>12</v>
      </c>
      <c r="D1664" t="str">
        <f t="shared" si="176"/>
        <v>09</v>
      </c>
      <c r="E1664" t="str">
        <f t="shared" si="177"/>
        <v>01</v>
      </c>
      <c r="F1664">
        <f t="shared" si="178"/>
        <v>2012</v>
      </c>
      <c r="G1664">
        <f t="shared" si="179"/>
        <v>9</v>
      </c>
      <c r="H1664">
        <f t="shared" si="180"/>
        <v>1</v>
      </c>
      <c r="I1664" t="str">
        <f t="shared" si="181"/>
        <v>12</v>
      </c>
    </row>
    <row r="1665" spans="1:9" x14ac:dyDescent="0.25">
      <c r="A1665" s="19">
        <v>41215</v>
      </c>
      <c r="B1665" s="20">
        <v>0.98819444444444449</v>
      </c>
      <c r="C1665" t="str">
        <f t="shared" si="175"/>
        <v>12</v>
      </c>
      <c r="D1665" t="str">
        <f t="shared" si="176"/>
        <v>11</v>
      </c>
      <c r="E1665" t="str">
        <f t="shared" si="177"/>
        <v>02</v>
      </c>
      <c r="F1665">
        <f t="shared" si="178"/>
        <v>2012</v>
      </c>
      <c r="G1665">
        <f t="shared" si="179"/>
        <v>11</v>
      </c>
      <c r="H1665">
        <f t="shared" si="180"/>
        <v>2</v>
      </c>
      <c r="I1665" t="str">
        <f t="shared" si="181"/>
        <v>12</v>
      </c>
    </row>
    <row r="1666" spans="1:9" x14ac:dyDescent="0.25">
      <c r="A1666" s="19">
        <v>41575</v>
      </c>
      <c r="B1666" s="20">
        <v>1.8749999999999999E-2</v>
      </c>
      <c r="C1666" t="str">
        <f t="shared" si="175"/>
        <v>13</v>
      </c>
      <c r="D1666" t="str">
        <f t="shared" si="176"/>
        <v>10</v>
      </c>
      <c r="E1666" t="str">
        <f t="shared" si="177"/>
        <v>28</v>
      </c>
      <c r="F1666">
        <f t="shared" si="178"/>
        <v>2013</v>
      </c>
      <c r="G1666">
        <f t="shared" si="179"/>
        <v>10</v>
      </c>
      <c r="H1666">
        <f t="shared" si="180"/>
        <v>28</v>
      </c>
      <c r="I1666" t="str">
        <f t="shared" si="181"/>
        <v>13</v>
      </c>
    </row>
    <row r="1667" spans="1:9" x14ac:dyDescent="0.25">
      <c r="A1667" s="19">
        <v>41639</v>
      </c>
      <c r="B1667" s="20">
        <v>2.7083333333333334E-2</v>
      </c>
      <c r="C1667" t="str">
        <f t="shared" ref="C1667:C1730" si="182">TEXT(A1667,"YY")</f>
        <v>13</v>
      </c>
      <c r="D1667" t="str">
        <f t="shared" ref="D1667:D1730" si="183">TEXT(A1667,"mm")</f>
        <v>12</v>
      </c>
      <c r="E1667" t="str">
        <f t="shared" ref="E1667:E1730" si="184">TEXT(A1667,"dd")</f>
        <v>31</v>
      </c>
      <c r="F1667">
        <f t="shared" ref="F1667:F1730" si="185">YEAR($A1667)</f>
        <v>2013</v>
      </c>
      <c r="G1667">
        <f t="shared" ref="G1667:G1730" si="186">MONTH($A1667)</f>
        <v>12</v>
      </c>
      <c r="H1667">
        <f t="shared" ref="H1667:H1730" si="187">DAY($A1667)</f>
        <v>31</v>
      </c>
      <c r="I1667" t="str">
        <f t="shared" ref="I1667:I1730" si="188">TEXT($A1667,"YY")</f>
        <v>13</v>
      </c>
    </row>
    <row r="1668" spans="1:9" x14ac:dyDescent="0.25">
      <c r="A1668" s="19">
        <v>42552</v>
      </c>
      <c r="B1668" s="20">
        <v>7.2916666666666671E-2</v>
      </c>
      <c r="C1668" t="str">
        <f t="shared" si="182"/>
        <v>16</v>
      </c>
      <c r="D1668" t="str">
        <f t="shared" si="183"/>
        <v>07</v>
      </c>
      <c r="E1668" t="str">
        <f t="shared" si="184"/>
        <v>01</v>
      </c>
      <c r="F1668">
        <f t="shared" si="185"/>
        <v>2016</v>
      </c>
      <c r="G1668">
        <f t="shared" si="186"/>
        <v>7</v>
      </c>
      <c r="H1668">
        <f t="shared" si="187"/>
        <v>1</v>
      </c>
      <c r="I1668" t="str">
        <f t="shared" si="188"/>
        <v>16</v>
      </c>
    </row>
    <row r="1669" spans="1:9" x14ac:dyDescent="0.25">
      <c r="A1669" s="19">
        <v>42151</v>
      </c>
      <c r="B1669" s="20">
        <v>5.9722222222222225E-2</v>
      </c>
      <c r="C1669" t="str">
        <f t="shared" si="182"/>
        <v>15</v>
      </c>
      <c r="D1669" t="str">
        <f t="shared" si="183"/>
        <v>05</v>
      </c>
      <c r="E1669" t="str">
        <f t="shared" si="184"/>
        <v>27</v>
      </c>
      <c r="F1669">
        <f t="shared" si="185"/>
        <v>2015</v>
      </c>
      <c r="G1669">
        <f t="shared" si="186"/>
        <v>5</v>
      </c>
      <c r="H1669">
        <f t="shared" si="187"/>
        <v>27</v>
      </c>
      <c r="I1669" t="str">
        <f t="shared" si="188"/>
        <v>15</v>
      </c>
    </row>
    <row r="1670" spans="1:9" x14ac:dyDescent="0.25">
      <c r="A1670" s="19">
        <v>41300</v>
      </c>
      <c r="B1670" s="20">
        <v>0.98611111111111116</v>
      </c>
      <c r="C1670" t="str">
        <f t="shared" si="182"/>
        <v>13</v>
      </c>
      <c r="D1670" t="str">
        <f t="shared" si="183"/>
        <v>01</v>
      </c>
      <c r="E1670" t="str">
        <f t="shared" si="184"/>
        <v>26</v>
      </c>
      <c r="F1670">
        <f t="shared" si="185"/>
        <v>2013</v>
      </c>
      <c r="G1670">
        <f t="shared" si="186"/>
        <v>1</v>
      </c>
      <c r="H1670">
        <f t="shared" si="187"/>
        <v>26</v>
      </c>
      <c r="I1670" t="str">
        <f t="shared" si="188"/>
        <v>13</v>
      </c>
    </row>
    <row r="1671" spans="1:9" x14ac:dyDescent="0.25">
      <c r="A1671" s="19">
        <v>42486</v>
      </c>
      <c r="B1671" s="20">
        <v>5.8333333333333334E-2</v>
      </c>
      <c r="C1671" t="str">
        <f t="shared" si="182"/>
        <v>16</v>
      </c>
      <c r="D1671" t="str">
        <f t="shared" si="183"/>
        <v>04</v>
      </c>
      <c r="E1671" t="str">
        <f t="shared" si="184"/>
        <v>26</v>
      </c>
      <c r="F1671">
        <f t="shared" si="185"/>
        <v>2016</v>
      </c>
      <c r="G1671">
        <f t="shared" si="186"/>
        <v>4</v>
      </c>
      <c r="H1671">
        <f t="shared" si="187"/>
        <v>26</v>
      </c>
      <c r="I1671" t="str">
        <f t="shared" si="188"/>
        <v>16</v>
      </c>
    </row>
    <row r="1672" spans="1:9" x14ac:dyDescent="0.25">
      <c r="A1672" s="19">
        <v>41258</v>
      </c>
      <c r="B1672" s="20">
        <v>0.97638888888888886</v>
      </c>
      <c r="C1672" t="str">
        <f t="shared" si="182"/>
        <v>12</v>
      </c>
      <c r="D1672" t="str">
        <f t="shared" si="183"/>
        <v>12</v>
      </c>
      <c r="E1672" t="str">
        <f t="shared" si="184"/>
        <v>15</v>
      </c>
      <c r="F1672">
        <f t="shared" si="185"/>
        <v>2012</v>
      </c>
      <c r="G1672">
        <f t="shared" si="186"/>
        <v>12</v>
      </c>
      <c r="H1672">
        <f t="shared" si="187"/>
        <v>15</v>
      </c>
      <c r="I1672" t="str">
        <f t="shared" si="188"/>
        <v>12</v>
      </c>
    </row>
    <row r="1673" spans="1:9" x14ac:dyDescent="0.25">
      <c r="A1673" s="19">
        <v>41854</v>
      </c>
      <c r="B1673" s="20">
        <v>0.95277777777777772</v>
      </c>
      <c r="C1673" t="str">
        <f t="shared" si="182"/>
        <v>14</v>
      </c>
      <c r="D1673" t="str">
        <f t="shared" si="183"/>
        <v>08</v>
      </c>
      <c r="E1673" t="str">
        <f t="shared" si="184"/>
        <v>03</v>
      </c>
      <c r="F1673">
        <f t="shared" si="185"/>
        <v>2014</v>
      </c>
      <c r="G1673">
        <f t="shared" si="186"/>
        <v>8</v>
      </c>
      <c r="H1673">
        <f t="shared" si="187"/>
        <v>3</v>
      </c>
      <c r="I1673" t="str">
        <f t="shared" si="188"/>
        <v>14</v>
      </c>
    </row>
    <row r="1674" spans="1:9" x14ac:dyDescent="0.25">
      <c r="A1674" s="19">
        <v>41930</v>
      </c>
      <c r="B1674" s="20">
        <v>1.7361111111111112E-2</v>
      </c>
      <c r="C1674" t="str">
        <f t="shared" si="182"/>
        <v>14</v>
      </c>
      <c r="D1674" t="str">
        <f t="shared" si="183"/>
        <v>10</v>
      </c>
      <c r="E1674" t="str">
        <f t="shared" si="184"/>
        <v>18</v>
      </c>
      <c r="F1674">
        <f t="shared" si="185"/>
        <v>2014</v>
      </c>
      <c r="G1674">
        <f t="shared" si="186"/>
        <v>10</v>
      </c>
      <c r="H1674">
        <f t="shared" si="187"/>
        <v>18</v>
      </c>
      <c r="I1674" t="str">
        <f t="shared" si="188"/>
        <v>14</v>
      </c>
    </row>
    <row r="1675" spans="1:9" x14ac:dyDescent="0.25">
      <c r="A1675" s="19">
        <v>41900</v>
      </c>
      <c r="B1675" s="20">
        <v>2.0833333333333332E-2</v>
      </c>
      <c r="C1675" t="str">
        <f t="shared" si="182"/>
        <v>14</v>
      </c>
      <c r="D1675" t="str">
        <f t="shared" si="183"/>
        <v>09</v>
      </c>
      <c r="E1675" t="str">
        <f t="shared" si="184"/>
        <v>18</v>
      </c>
      <c r="F1675">
        <f t="shared" si="185"/>
        <v>2014</v>
      </c>
      <c r="G1675">
        <f t="shared" si="186"/>
        <v>9</v>
      </c>
      <c r="H1675">
        <f t="shared" si="187"/>
        <v>18</v>
      </c>
      <c r="I1675" t="str">
        <f t="shared" si="188"/>
        <v>14</v>
      </c>
    </row>
    <row r="1676" spans="1:9" x14ac:dyDescent="0.25">
      <c r="A1676" s="19">
        <v>41957</v>
      </c>
      <c r="B1676" s="20">
        <v>0.05</v>
      </c>
      <c r="C1676" t="str">
        <f t="shared" si="182"/>
        <v>14</v>
      </c>
      <c r="D1676" t="str">
        <f t="shared" si="183"/>
        <v>11</v>
      </c>
      <c r="E1676" t="str">
        <f t="shared" si="184"/>
        <v>14</v>
      </c>
      <c r="F1676">
        <f t="shared" si="185"/>
        <v>2014</v>
      </c>
      <c r="G1676">
        <f t="shared" si="186"/>
        <v>11</v>
      </c>
      <c r="H1676">
        <f t="shared" si="187"/>
        <v>14</v>
      </c>
      <c r="I1676" t="str">
        <f t="shared" si="188"/>
        <v>14</v>
      </c>
    </row>
    <row r="1677" spans="1:9" x14ac:dyDescent="0.25">
      <c r="A1677" s="19">
        <v>41684</v>
      </c>
      <c r="B1677" s="20">
        <v>0.95486111111111116</v>
      </c>
      <c r="C1677" t="str">
        <f t="shared" si="182"/>
        <v>14</v>
      </c>
      <c r="D1677" t="str">
        <f t="shared" si="183"/>
        <v>02</v>
      </c>
      <c r="E1677" t="str">
        <f t="shared" si="184"/>
        <v>14</v>
      </c>
      <c r="F1677">
        <f t="shared" si="185"/>
        <v>2014</v>
      </c>
      <c r="G1677">
        <f t="shared" si="186"/>
        <v>2</v>
      </c>
      <c r="H1677">
        <f t="shared" si="187"/>
        <v>14</v>
      </c>
      <c r="I1677" t="str">
        <f t="shared" si="188"/>
        <v>14</v>
      </c>
    </row>
    <row r="1678" spans="1:9" x14ac:dyDescent="0.25">
      <c r="A1678" s="19">
        <v>41696</v>
      </c>
      <c r="B1678" s="20">
        <v>0.98333333333333328</v>
      </c>
      <c r="C1678" t="str">
        <f t="shared" si="182"/>
        <v>14</v>
      </c>
      <c r="D1678" t="str">
        <f t="shared" si="183"/>
        <v>02</v>
      </c>
      <c r="E1678" t="str">
        <f t="shared" si="184"/>
        <v>26</v>
      </c>
      <c r="F1678">
        <f t="shared" si="185"/>
        <v>2014</v>
      </c>
      <c r="G1678">
        <f t="shared" si="186"/>
        <v>2</v>
      </c>
      <c r="H1678">
        <f t="shared" si="187"/>
        <v>26</v>
      </c>
      <c r="I1678" t="str">
        <f t="shared" si="188"/>
        <v>14</v>
      </c>
    </row>
    <row r="1679" spans="1:9" x14ac:dyDescent="0.25">
      <c r="A1679" s="19">
        <v>41544</v>
      </c>
      <c r="B1679" s="20">
        <v>1.8749999999999999E-2</v>
      </c>
      <c r="C1679" t="str">
        <f t="shared" si="182"/>
        <v>13</v>
      </c>
      <c r="D1679" t="str">
        <f t="shared" si="183"/>
        <v>09</v>
      </c>
      <c r="E1679" t="str">
        <f t="shared" si="184"/>
        <v>27</v>
      </c>
      <c r="F1679">
        <f t="shared" si="185"/>
        <v>2013</v>
      </c>
      <c r="G1679">
        <f t="shared" si="186"/>
        <v>9</v>
      </c>
      <c r="H1679">
        <f t="shared" si="187"/>
        <v>27</v>
      </c>
      <c r="I1679" t="str">
        <f t="shared" si="188"/>
        <v>13</v>
      </c>
    </row>
    <row r="1680" spans="1:9" x14ac:dyDescent="0.25">
      <c r="A1680" s="19">
        <v>41730</v>
      </c>
      <c r="B1680" s="20">
        <v>3.888888888888889E-2</v>
      </c>
      <c r="C1680" t="str">
        <f t="shared" si="182"/>
        <v>14</v>
      </c>
      <c r="D1680" t="str">
        <f t="shared" si="183"/>
        <v>04</v>
      </c>
      <c r="E1680" t="str">
        <f t="shared" si="184"/>
        <v>01</v>
      </c>
      <c r="F1680">
        <f t="shared" si="185"/>
        <v>2014</v>
      </c>
      <c r="G1680">
        <f t="shared" si="186"/>
        <v>4</v>
      </c>
      <c r="H1680">
        <f t="shared" si="187"/>
        <v>1</v>
      </c>
      <c r="I1680" t="str">
        <f t="shared" si="188"/>
        <v>14</v>
      </c>
    </row>
    <row r="1681" spans="1:9" x14ac:dyDescent="0.25">
      <c r="A1681" s="19">
        <v>41849</v>
      </c>
      <c r="B1681" s="20">
        <v>1.3888888888888889E-3</v>
      </c>
      <c r="C1681" t="str">
        <f t="shared" si="182"/>
        <v>14</v>
      </c>
      <c r="D1681" t="str">
        <f t="shared" si="183"/>
        <v>07</v>
      </c>
      <c r="E1681" t="str">
        <f t="shared" si="184"/>
        <v>29</v>
      </c>
      <c r="F1681">
        <f t="shared" si="185"/>
        <v>2014</v>
      </c>
      <c r="G1681">
        <f t="shared" si="186"/>
        <v>7</v>
      </c>
      <c r="H1681">
        <f t="shared" si="187"/>
        <v>29</v>
      </c>
      <c r="I1681" t="str">
        <f t="shared" si="188"/>
        <v>14</v>
      </c>
    </row>
    <row r="1682" spans="1:9" x14ac:dyDescent="0.25">
      <c r="A1682" s="19">
        <v>42809</v>
      </c>
      <c r="B1682" s="20">
        <v>0.94374999999999998</v>
      </c>
      <c r="C1682" t="str">
        <f t="shared" si="182"/>
        <v>17</v>
      </c>
      <c r="D1682" t="str">
        <f t="shared" si="183"/>
        <v>03</v>
      </c>
      <c r="E1682" t="str">
        <f t="shared" si="184"/>
        <v>15</v>
      </c>
      <c r="F1682">
        <f t="shared" si="185"/>
        <v>2017</v>
      </c>
      <c r="G1682">
        <f t="shared" si="186"/>
        <v>3</v>
      </c>
      <c r="H1682">
        <f t="shared" si="187"/>
        <v>15</v>
      </c>
      <c r="I1682" t="str">
        <f t="shared" si="188"/>
        <v>17</v>
      </c>
    </row>
    <row r="1683" spans="1:9" x14ac:dyDescent="0.25">
      <c r="A1683" s="19">
        <v>42161</v>
      </c>
      <c r="B1683" s="20">
        <v>0.9916666666666667</v>
      </c>
      <c r="C1683" t="str">
        <f t="shared" si="182"/>
        <v>15</v>
      </c>
      <c r="D1683" t="str">
        <f t="shared" si="183"/>
        <v>06</v>
      </c>
      <c r="E1683" t="str">
        <f t="shared" si="184"/>
        <v>06</v>
      </c>
      <c r="F1683">
        <f t="shared" si="185"/>
        <v>2015</v>
      </c>
      <c r="G1683">
        <f t="shared" si="186"/>
        <v>6</v>
      </c>
      <c r="H1683">
        <f t="shared" si="187"/>
        <v>6</v>
      </c>
      <c r="I1683" t="str">
        <f t="shared" si="188"/>
        <v>15</v>
      </c>
    </row>
    <row r="1684" spans="1:9" x14ac:dyDescent="0.25">
      <c r="A1684" s="19">
        <v>41315</v>
      </c>
      <c r="B1684" s="20">
        <v>4.1666666666666666E-3</v>
      </c>
      <c r="C1684" t="str">
        <f t="shared" si="182"/>
        <v>13</v>
      </c>
      <c r="D1684" t="str">
        <f t="shared" si="183"/>
        <v>02</v>
      </c>
      <c r="E1684" t="str">
        <f t="shared" si="184"/>
        <v>10</v>
      </c>
      <c r="F1684">
        <f t="shared" si="185"/>
        <v>2013</v>
      </c>
      <c r="G1684">
        <f t="shared" si="186"/>
        <v>2</v>
      </c>
      <c r="H1684">
        <f t="shared" si="187"/>
        <v>10</v>
      </c>
      <c r="I1684" t="str">
        <f t="shared" si="188"/>
        <v>13</v>
      </c>
    </row>
    <row r="1685" spans="1:9" x14ac:dyDescent="0.25">
      <c r="A1685" s="19">
        <v>41620</v>
      </c>
      <c r="B1685" s="20">
        <v>6.7361111111111108E-2</v>
      </c>
      <c r="C1685" t="str">
        <f t="shared" si="182"/>
        <v>13</v>
      </c>
      <c r="D1685" t="str">
        <f t="shared" si="183"/>
        <v>12</v>
      </c>
      <c r="E1685" t="str">
        <f t="shared" si="184"/>
        <v>12</v>
      </c>
      <c r="F1685">
        <f t="shared" si="185"/>
        <v>2013</v>
      </c>
      <c r="G1685">
        <f t="shared" si="186"/>
        <v>12</v>
      </c>
      <c r="H1685">
        <f t="shared" si="187"/>
        <v>12</v>
      </c>
      <c r="I1685" t="str">
        <f t="shared" si="188"/>
        <v>13</v>
      </c>
    </row>
    <row r="1686" spans="1:9" x14ac:dyDescent="0.25">
      <c r="A1686" s="19">
        <v>41268</v>
      </c>
      <c r="B1686" s="20">
        <v>5.9027777777777776E-2</v>
      </c>
      <c r="C1686" t="str">
        <f t="shared" si="182"/>
        <v>12</v>
      </c>
      <c r="D1686" t="str">
        <f t="shared" si="183"/>
        <v>12</v>
      </c>
      <c r="E1686" t="str">
        <f t="shared" si="184"/>
        <v>25</v>
      </c>
      <c r="F1686">
        <f t="shared" si="185"/>
        <v>2012</v>
      </c>
      <c r="G1686">
        <f t="shared" si="186"/>
        <v>12</v>
      </c>
      <c r="H1686">
        <f t="shared" si="187"/>
        <v>25</v>
      </c>
      <c r="I1686" t="str">
        <f t="shared" si="188"/>
        <v>12</v>
      </c>
    </row>
    <row r="1687" spans="1:9" x14ac:dyDescent="0.25">
      <c r="A1687" s="19">
        <v>41797</v>
      </c>
      <c r="B1687" s="20">
        <v>0.96388888888888891</v>
      </c>
      <c r="C1687" t="str">
        <f t="shared" si="182"/>
        <v>14</v>
      </c>
      <c r="D1687" t="str">
        <f t="shared" si="183"/>
        <v>06</v>
      </c>
      <c r="E1687" t="str">
        <f t="shared" si="184"/>
        <v>07</v>
      </c>
      <c r="F1687">
        <f t="shared" si="185"/>
        <v>2014</v>
      </c>
      <c r="G1687">
        <f t="shared" si="186"/>
        <v>6</v>
      </c>
      <c r="H1687">
        <f t="shared" si="187"/>
        <v>7</v>
      </c>
      <c r="I1687" t="str">
        <f t="shared" si="188"/>
        <v>14</v>
      </c>
    </row>
    <row r="1688" spans="1:9" x14ac:dyDescent="0.25">
      <c r="A1688" s="19">
        <v>41185</v>
      </c>
      <c r="B1688" s="20">
        <v>4.3055555555555555E-2</v>
      </c>
      <c r="C1688" t="str">
        <f t="shared" si="182"/>
        <v>12</v>
      </c>
      <c r="D1688" t="str">
        <f t="shared" si="183"/>
        <v>10</v>
      </c>
      <c r="E1688" t="str">
        <f t="shared" si="184"/>
        <v>03</v>
      </c>
      <c r="F1688">
        <f t="shared" si="185"/>
        <v>2012</v>
      </c>
      <c r="G1688">
        <f t="shared" si="186"/>
        <v>10</v>
      </c>
      <c r="H1688">
        <f t="shared" si="187"/>
        <v>3</v>
      </c>
      <c r="I1688" t="str">
        <f t="shared" si="188"/>
        <v>12</v>
      </c>
    </row>
    <row r="1689" spans="1:9" x14ac:dyDescent="0.25">
      <c r="A1689" s="19">
        <v>41123</v>
      </c>
      <c r="B1689" s="20">
        <v>0.69722222222222219</v>
      </c>
      <c r="C1689" t="str">
        <f t="shared" si="182"/>
        <v>12</v>
      </c>
      <c r="D1689" t="str">
        <f t="shared" si="183"/>
        <v>08</v>
      </c>
      <c r="E1689" t="str">
        <f t="shared" si="184"/>
        <v>02</v>
      </c>
      <c r="F1689">
        <f t="shared" si="185"/>
        <v>2012</v>
      </c>
      <c r="G1689">
        <f t="shared" si="186"/>
        <v>8</v>
      </c>
      <c r="H1689">
        <f t="shared" si="187"/>
        <v>2</v>
      </c>
      <c r="I1689" t="str">
        <f t="shared" si="188"/>
        <v>12</v>
      </c>
    </row>
    <row r="1690" spans="1:9" x14ac:dyDescent="0.25">
      <c r="A1690" s="19">
        <v>41389</v>
      </c>
      <c r="B1690" s="20">
        <v>4.6527777777777779E-2</v>
      </c>
      <c r="C1690" t="str">
        <f t="shared" si="182"/>
        <v>13</v>
      </c>
      <c r="D1690" t="str">
        <f t="shared" si="183"/>
        <v>04</v>
      </c>
      <c r="E1690" t="str">
        <f t="shared" si="184"/>
        <v>25</v>
      </c>
      <c r="F1690">
        <f t="shared" si="185"/>
        <v>2013</v>
      </c>
      <c r="G1690">
        <f t="shared" si="186"/>
        <v>4</v>
      </c>
      <c r="H1690">
        <f t="shared" si="187"/>
        <v>25</v>
      </c>
      <c r="I1690" t="str">
        <f t="shared" si="188"/>
        <v>13</v>
      </c>
    </row>
    <row r="1691" spans="1:9" x14ac:dyDescent="0.25">
      <c r="A1691" s="19">
        <v>41750</v>
      </c>
      <c r="B1691" s="20">
        <v>1.6666666666666666E-2</v>
      </c>
      <c r="C1691" t="str">
        <f t="shared" si="182"/>
        <v>14</v>
      </c>
      <c r="D1691" t="str">
        <f t="shared" si="183"/>
        <v>04</v>
      </c>
      <c r="E1691" t="str">
        <f t="shared" si="184"/>
        <v>21</v>
      </c>
      <c r="F1691">
        <f t="shared" si="185"/>
        <v>2014</v>
      </c>
      <c r="G1691">
        <f t="shared" si="186"/>
        <v>4</v>
      </c>
      <c r="H1691">
        <f t="shared" si="187"/>
        <v>21</v>
      </c>
      <c r="I1691" t="str">
        <f t="shared" si="188"/>
        <v>14</v>
      </c>
    </row>
    <row r="1692" spans="1:9" x14ac:dyDescent="0.25">
      <c r="A1692" s="19">
        <v>41787</v>
      </c>
      <c r="B1692" s="20">
        <v>0.99652777777777779</v>
      </c>
      <c r="C1692" t="str">
        <f t="shared" si="182"/>
        <v>14</v>
      </c>
      <c r="D1692" t="str">
        <f t="shared" si="183"/>
        <v>05</v>
      </c>
      <c r="E1692" t="str">
        <f t="shared" si="184"/>
        <v>28</v>
      </c>
      <c r="F1692">
        <f t="shared" si="185"/>
        <v>2014</v>
      </c>
      <c r="G1692">
        <f t="shared" si="186"/>
        <v>5</v>
      </c>
      <c r="H1692">
        <f t="shared" si="187"/>
        <v>28</v>
      </c>
      <c r="I1692" t="str">
        <f t="shared" si="188"/>
        <v>14</v>
      </c>
    </row>
    <row r="1693" spans="1:9" x14ac:dyDescent="0.25">
      <c r="A1693" s="19">
        <v>41111</v>
      </c>
      <c r="B1693" s="20">
        <v>5.5555555555555558E-3</v>
      </c>
      <c r="C1693" t="str">
        <f t="shared" si="182"/>
        <v>12</v>
      </c>
      <c r="D1693" t="str">
        <f t="shared" si="183"/>
        <v>07</v>
      </c>
      <c r="E1693" t="str">
        <f t="shared" si="184"/>
        <v>21</v>
      </c>
      <c r="F1693">
        <f t="shared" si="185"/>
        <v>2012</v>
      </c>
      <c r="G1693">
        <f t="shared" si="186"/>
        <v>7</v>
      </c>
      <c r="H1693">
        <f t="shared" si="187"/>
        <v>21</v>
      </c>
      <c r="I1693" t="str">
        <f t="shared" si="188"/>
        <v>12</v>
      </c>
    </row>
    <row r="1694" spans="1:9" x14ac:dyDescent="0.25">
      <c r="A1694" s="19">
        <v>41391</v>
      </c>
      <c r="B1694" s="20">
        <v>6.458333333333334E-2</v>
      </c>
      <c r="C1694" t="str">
        <f t="shared" si="182"/>
        <v>13</v>
      </c>
      <c r="D1694" t="str">
        <f t="shared" si="183"/>
        <v>04</v>
      </c>
      <c r="E1694" t="str">
        <f t="shared" si="184"/>
        <v>27</v>
      </c>
      <c r="F1694">
        <f t="shared" si="185"/>
        <v>2013</v>
      </c>
      <c r="G1694">
        <f t="shared" si="186"/>
        <v>4</v>
      </c>
      <c r="H1694">
        <f t="shared" si="187"/>
        <v>27</v>
      </c>
      <c r="I1694" t="str">
        <f t="shared" si="188"/>
        <v>13</v>
      </c>
    </row>
    <row r="1695" spans="1:9" x14ac:dyDescent="0.25">
      <c r="A1695" s="19">
        <v>42164</v>
      </c>
      <c r="B1695" s="20">
        <v>2.7777777777777779E-3</v>
      </c>
      <c r="C1695" t="str">
        <f t="shared" si="182"/>
        <v>15</v>
      </c>
      <c r="D1695" t="str">
        <f t="shared" si="183"/>
        <v>06</v>
      </c>
      <c r="E1695" t="str">
        <f t="shared" si="184"/>
        <v>09</v>
      </c>
      <c r="F1695">
        <f t="shared" si="185"/>
        <v>2015</v>
      </c>
      <c r="G1695">
        <f t="shared" si="186"/>
        <v>6</v>
      </c>
      <c r="H1695">
        <f t="shared" si="187"/>
        <v>9</v>
      </c>
      <c r="I1695" t="str">
        <f t="shared" si="188"/>
        <v>15</v>
      </c>
    </row>
    <row r="1696" spans="1:9" x14ac:dyDescent="0.25">
      <c r="A1696" s="19">
        <v>41684</v>
      </c>
      <c r="B1696" s="20">
        <v>4.027777777777778E-2</v>
      </c>
      <c r="C1696" t="str">
        <f t="shared" si="182"/>
        <v>14</v>
      </c>
      <c r="D1696" t="str">
        <f t="shared" si="183"/>
        <v>02</v>
      </c>
      <c r="E1696" t="str">
        <f t="shared" si="184"/>
        <v>14</v>
      </c>
      <c r="F1696">
        <f t="shared" si="185"/>
        <v>2014</v>
      </c>
      <c r="G1696">
        <f t="shared" si="186"/>
        <v>2</v>
      </c>
      <c r="H1696">
        <f t="shared" si="187"/>
        <v>14</v>
      </c>
      <c r="I1696" t="str">
        <f t="shared" si="188"/>
        <v>14</v>
      </c>
    </row>
    <row r="1697" spans="1:9" x14ac:dyDescent="0.25">
      <c r="A1697" s="19">
        <v>41475</v>
      </c>
      <c r="B1697" s="20">
        <v>5.2083333333333336E-2</v>
      </c>
      <c r="C1697" t="str">
        <f t="shared" si="182"/>
        <v>13</v>
      </c>
      <c r="D1697" t="str">
        <f t="shared" si="183"/>
        <v>07</v>
      </c>
      <c r="E1697" t="str">
        <f t="shared" si="184"/>
        <v>20</v>
      </c>
      <c r="F1697">
        <f t="shared" si="185"/>
        <v>2013</v>
      </c>
      <c r="G1697">
        <f t="shared" si="186"/>
        <v>7</v>
      </c>
      <c r="H1697">
        <f t="shared" si="187"/>
        <v>20</v>
      </c>
      <c r="I1697" t="str">
        <f t="shared" si="188"/>
        <v>13</v>
      </c>
    </row>
    <row r="1698" spans="1:9" x14ac:dyDescent="0.25">
      <c r="A1698" s="19">
        <v>42679</v>
      </c>
      <c r="B1698" s="20">
        <v>1.5972222222222221E-2</v>
      </c>
      <c r="C1698" t="str">
        <f t="shared" si="182"/>
        <v>16</v>
      </c>
      <c r="D1698" t="str">
        <f t="shared" si="183"/>
        <v>11</v>
      </c>
      <c r="E1698" t="str">
        <f t="shared" si="184"/>
        <v>05</v>
      </c>
      <c r="F1698">
        <f t="shared" si="185"/>
        <v>2016</v>
      </c>
      <c r="G1698">
        <f t="shared" si="186"/>
        <v>11</v>
      </c>
      <c r="H1698">
        <f t="shared" si="187"/>
        <v>5</v>
      </c>
      <c r="I1698" t="str">
        <f t="shared" si="188"/>
        <v>16</v>
      </c>
    </row>
    <row r="1699" spans="1:9" x14ac:dyDescent="0.25">
      <c r="A1699" s="19">
        <v>41203</v>
      </c>
      <c r="B1699" s="20">
        <v>5.9722222222222225E-2</v>
      </c>
      <c r="C1699" t="str">
        <f t="shared" si="182"/>
        <v>12</v>
      </c>
      <c r="D1699" t="str">
        <f t="shared" si="183"/>
        <v>10</v>
      </c>
      <c r="E1699" t="str">
        <f t="shared" si="184"/>
        <v>21</v>
      </c>
      <c r="F1699">
        <f t="shared" si="185"/>
        <v>2012</v>
      </c>
      <c r="G1699">
        <f t="shared" si="186"/>
        <v>10</v>
      </c>
      <c r="H1699">
        <f t="shared" si="187"/>
        <v>21</v>
      </c>
      <c r="I1699" t="str">
        <f t="shared" si="188"/>
        <v>12</v>
      </c>
    </row>
    <row r="1700" spans="1:9" x14ac:dyDescent="0.25">
      <c r="A1700" s="19">
        <v>41429</v>
      </c>
      <c r="B1700" s="20">
        <v>5.2777777777777778E-2</v>
      </c>
      <c r="C1700" t="str">
        <f t="shared" si="182"/>
        <v>13</v>
      </c>
      <c r="D1700" t="str">
        <f t="shared" si="183"/>
        <v>06</v>
      </c>
      <c r="E1700" t="str">
        <f t="shared" si="184"/>
        <v>04</v>
      </c>
      <c r="F1700">
        <f t="shared" si="185"/>
        <v>2013</v>
      </c>
      <c r="G1700">
        <f t="shared" si="186"/>
        <v>6</v>
      </c>
      <c r="H1700">
        <f t="shared" si="187"/>
        <v>4</v>
      </c>
      <c r="I1700" t="str">
        <f t="shared" si="188"/>
        <v>13</v>
      </c>
    </row>
    <row r="1701" spans="1:9" x14ac:dyDescent="0.25">
      <c r="A1701" s="19">
        <v>41222</v>
      </c>
      <c r="B1701" s="20">
        <v>5.5555555555555558E-3</v>
      </c>
      <c r="C1701" t="str">
        <f t="shared" si="182"/>
        <v>12</v>
      </c>
      <c r="D1701" t="str">
        <f t="shared" si="183"/>
        <v>11</v>
      </c>
      <c r="E1701" t="str">
        <f t="shared" si="184"/>
        <v>09</v>
      </c>
      <c r="F1701">
        <f t="shared" si="185"/>
        <v>2012</v>
      </c>
      <c r="G1701">
        <f t="shared" si="186"/>
        <v>11</v>
      </c>
      <c r="H1701">
        <f t="shared" si="187"/>
        <v>9</v>
      </c>
      <c r="I1701" t="str">
        <f t="shared" si="188"/>
        <v>12</v>
      </c>
    </row>
    <row r="1702" spans="1:9" x14ac:dyDescent="0.25">
      <c r="A1702" s="19">
        <v>42530</v>
      </c>
      <c r="B1702" s="20">
        <v>0.95972222222222225</v>
      </c>
      <c r="C1702" t="str">
        <f t="shared" si="182"/>
        <v>16</v>
      </c>
      <c r="D1702" t="str">
        <f t="shared" si="183"/>
        <v>06</v>
      </c>
      <c r="E1702" t="str">
        <f t="shared" si="184"/>
        <v>09</v>
      </c>
      <c r="F1702">
        <f t="shared" si="185"/>
        <v>2016</v>
      </c>
      <c r="G1702">
        <f t="shared" si="186"/>
        <v>6</v>
      </c>
      <c r="H1702">
        <f t="shared" si="187"/>
        <v>9</v>
      </c>
      <c r="I1702" t="str">
        <f t="shared" si="188"/>
        <v>16</v>
      </c>
    </row>
    <row r="1703" spans="1:9" x14ac:dyDescent="0.25">
      <c r="A1703" s="19">
        <v>41881</v>
      </c>
      <c r="B1703" s="20">
        <v>3.6805555555555557E-2</v>
      </c>
      <c r="C1703" t="str">
        <f t="shared" si="182"/>
        <v>14</v>
      </c>
      <c r="D1703" t="str">
        <f t="shared" si="183"/>
        <v>08</v>
      </c>
      <c r="E1703" t="str">
        <f t="shared" si="184"/>
        <v>30</v>
      </c>
      <c r="F1703">
        <f t="shared" si="185"/>
        <v>2014</v>
      </c>
      <c r="G1703">
        <f t="shared" si="186"/>
        <v>8</v>
      </c>
      <c r="H1703">
        <f t="shared" si="187"/>
        <v>30</v>
      </c>
      <c r="I1703" t="str">
        <f t="shared" si="188"/>
        <v>14</v>
      </c>
    </row>
    <row r="1704" spans="1:9" x14ac:dyDescent="0.25">
      <c r="A1704" s="19">
        <v>42694</v>
      </c>
      <c r="B1704" s="20">
        <v>0.95486111111111116</v>
      </c>
      <c r="C1704" t="str">
        <f t="shared" si="182"/>
        <v>16</v>
      </c>
      <c r="D1704" t="str">
        <f t="shared" si="183"/>
        <v>11</v>
      </c>
      <c r="E1704" t="str">
        <f t="shared" si="184"/>
        <v>20</v>
      </c>
      <c r="F1704">
        <f t="shared" si="185"/>
        <v>2016</v>
      </c>
      <c r="G1704">
        <f t="shared" si="186"/>
        <v>11</v>
      </c>
      <c r="H1704">
        <f t="shared" si="187"/>
        <v>20</v>
      </c>
      <c r="I1704" t="str">
        <f t="shared" si="188"/>
        <v>16</v>
      </c>
    </row>
    <row r="1705" spans="1:9" x14ac:dyDescent="0.25">
      <c r="A1705" s="19">
        <v>41657</v>
      </c>
      <c r="B1705" s="20">
        <v>0.96388888888888891</v>
      </c>
      <c r="C1705" t="str">
        <f t="shared" si="182"/>
        <v>14</v>
      </c>
      <c r="D1705" t="str">
        <f t="shared" si="183"/>
        <v>01</v>
      </c>
      <c r="E1705" t="str">
        <f t="shared" si="184"/>
        <v>18</v>
      </c>
      <c r="F1705">
        <f t="shared" si="185"/>
        <v>2014</v>
      </c>
      <c r="G1705">
        <f t="shared" si="186"/>
        <v>1</v>
      </c>
      <c r="H1705">
        <f t="shared" si="187"/>
        <v>18</v>
      </c>
      <c r="I1705" t="str">
        <f t="shared" si="188"/>
        <v>14</v>
      </c>
    </row>
    <row r="1706" spans="1:9" x14ac:dyDescent="0.25">
      <c r="A1706" s="19">
        <v>41810</v>
      </c>
      <c r="B1706" s="20">
        <v>8.3333333333333329E-2</v>
      </c>
      <c r="C1706" t="str">
        <f t="shared" si="182"/>
        <v>14</v>
      </c>
      <c r="D1706" t="str">
        <f t="shared" si="183"/>
        <v>06</v>
      </c>
      <c r="E1706" t="str">
        <f t="shared" si="184"/>
        <v>20</v>
      </c>
      <c r="F1706">
        <f t="shared" si="185"/>
        <v>2014</v>
      </c>
      <c r="G1706">
        <f t="shared" si="186"/>
        <v>6</v>
      </c>
      <c r="H1706">
        <f t="shared" si="187"/>
        <v>20</v>
      </c>
      <c r="I1706" t="str">
        <f t="shared" si="188"/>
        <v>14</v>
      </c>
    </row>
    <row r="1707" spans="1:9" x14ac:dyDescent="0.25">
      <c r="A1707" s="19">
        <v>41913</v>
      </c>
      <c r="B1707" s="20">
        <v>0.95833333333333337</v>
      </c>
      <c r="C1707" t="str">
        <f t="shared" si="182"/>
        <v>14</v>
      </c>
      <c r="D1707" t="str">
        <f t="shared" si="183"/>
        <v>10</v>
      </c>
      <c r="E1707" t="str">
        <f t="shared" si="184"/>
        <v>01</v>
      </c>
      <c r="F1707">
        <f t="shared" si="185"/>
        <v>2014</v>
      </c>
      <c r="G1707">
        <f t="shared" si="186"/>
        <v>10</v>
      </c>
      <c r="H1707">
        <f t="shared" si="187"/>
        <v>1</v>
      </c>
      <c r="I1707" t="str">
        <f t="shared" si="188"/>
        <v>14</v>
      </c>
    </row>
    <row r="1708" spans="1:9" x14ac:dyDescent="0.25">
      <c r="A1708" s="19">
        <v>41128</v>
      </c>
      <c r="B1708" s="20">
        <v>0.99652777777777779</v>
      </c>
      <c r="C1708" t="str">
        <f t="shared" si="182"/>
        <v>12</v>
      </c>
      <c r="D1708" t="str">
        <f t="shared" si="183"/>
        <v>08</v>
      </c>
      <c r="E1708" t="str">
        <f t="shared" si="184"/>
        <v>07</v>
      </c>
      <c r="F1708">
        <f t="shared" si="185"/>
        <v>2012</v>
      </c>
      <c r="G1708">
        <f t="shared" si="186"/>
        <v>8</v>
      </c>
      <c r="H1708">
        <f t="shared" si="187"/>
        <v>7</v>
      </c>
      <c r="I1708" t="str">
        <f t="shared" si="188"/>
        <v>12</v>
      </c>
    </row>
    <row r="1709" spans="1:9" x14ac:dyDescent="0.25">
      <c r="A1709" s="19">
        <v>41249</v>
      </c>
      <c r="B1709" s="20">
        <v>3.4027777777777775E-2</v>
      </c>
      <c r="C1709" t="str">
        <f t="shared" si="182"/>
        <v>12</v>
      </c>
      <c r="D1709" t="str">
        <f t="shared" si="183"/>
        <v>12</v>
      </c>
      <c r="E1709" t="str">
        <f t="shared" si="184"/>
        <v>06</v>
      </c>
      <c r="F1709">
        <f t="shared" si="185"/>
        <v>2012</v>
      </c>
      <c r="G1709">
        <f t="shared" si="186"/>
        <v>12</v>
      </c>
      <c r="H1709">
        <f t="shared" si="187"/>
        <v>6</v>
      </c>
      <c r="I1709" t="str">
        <f t="shared" si="188"/>
        <v>12</v>
      </c>
    </row>
    <row r="1710" spans="1:9" x14ac:dyDescent="0.25">
      <c r="A1710" s="19">
        <v>42075</v>
      </c>
      <c r="B1710" s="20">
        <v>0.97847222222222219</v>
      </c>
      <c r="C1710" t="str">
        <f t="shared" si="182"/>
        <v>15</v>
      </c>
      <c r="D1710" t="str">
        <f t="shared" si="183"/>
        <v>03</v>
      </c>
      <c r="E1710" t="str">
        <f t="shared" si="184"/>
        <v>12</v>
      </c>
      <c r="F1710">
        <f t="shared" si="185"/>
        <v>2015</v>
      </c>
      <c r="G1710">
        <f t="shared" si="186"/>
        <v>3</v>
      </c>
      <c r="H1710">
        <f t="shared" si="187"/>
        <v>12</v>
      </c>
      <c r="I1710" t="str">
        <f t="shared" si="188"/>
        <v>15</v>
      </c>
    </row>
    <row r="1711" spans="1:9" x14ac:dyDescent="0.25">
      <c r="A1711" s="19">
        <v>42015</v>
      </c>
      <c r="B1711" s="20">
        <v>2.0833333333333333E-3</v>
      </c>
      <c r="C1711" t="str">
        <f t="shared" si="182"/>
        <v>15</v>
      </c>
      <c r="D1711" t="str">
        <f t="shared" si="183"/>
        <v>01</v>
      </c>
      <c r="E1711" t="str">
        <f t="shared" si="184"/>
        <v>11</v>
      </c>
      <c r="F1711">
        <f t="shared" si="185"/>
        <v>2015</v>
      </c>
      <c r="G1711">
        <f t="shared" si="186"/>
        <v>1</v>
      </c>
      <c r="H1711">
        <f t="shared" si="187"/>
        <v>11</v>
      </c>
      <c r="I1711" t="str">
        <f t="shared" si="188"/>
        <v>15</v>
      </c>
    </row>
    <row r="1712" spans="1:9" x14ac:dyDescent="0.25">
      <c r="A1712" s="19">
        <v>42314</v>
      </c>
      <c r="B1712" s="20">
        <v>4.6527777777777779E-2</v>
      </c>
      <c r="C1712" t="str">
        <f t="shared" si="182"/>
        <v>15</v>
      </c>
      <c r="D1712" t="str">
        <f t="shared" si="183"/>
        <v>11</v>
      </c>
      <c r="E1712" t="str">
        <f t="shared" si="184"/>
        <v>06</v>
      </c>
      <c r="F1712">
        <f t="shared" si="185"/>
        <v>2015</v>
      </c>
      <c r="G1712">
        <f t="shared" si="186"/>
        <v>11</v>
      </c>
      <c r="H1712">
        <f t="shared" si="187"/>
        <v>6</v>
      </c>
      <c r="I1712" t="str">
        <f t="shared" si="188"/>
        <v>15</v>
      </c>
    </row>
    <row r="1713" spans="1:9" x14ac:dyDescent="0.25">
      <c r="A1713" s="19">
        <v>41575</v>
      </c>
      <c r="B1713" s="20">
        <v>6.2500000000000003E-3</v>
      </c>
      <c r="C1713" t="str">
        <f t="shared" si="182"/>
        <v>13</v>
      </c>
      <c r="D1713" t="str">
        <f t="shared" si="183"/>
        <v>10</v>
      </c>
      <c r="E1713" t="str">
        <f t="shared" si="184"/>
        <v>28</v>
      </c>
      <c r="F1713">
        <f t="shared" si="185"/>
        <v>2013</v>
      </c>
      <c r="G1713">
        <f t="shared" si="186"/>
        <v>10</v>
      </c>
      <c r="H1713">
        <f t="shared" si="187"/>
        <v>28</v>
      </c>
      <c r="I1713" t="str">
        <f t="shared" si="188"/>
        <v>13</v>
      </c>
    </row>
    <row r="1714" spans="1:9" x14ac:dyDescent="0.25">
      <c r="A1714" s="19">
        <v>41992</v>
      </c>
      <c r="B1714" s="20">
        <v>0.95416666666666672</v>
      </c>
      <c r="C1714" t="str">
        <f t="shared" si="182"/>
        <v>14</v>
      </c>
      <c r="D1714" t="str">
        <f t="shared" si="183"/>
        <v>12</v>
      </c>
      <c r="E1714" t="str">
        <f t="shared" si="184"/>
        <v>19</v>
      </c>
      <c r="F1714">
        <f t="shared" si="185"/>
        <v>2014</v>
      </c>
      <c r="G1714">
        <f t="shared" si="186"/>
        <v>12</v>
      </c>
      <c r="H1714">
        <f t="shared" si="187"/>
        <v>19</v>
      </c>
      <c r="I1714" t="str">
        <f t="shared" si="188"/>
        <v>14</v>
      </c>
    </row>
    <row r="1715" spans="1:9" x14ac:dyDescent="0.25">
      <c r="A1715" s="19">
        <v>42430</v>
      </c>
      <c r="B1715" s="20">
        <v>6.1111111111111109E-2</v>
      </c>
      <c r="C1715" t="str">
        <f t="shared" si="182"/>
        <v>16</v>
      </c>
      <c r="D1715" t="str">
        <f t="shared" si="183"/>
        <v>03</v>
      </c>
      <c r="E1715" t="str">
        <f t="shared" si="184"/>
        <v>01</v>
      </c>
      <c r="F1715">
        <f t="shared" si="185"/>
        <v>2016</v>
      </c>
      <c r="G1715">
        <f t="shared" si="186"/>
        <v>3</v>
      </c>
      <c r="H1715">
        <f t="shared" si="187"/>
        <v>1</v>
      </c>
      <c r="I1715" t="str">
        <f t="shared" si="188"/>
        <v>16</v>
      </c>
    </row>
    <row r="1716" spans="1:9" x14ac:dyDescent="0.25">
      <c r="A1716" s="19">
        <v>41496</v>
      </c>
      <c r="B1716" s="20">
        <v>2.0833333333333333E-3</v>
      </c>
      <c r="C1716" t="str">
        <f t="shared" si="182"/>
        <v>13</v>
      </c>
      <c r="D1716" t="str">
        <f t="shared" si="183"/>
        <v>08</v>
      </c>
      <c r="E1716" t="str">
        <f t="shared" si="184"/>
        <v>10</v>
      </c>
      <c r="F1716">
        <f t="shared" si="185"/>
        <v>2013</v>
      </c>
      <c r="G1716">
        <f t="shared" si="186"/>
        <v>8</v>
      </c>
      <c r="H1716">
        <f t="shared" si="187"/>
        <v>10</v>
      </c>
      <c r="I1716" t="str">
        <f t="shared" si="188"/>
        <v>13</v>
      </c>
    </row>
    <row r="1717" spans="1:9" x14ac:dyDescent="0.25">
      <c r="A1717" s="19">
        <v>41797</v>
      </c>
      <c r="B1717" s="20">
        <v>4.4444444444444446E-2</v>
      </c>
      <c r="C1717" t="str">
        <f t="shared" si="182"/>
        <v>14</v>
      </c>
      <c r="D1717" t="str">
        <f t="shared" si="183"/>
        <v>06</v>
      </c>
      <c r="E1717" t="str">
        <f t="shared" si="184"/>
        <v>07</v>
      </c>
      <c r="F1717">
        <f t="shared" si="185"/>
        <v>2014</v>
      </c>
      <c r="G1717">
        <f t="shared" si="186"/>
        <v>6</v>
      </c>
      <c r="H1717">
        <f t="shared" si="187"/>
        <v>7</v>
      </c>
      <c r="I1717" t="str">
        <f t="shared" si="188"/>
        <v>14</v>
      </c>
    </row>
    <row r="1718" spans="1:9" x14ac:dyDescent="0.25">
      <c r="A1718" s="19">
        <v>41954</v>
      </c>
      <c r="B1718" s="20">
        <v>2.013888888888889E-2</v>
      </c>
      <c r="C1718" t="str">
        <f t="shared" si="182"/>
        <v>14</v>
      </c>
      <c r="D1718" t="str">
        <f t="shared" si="183"/>
        <v>11</v>
      </c>
      <c r="E1718" t="str">
        <f t="shared" si="184"/>
        <v>11</v>
      </c>
      <c r="F1718">
        <f t="shared" si="185"/>
        <v>2014</v>
      </c>
      <c r="G1718">
        <f t="shared" si="186"/>
        <v>11</v>
      </c>
      <c r="H1718">
        <f t="shared" si="187"/>
        <v>11</v>
      </c>
      <c r="I1718" t="str">
        <f t="shared" si="188"/>
        <v>14</v>
      </c>
    </row>
    <row r="1719" spans="1:9" x14ac:dyDescent="0.25">
      <c r="A1719" s="19">
        <v>42187</v>
      </c>
      <c r="B1719" s="20">
        <v>0.9506944444444444</v>
      </c>
      <c r="C1719" t="str">
        <f t="shared" si="182"/>
        <v>15</v>
      </c>
      <c r="D1719" t="str">
        <f t="shared" si="183"/>
        <v>07</v>
      </c>
      <c r="E1719" t="str">
        <f t="shared" si="184"/>
        <v>02</v>
      </c>
      <c r="F1719">
        <f t="shared" si="185"/>
        <v>2015</v>
      </c>
      <c r="G1719">
        <f t="shared" si="186"/>
        <v>7</v>
      </c>
      <c r="H1719">
        <f t="shared" si="187"/>
        <v>2</v>
      </c>
      <c r="I1719" t="str">
        <f t="shared" si="188"/>
        <v>15</v>
      </c>
    </row>
    <row r="1720" spans="1:9" x14ac:dyDescent="0.25">
      <c r="A1720" s="19">
        <v>41429</v>
      </c>
      <c r="B1720" s="20">
        <v>0.99375000000000002</v>
      </c>
      <c r="C1720" t="str">
        <f t="shared" si="182"/>
        <v>13</v>
      </c>
      <c r="D1720" t="str">
        <f t="shared" si="183"/>
        <v>06</v>
      </c>
      <c r="E1720" t="str">
        <f t="shared" si="184"/>
        <v>04</v>
      </c>
      <c r="F1720">
        <f t="shared" si="185"/>
        <v>2013</v>
      </c>
      <c r="G1720">
        <f t="shared" si="186"/>
        <v>6</v>
      </c>
      <c r="H1720">
        <f t="shared" si="187"/>
        <v>4</v>
      </c>
      <c r="I1720" t="str">
        <f t="shared" si="188"/>
        <v>13</v>
      </c>
    </row>
    <row r="1721" spans="1:9" x14ac:dyDescent="0.25">
      <c r="A1721" s="19">
        <v>41222</v>
      </c>
      <c r="B1721" s="20">
        <v>4.583333333333333E-2</v>
      </c>
      <c r="C1721" t="str">
        <f t="shared" si="182"/>
        <v>12</v>
      </c>
      <c r="D1721" t="str">
        <f t="shared" si="183"/>
        <v>11</v>
      </c>
      <c r="E1721" t="str">
        <f t="shared" si="184"/>
        <v>09</v>
      </c>
      <c r="F1721">
        <f t="shared" si="185"/>
        <v>2012</v>
      </c>
      <c r="G1721">
        <f t="shared" si="186"/>
        <v>11</v>
      </c>
      <c r="H1721">
        <f t="shared" si="187"/>
        <v>9</v>
      </c>
      <c r="I1721" t="str">
        <f t="shared" si="188"/>
        <v>12</v>
      </c>
    </row>
    <row r="1722" spans="1:9" x14ac:dyDescent="0.25">
      <c r="A1722" s="19">
        <v>41917</v>
      </c>
      <c r="B1722" s="20">
        <v>2.2222222222222223E-2</v>
      </c>
      <c r="C1722" t="str">
        <f t="shared" si="182"/>
        <v>14</v>
      </c>
      <c r="D1722" t="str">
        <f t="shared" si="183"/>
        <v>10</v>
      </c>
      <c r="E1722" t="str">
        <f t="shared" si="184"/>
        <v>05</v>
      </c>
      <c r="F1722">
        <f t="shared" si="185"/>
        <v>2014</v>
      </c>
      <c r="G1722">
        <f t="shared" si="186"/>
        <v>10</v>
      </c>
      <c r="H1722">
        <f t="shared" si="187"/>
        <v>5</v>
      </c>
      <c r="I1722" t="str">
        <f t="shared" si="188"/>
        <v>14</v>
      </c>
    </row>
    <row r="1723" spans="1:9" x14ac:dyDescent="0.25">
      <c r="A1723" s="19">
        <v>41843</v>
      </c>
      <c r="B1723" s="20">
        <v>0.98333333333333328</v>
      </c>
      <c r="C1723" t="str">
        <f t="shared" si="182"/>
        <v>14</v>
      </c>
      <c r="D1723" t="str">
        <f t="shared" si="183"/>
        <v>07</v>
      </c>
      <c r="E1723" t="str">
        <f t="shared" si="184"/>
        <v>23</v>
      </c>
      <c r="F1723">
        <f t="shared" si="185"/>
        <v>2014</v>
      </c>
      <c r="G1723">
        <f t="shared" si="186"/>
        <v>7</v>
      </c>
      <c r="H1723">
        <f t="shared" si="187"/>
        <v>23</v>
      </c>
      <c r="I1723" t="str">
        <f t="shared" si="188"/>
        <v>14</v>
      </c>
    </row>
    <row r="1724" spans="1:9" x14ac:dyDescent="0.25">
      <c r="A1724" s="19">
        <v>41937</v>
      </c>
      <c r="B1724" s="20">
        <v>2.361111111111111E-2</v>
      </c>
      <c r="C1724" t="str">
        <f t="shared" si="182"/>
        <v>14</v>
      </c>
      <c r="D1724" t="str">
        <f t="shared" si="183"/>
        <v>10</v>
      </c>
      <c r="E1724" t="str">
        <f t="shared" si="184"/>
        <v>25</v>
      </c>
      <c r="F1724">
        <f t="shared" si="185"/>
        <v>2014</v>
      </c>
      <c r="G1724">
        <f t="shared" si="186"/>
        <v>10</v>
      </c>
      <c r="H1724">
        <f t="shared" si="187"/>
        <v>25</v>
      </c>
      <c r="I1724" t="str">
        <f t="shared" si="188"/>
        <v>14</v>
      </c>
    </row>
    <row r="1725" spans="1:9" x14ac:dyDescent="0.25">
      <c r="A1725" s="19">
        <v>42477</v>
      </c>
      <c r="B1725" s="20">
        <v>2.5000000000000001E-2</v>
      </c>
      <c r="C1725" t="str">
        <f t="shared" si="182"/>
        <v>16</v>
      </c>
      <c r="D1725" t="str">
        <f t="shared" si="183"/>
        <v>04</v>
      </c>
      <c r="E1725" t="str">
        <f t="shared" si="184"/>
        <v>17</v>
      </c>
      <c r="F1725">
        <f t="shared" si="185"/>
        <v>2016</v>
      </c>
      <c r="G1725">
        <f t="shared" si="186"/>
        <v>4</v>
      </c>
      <c r="H1725">
        <f t="shared" si="187"/>
        <v>17</v>
      </c>
      <c r="I1725" t="str">
        <f t="shared" si="188"/>
        <v>16</v>
      </c>
    </row>
    <row r="1726" spans="1:9" x14ac:dyDescent="0.25">
      <c r="A1726" s="19">
        <v>41671</v>
      </c>
      <c r="B1726" s="20">
        <v>1.3888888888888888E-2</v>
      </c>
      <c r="C1726" t="str">
        <f t="shared" si="182"/>
        <v>14</v>
      </c>
      <c r="D1726" t="str">
        <f t="shared" si="183"/>
        <v>02</v>
      </c>
      <c r="E1726" t="str">
        <f t="shared" si="184"/>
        <v>01</v>
      </c>
      <c r="F1726">
        <f t="shared" si="185"/>
        <v>2014</v>
      </c>
      <c r="G1726">
        <f t="shared" si="186"/>
        <v>2</v>
      </c>
      <c r="H1726">
        <f t="shared" si="187"/>
        <v>1</v>
      </c>
      <c r="I1726" t="str">
        <f t="shared" si="188"/>
        <v>14</v>
      </c>
    </row>
    <row r="1727" spans="1:9" x14ac:dyDescent="0.25">
      <c r="A1727" s="19">
        <v>41707</v>
      </c>
      <c r="B1727" s="20">
        <v>5.9722222222222225E-2</v>
      </c>
      <c r="C1727" t="str">
        <f t="shared" si="182"/>
        <v>14</v>
      </c>
      <c r="D1727" t="str">
        <f t="shared" si="183"/>
        <v>03</v>
      </c>
      <c r="E1727" t="str">
        <f t="shared" si="184"/>
        <v>09</v>
      </c>
      <c r="F1727">
        <f t="shared" si="185"/>
        <v>2014</v>
      </c>
      <c r="G1727">
        <f t="shared" si="186"/>
        <v>3</v>
      </c>
      <c r="H1727">
        <f t="shared" si="187"/>
        <v>9</v>
      </c>
      <c r="I1727" t="str">
        <f t="shared" si="188"/>
        <v>14</v>
      </c>
    </row>
    <row r="1728" spans="1:9" x14ac:dyDescent="0.25">
      <c r="A1728" s="19">
        <v>41274</v>
      </c>
      <c r="B1728" s="20">
        <v>7.3611111111111113E-2</v>
      </c>
      <c r="C1728" t="str">
        <f t="shared" si="182"/>
        <v>12</v>
      </c>
      <c r="D1728" t="str">
        <f t="shared" si="183"/>
        <v>12</v>
      </c>
      <c r="E1728" t="str">
        <f t="shared" si="184"/>
        <v>31</v>
      </c>
      <c r="F1728">
        <f t="shared" si="185"/>
        <v>2012</v>
      </c>
      <c r="G1728">
        <f t="shared" si="186"/>
        <v>12</v>
      </c>
      <c r="H1728">
        <f t="shared" si="187"/>
        <v>31</v>
      </c>
      <c r="I1728" t="str">
        <f t="shared" si="188"/>
        <v>12</v>
      </c>
    </row>
    <row r="1729" spans="1:9" x14ac:dyDescent="0.25">
      <c r="A1729" s="19">
        <v>41125</v>
      </c>
      <c r="B1729" s="20">
        <v>5.7638888888888892E-2</v>
      </c>
      <c r="C1729" t="str">
        <f t="shared" si="182"/>
        <v>12</v>
      </c>
      <c r="D1729" t="str">
        <f t="shared" si="183"/>
        <v>08</v>
      </c>
      <c r="E1729" t="str">
        <f t="shared" si="184"/>
        <v>04</v>
      </c>
      <c r="F1729">
        <f t="shared" si="185"/>
        <v>2012</v>
      </c>
      <c r="G1729">
        <f t="shared" si="186"/>
        <v>8</v>
      </c>
      <c r="H1729">
        <f t="shared" si="187"/>
        <v>4</v>
      </c>
      <c r="I1729" t="str">
        <f t="shared" si="188"/>
        <v>12</v>
      </c>
    </row>
    <row r="1730" spans="1:9" x14ac:dyDescent="0.25">
      <c r="A1730" s="19">
        <v>41460</v>
      </c>
      <c r="B1730" s="20">
        <v>4.583333333333333E-2</v>
      </c>
      <c r="C1730" t="str">
        <f t="shared" si="182"/>
        <v>13</v>
      </c>
      <c r="D1730" t="str">
        <f t="shared" si="183"/>
        <v>07</v>
      </c>
      <c r="E1730" t="str">
        <f t="shared" si="184"/>
        <v>05</v>
      </c>
      <c r="F1730">
        <f t="shared" si="185"/>
        <v>2013</v>
      </c>
      <c r="G1730">
        <f t="shared" si="186"/>
        <v>7</v>
      </c>
      <c r="H1730">
        <f t="shared" si="187"/>
        <v>5</v>
      </c>
      <c r="I1730" t="str">
        <f t="shared" si="188"/>
        <v>13</v>
      </c>
    </row>
    <row r="1731" spans="1:9" x14ac:dyDescent="0.25">
      <c r="A1731" s="19">
        <v>41190</v>
      </c>
      <c r="B1731" s="20">
        <v>2.0833333333333333E-3</v>
      </c>
      <c r="C1731" t="str">
        <f t="shared" ref="C1731:C1794" si="189">TEXT(A1731,"YY")</f>
        <v>12</v>
      </c>
      <c r="D1731" t="str">
        <f t="shared" ref="D1731:D1794" si="190">TEXT(A1731,"mm")</f>
        <v>10</v>
      </c>
      <c r="E1731" t="str">
        <f t="shared" ref="E1731:E1794" si="191">TEXT(A1731,"dd")</f>
        <v>08</v>
      </c>
      <c r="F1731">
        <f t="shared" ref="F1731:F1794" si="192">YEAR($A1731)</f>
        <v>2012</v>
      </c>
      <c r="G1731">
        <f t="shared" ref="G1731:G1794" si="193">MONTH($A1731)</f>
        <v>10</v>
      </c>
      <c r="H1731">
        <f t="shared" ref="H1731:H1794" si="194">DAY($A1731)</f>
        <v>8</v>
      </c>
      <c r="I1731" t="str">
        <f t="shared" ref="I1731:I1794" si="195">TEXT($A1731,"YY")</f>
        <v>12</v>
      </c>
    </row>
    <row r="1732" spans="1:9" x14ac:dyDescent="0.25">
      <c r="A1732" s="19">
        <v>42535</v>
      </c>
      <c r="B1732" s="20">
        <v>0.96805555555555556</v>
      </c>
      <c r="C1732" t="str">
        <f t="shared" si="189"/>
        <v>16</v>
      </c>
      <c r="D1732" t="str">
        <f t="shared" si="190"/>
        <v>06</v>
      </c>
      <c r="E1732" t="str">
        <f t="shared" si="191"/>
        <v>14</v>
      </c>
      <c r="F1732">
        <f t="shared" si="192"/>
        <v>2016</v>
      </c>
      <c r="G1732">
        <f t="shared" si="193"/>
        <v>6</v>
      </c>
      <c r="H1732">
        <f t="shared" si="194"/>
        <v>14</v>
      </c>
      <c r="I1732" t="str">
        <f t="shared" si="195"/>
        <v>16</v>
      </c>
    </row>
    <row r="1733" spans="1:9" x14ac:dyDescent="0.25">
      <c r="A1733" s="19">
        <v>41860</v>
      </c>
      <c r="B1733" s="20">
        <v>7.6388888888888886E-3</v>
      </c>
      <c r="C1733" t="str">
        <f t="shared" si="189"/>
        <v>14</v>
      </c>
      <c r="D1733" t="str">
        <f t="shared" si="190"/>
        <v>08</v>
      </c>
      <c r="E1733" t="str">
        <f t="shared" si="191"/>
        <v>09</v>
      </c>
      <c r="F1733">
        <f t="shared" si="192"/>
        <v>2014</v>
      </c>
      <c r="G1733">
        <f t="shared" si="193"/>
        <v>8</v>
      </c>
      <c r="H1733">
        <f t="shared" si="194"/>
        <v>9</v>
      </c>
      <c r="I1733" t="str">
        <f t="shared" si="195"/>
        <v>14</v>
      </c>
    </row>
    <row r="1734" spans="1:9" x14ac:dyDescent="0.25">
      <c r="A1734" s="19">
        <v>41476</v>
      </c>
      <c r="B1734" s="20">
        <v>0.9819444444444444</v>
      </c>
      <c r="C1734" t="str">
        <f t="shared" si="189"/>
        <v>13</v>
      </c>
      <c r="D1734" t="str">
        <f t="shared" si="190"/>
        <v>07</v>
      </c>
      <c r="E1734" t="str">
        <f t="shared" si="191"/>
        <v>21</v>
      </c>
      <c r="F1734">
        <f t="shared" si="192"/>
        <v>2013</v>
      </c>
      <c r="G1734">
        <f t="shared" si="193"/>
        <v>7</v>
      </c>
      <c r="H1734">
        <f t="shared" si="194"/>
        <v>21</v>
      </c>
      <c r="I1734" t="str">
        <f t="shared" si="195"/>
        <v>13</v>
      </c>
    </row>
    <row r="1735" spans="1:9" x14ac:dyDescent="0.25">
      <c r="A1735" s="19">
        <v>41854</v>
      </c>
      <c r="B1735" s="20">
        <v>4.4444444444444446E-2</v>
      </c>
      <c r="C1735" t="str">
        <f t="shared" si="189"/>
        <v>14</v>
      </c>
      <c r="D1735" t="str">
        <f t="shared" si="190"/>
        <v>08</v>
      </c>
      <c r="E1735" t="str">
        <f t="shared" si="191"/>
        <v>03</v>
      </c>
      <c r="F1735">
        <f t="shared" si="192"/>
        <v>2014</v>
      </c>
      <c r="G1735">
        <f t="shared" si="193"/>
        <v>8</v>
      </c>
      <c r="H1735">
        <f t="shared" si="194"/>
        <v>3</v>
      </c>
      <c r="I1735" t="str">
        <f t="shared" si="195"/>
        <v>14</v>
      </c>
    </row>
    <row r="1736" spans="1:9" x14ac:dyDescent="0.25">
      <c r="A1736" s="19">
        <v>41544</v>
      </c>
      <c r="B1736" s="20">
        <v>6.5972222222222224E-2</v>
      </c>
      <c r="C1736" t="str">
        <f t="shared" si="189"/>
        <v>13</v>
      </c>
      <c r="D1736" t="str">
        <f t="shared" si="190"/>
        <v>09</v>
      </c>
      <c r="E1736" t="str">
        <f t="shared" si="191"/>
        <v>27</v>
      </c>
      <c r="F1736">
        <f t="shared" si="192"/>
        <v>2013</v>
      </c>
      <c r="G1736">
        <f t="shared" si="193"/>
        <v>9</v>
      </c>
      <c r="H1736">
        <f t="shared" si="194"/>
        <v>27</v>
      </c>
      <c r="I1736" t="str">
        <f t="shared" si="195"/>
        <v>13</v>
      </c>
    </row>
    <row r="1737" spans="1:9" x14ac:dyDescent="0.25">
      <c r="A1737" s="19">
        <v>42249</v>
      </c>
      <c r="B1737" s="20">
        <v>3.125E-2</v>
      </c>
      <c r="C1737" t="str">
        <f t="shared" si="189"/>
        <v>15</v>
      </c>
      <c r="D1737" t="str">
        <f t="shared" si="190"/>
        <v>09</v>
      </c>
      <c r="E1737" t="str">
        <f t="shared" si="191"/>
        <v>02</v>
      </c>
      <c r="F1737">
        <f t="shared" si="192"/>
        <v>2015</v>
      </c>
      <c r="G1737">
        <f t="shared" si="193"/>
        <v>9</v>
      </c>
      <c r="H1737">
        <f t="shared" si="194"/>
        <v>2</v>
      </c>
      <c r="I1737" t="str">
        <f t="shared" si="195"/>
        <v>15</v>
      </c>
    </row>
    <row r="1738" spans="1:9" x14ac:dyDescent="0.25">
      <c r="A1738" s="19">
        <v>41979</v>
      </c>
      <c r="B1738" s="20">
        <v>3.3333333333333333E-2</v>
      </c>
      <c r="C1738" t="str">
        <f t="shared" si="189"/>
        <v>14</v>
      </c>
      <c r="D1738" t="str">
        <f t="shared" si="190"/>
        <v>12</v>
      </c>
      <c r="E1738" t="str">
        <f t="shared" si="191"/>
        <v>06</v>
      </c>
      <c r="F1738">
        <f t="shared" si="192"/>
        <v>2014</v>
      </c>
      <c r="G1738">
        <f t="shared" si="193"/>
        <v>12</v>
      </c>
      <c r="H1738">
        <f t="shared" si="194"/>
        <v>6</v>
      </c>
      <c r="I1738" t="str">
        <f t="shared" si="195"/>
        <v>14</v>
      </c>
    </row>
    <row r="1739" spans="1:9" x14ac:dyDescent="0.25">
      <c r="A1739" s="19">
        <v>42217</v>
      </c>
      <c r="B1739" s="20">
        <v>4.1666666666666666E-3</v>
      </c>
      <c r="C1739" t="str">
        <f t="shared" si="189"/>
        <v>15</v>
      </c>
      <c r="D1739" t="str">
        <f t="shared" si="190"/>
        <v>08</v>
      </c>
      <c r="E1739" t="str">
        <f t="shared" si="191"/>
        <v>01</v>
      </c>
      <c r="F1739">
        <f t="shared" si="192"/>
        <v>2015</v>
      </c>
      <c r="G1739">
        <f t="shared" si="193"/>
        <v>8</v>
      </c>
      <c r="H1739">
        <f t="shared" si="194"/>
        <v>1</v>
      </c>
      <c r="I1739" t="str">
        <f t="shared" si="195"/>
        <v>15</v>
      </c>
    </row>
    <row r="1740" spans="1:9" x14ac:dyDescent="0.25">
      <c r="A1740" s="19">
        <v>41630</v>
      </c>
      <c r="B1740" s="20">
        <v>5.1388888888888887E-2</v>
      </c>
      <c r="C1740" t="str">
        <f t="shared" si="189"/>
        <v>13</v>
      </c>
      <c r="D1740" t="str">
        <f t="shared" si="190"/>
        <v>12</v>
      </c>
      <c r="E1740" t="str">
        <f t="shared" si="191"/>
        <v>22</v>
      </c>
      <c r="F1740">
        <f t="shared" si="192"/>
        <v>2013</v>
      </c>
      <c r="G1740">
        <f t="shared" si="193"/>
        <v>12</v>
      </c>
      <c r="H1740">
        <f t="shared" si="194"/>
        <v>22</v>
      </c>
      <c r="I1740" t="str">
        <f t="shared" si="195"/>
        <v>13</v>
      </c>
    </row>
    <row r="1741" spans="1:9" x14ac:dyDescent="0.25">
      <c r="A1741" s="19">
        <v>41086</v>
      </c>
      <c r="B1741" s="20">
        <v>6.7361111111111108E-2</v>
      </c>
      <c r="C1741" t="str">
        <f t="shared" si="189"/>
        <v>12</v>
      </c>
      <c r="D1741" t="str">
        <f t="shared" si="190"/>
        <v>06</v>
      </c>
      <c r="E1741" t="str">
        <f t="shared" si="191"/>
        <v>26</v>
      </c>
      <c r="F1741">
        <f t="shared" si="192"/>
        <v>2012</v>
      </c>
      <c r="G1741">
        <f t="shared" si="193"/>
        <v>6</v>
      </c>
      <c r="H1741">
        <f t="shared" si="194"/>
        <v>26</v>
      </c>
      <c r="I1741" t="str">
        <f t="shared" si="195"/>
        <v>12</v>
      </c>
    </row>
    <row r="1742" spans="1:9" x14ac:dyDescent="0.25">
      <c r="A1742" s="19">
        <v>42110</v>
      </c>
      <c r="B1742" s="20">
        <v>0.93819444444444444</v>
      </c>
      <c r="C1742" t="str">
        <f t="shared" si="189"/>
        <v>15</v>
      </c>
      <c r="D1742" t="str">
        <f t="shared" si="190"/>
        <v>04</v>
      </c>
      <c r="E1742" t="str">
        <f t="shared" si="191"/>
        <v>16</v>
      </c>
      <c r="F1742">
        <f t="shared" si="192"/>
        <v>2015</v>
      </c>
      <c r="G1742">
        <f t="shared" si="193"/>
        <v>4</v>
      </c>
      <c r="H1742">
        <f t="shared" si="194"/>
        <v>16</v>
      </c>
      <c r="I1742" t="str">
        <f t="shared" si="195"/>
        <v>15</v>
      </c>
    </row>
    <row r="1743" spans="1:9" x14ac:dyDescent="0.25">
      <c r="A1743" s="19">
        <v>42126</v>
      </c>
      <c r="B1743" s="20">
        <v>6.25E-2</v>
      </c>
      <c r="C1743" t="str">
        <f t="shared" si="189"/>
        <v>15</v>
      </c>
      <c r="D1743" t="str">
        <f t="shared" si="190"/>
        <v>05</v>
      </c>
      <c r="E1743" t="str">
        <f t="shared" si="191"/>
        <v>02</v>
      </c>
      <c r="F1743">
        <f t="shared" si="192"/>
        <v>2015</v>
      </c>
      <c r="G1743">
        <f t="shared" si="193"/>
        <v>5</v>
      </c>
      <c r="H1743">
        <f t="shared" si="194"/>
        <v>2</v>
      </c>
      <c r="I1743" t="str">
        <f t="shared" si="195"/>
        <v>15</v>
      </c>
    </row>
    <row r="1744" spans="1:9" x14ac:dyDescent="0.25">
      <c r="A1744" s="19">
        <v>41798</v>
      </c>
      <c r="B1744" s="20">
        <v>0.95486111111111116</v>
      </c>
      <c r="C1744" t="str">
        <f t="shared" si="189"/>
        <v>14</v>
      </c>
      <c r="D1744" t="str">
        <f t="shared" si="190"/>
        <v>06</v>
      </c>
      <c r="E1744" t="str">
        <f t="shared" si="191"/>
        <v>08</v>
      </c>
      <c r="F1744">
        <f t="shared" si="192"/>
        <v>2014</v>
      </c>
      <c r="G1744">
        <f t="shared" si="193"/>
        <v>6</v>
      </c>
      <c r="H1744">
        <f t="shared" si="194"/>
        <v>8</v>
      </c>
      <c r="I1744" t="str">
        <f t="shared" si="195"/>
        <v>14</v>
      </c>
    </row>
    <row r="1745" spans="1:9" x14ac:dyDescent="0.25">
      <c r="A1745" s="19">
        <v>42402</v>
      </c>
      <c r="B1745" s="20">
        <v>2.0833333333333332E-2</v>
      </c>
      <c r="C1745" t="str">
        <f t="shared" si="189"/>
        <v>16</v>
      </c>
      <c r="D1745" t="str">
        <f t="shared" si="190"/>
        <v>02</v>
      </c>
      <c r="E1745" t="str">
        <f t="shared" si="191"/>
        <v>02</v>
      </c>
      <c r="F1745">
        <f t="shared" si="192"/>
        <v>2016</v>
      </c>
      <c r="G1745">
        <f t="shared" si="193"/>
        <v>2</v>
      </c>
      <c r="H1745">
        <f t="shared" si="194"/>
        <v>2</v>
      </c>
      <c r="I1745" t="str">
        <f t="shared" si="195"/>
        <v>16</v>
      </c>
    </row>
    <row r="1746" spans="1:9" x14ac:dyDescent="0.25">
      <c r="A1746" s="19">
        <v>42796</v>
      </c>
      <c r="B1746" s="20">
        <v>3.9583333333333331E-2</v>
      </c>
      <c r="C1746" t="str">
        <f t="shared" si="189"/>
        <v>17</v>
      </c>
      <c r="D1746" t="str">
        <f t="shared" si="190"/>
        <v>03</v>
      </c>
      <c r="E1746" t="str">
        <f t="shared" si="191"/>
        <v>02</v>
      </c>
      <c r="F1746">
        <f t="shared" si="192"/>
        <v>2017</v>
      </c>
      <c r="G1746">
        <f t="shared" si="193"/>
        <v>3</v>
      </c>
      <c r="H1746">
        <f t="shared" si="194"/>
        <v>2</v>
      </c>
      <c r="I1746" t="str">
        <f t="shared" si="195"/>
        <v>17</v>
      </c>
    </row>
    <row r="1747" spans="1:9" x14ac:dyDescent="0.25">
      <c r="A1747" s="19">
        <v>41724</v>
      </c>
      <c r="B1747" s="20">
        <v>2.4305555555555556E-2</v>
      </c>
      <c r="C1747" t="str">
        <f t="shared" si="189"/>
        <v>14</v>
      </c>
      <c r="D1747" t="str">
        <f t="shared" si="190"/>
        <v>03</v>
      </c>
      <c r="E1747" t="str">
        <f t="shared" si="191"/>
        <v>26</v>
      </c>
      <c r="F1747">
        <f t="shared" si="192"/>
        <v>2014</v>
      </c>
      <c r="G1747">
        <f t="shared" si="193"/>
        <v>3</v>
      </c>
      <c r="H1747">
        <f t="shared" si="194"/>
        <v>26</v>
      </c>
      <c r="I1747" t="str">
        <f t="shared" si="195"/>
        <v>14</v>
      </c>
    </row>
    <row r="1748" spans="1:9" x14ac:dyDescent="0.25">
      <c r="A1748" s="19">
        <v>41637</v>
      </c>
      <c r="B1748" s="20">
        <v>6.5277777777777782E-2</v>
      </c>
      <c r="C1748" t="str">
        <f t="shared" si="189"/>
        <v>13</v>
      </c>
      <c r="D1748" t="str">
        <f t="shared" si="190"/>
        <v>12</v>
      </c>
      <c r="E1748" t="str">
        <f t="shared" si="191"/>
        <v>29</v>
      </c>
      <c r="F1748">
        <f t="shared" si="192"/>
        <v>2013</v>
      </c>
      <c r="G1748">
        <f t="shared" si="193"/>
        <v>12</v>
      </c>
      <c r="H1748">
        <f t="shared" si="194"/>
        <v>29</v>
      </c>
      <c r="I1748" t="str">
        <f t="shared" si="195"/>
        <v>13</v>
      </c>
    </row>
    <row r="1749" spans="1:9" x14ac:dyDescent="0.25">
      <c r="A1749" s="19">
        <v>42466</v>
      </c>
      <c r="B1749" s="20">
        <v>0.94374999999999998</v>
      </c>
      <c r="C1749" t="str">
        <f t="shared" si="189"/>
        <v>16</v>
      </c>
      <c r="D1749" t="str">
        <f t="shared" si="190"/>
        <v>04</v>
      </c>
      <c r="E1749" t="str">
        <f t="shared" si="191"/>
        <v>06</v>
      </c>
      <c r="F1749">
        <f t="shared" si="192"/>
        <v>2016</v>
      </c>
      <c r="G1749">
        <f t="shared" si="193"/>
        <v>4</v>
      </c>
      <c r="H1749">
        <f t="shared" si="194"/>
        <v>6</v>
      </c>
      <c r="I1749" t="str">
        <f t="shared" si="195"/>
        <v>16</v>
      </c>
    </row>
    <row r="1750" spans="1:9" x14ac:dyDescent="0.25">
      <c r="A1750" s="19">
        <v>41721</v>
      </c>
      <c r="B1750" s="20">
        <v>2.9861111111111113E-2</v>
      </c>
      <c r="C1750" t="str">
        <f t="shared" si="189"/>
        <v>14</v>
      </c>
      <c r="D1750" t="str">
        <f t="shared" si="190"/>
        <v>03</v>
      </c>
      <c r="E1750" t="str">
        <f t="shared" si="191"/>
        <v>23</v>
      </c>
      <c r="F1750">
        <f t="shared" si="192"/>
        <v>2014</v>
      </c>
      <c r="G1750">
        <f t="shared" si="193"/>
        <v>3</v>
      </c>
      <c r="H1750">
        <f t="shared" si="194"/>
        <v>23</v>
      </c>
      <c r="I1750" t="str">
        <f t="shared" si="195"/>
        <v>14</v>
      </c>
    </row>
    <row r="1751" spans="1:9" x14ac:dyDescent="0.25">
      <c r="A1751" s="19">
        <v>42254</v>
      </c>
      <c r="B1751" s="20">
        <v>4.791666666666667E-2</v>
      </c>
      <c r="C1751" t="str">
        <f t="shared" si="189"/>
        <v>15</v>
      </c>
      <c r="D1751" t="str">
        <f t="shared" si="190"/>
        <v>09</v>
      </c>
      <c r="E1751" t="str">
        <f t="shared" si="191"/>
        <v>07</v>
      </c>
      <c r="F1751">
        <f t="shared" si="192"/>
        <v>2015</v>
      </c>
      <c r="G1751">
        <f t="shared" si="193"/>
        <v>9</v>
      </c>
      <c r="H1751">
        <f t="shared" si="194"/>
        <v>7</v>
      </c>
      <c r="I1751" t="str">
        <f t="shared" si="195"/>
        <v>15</v>
      </c>
    </row>
    <row r="1752" spans="1:9" x14ac:dyDescent="0.25">
      <c r="A1752" s="19">
        <v>42675</v>
      </c>
      <c r="B1752" s="20">
        <v>0.97152777777777777</v>
      </c>
      <c r="C1752" t="str">
        <f t="shared" si="189"/>
        <v>16</v>
      </c>
      <c r="D1752" t="str">
        <f t="shared" si="190"/>
        <v>11</v>
      </c>
      <c r="E1752" t="str">
        <f t="shared" si="191"/>
        <v>01</v>
      </c>
      <c r="F1752">
        <f t="shared" si="192"/>
        <v>2016</v>
      </c>
      <c r="G1752">
        <f t="shared" si="193"/>
        <v>11</v>
      </c>
      <c r="H1752">
        <f t="shared" si="194"/>
        <v>1</v>
      </c>
      <c r="I1752" t="str">
        <f t="shared" si="195"/>
        <v>16</v>
      </c>
    </row>
    <row r="1753" spans="1:9" x14ac:dyDescent="0.25">
      <c r="A1753" s="19">
        <v>41939</v>
      </c>
      <c r="B1753" s="20">
        <v>0.97569444444444442</v>
      </c>
      <c r="C1753" t="str">
        <f t="shared" si="189"/>
        <v>14</v>
      </c>
      <c r="D1753" t="str">
        <f t="shared" si="190"/>
        <v>10</v>
      </c>
      <c r="E1753" t="str">
        <f t="shared" si="191"/>
        <v>27</v>
      </c>
      <c r="F1753">
        <f t="shared" si="192"/>
        <v>2014</v>
      </c>
      <c r="G1753">
        <f t="shared" si="193"/>
        <v>10</v>
      </c>
      <c r="H1753">
        <f t="shared" si="194"/>
        <v>27</v>
      </c>
      <c r="I1753" t="str">
        <f t="shared" si="195"/>
        <v>14</v>
      </c>
    </row>
    <row r="1754" spans="1:9" x14ac:dyDescent="0.25">
      <c r="A1754" s="19">
        <v>42368</v>
      </c>
      <c r="B1754" s="20">
        <v>0.99027777777777781</v>
      </c>
      <c r="C1754" t="str">
        <f t="shared" si="189"/>
        <v>15</v>
      </c>
      <c r="D1754" t="str">
        <f t="shared" si="190"/>
        <v>12</v>
      </c>
      <c r="E1754" t="str">
        <f t="shared" si="191"/>
        <v>30</v>
      </c>
      <c r="F1754">
        <f t="shared" si="192"/>
        <v>2015</v>
      </c>
      <c r="G1754">
        <f t="shared" si="193"/>
        <v>12</v>
      </c>
      <c r="H1754">
        <f t="shared" si="194"/>
        <v>30</v>
      </c>
      <c r="I1754" t="str">
        <f t="shared" si="195"/>
        <v>15</v>
      </c>
    </row>
    <row r="1755" spans="1:9" x14ac:dyDescent="0.25">
      <c r="A1755" s="19">
        <v>42196</v>
      </c>
      <c r="B1755" s="20">
        <v>6.2500000000000003E-3</v>
      </c>
      <c r="C1755" t="str">
        <f t="shared" si="189"/>
        <v>15</v>
      </c>
      <c r="D1755" t="str">
        <f t="shared" si="190"/>
        <v>07</v>
      </c>
      <c r="E1755" t="str">
        <f t="shared" si="191"/>
        <v>11</v>
      </c>
      <c r="F1755">
        <f t="shared" si="192"/>
        <v>2015</v>
      </c>
      <c r="G1755">
        <f t="shared" si="193"/>
        <v>7</v>
      </c>
      <c r="H1755">
        <f t="shared" si="194"/>
        <v>11</v>
      </c>
      <c r="I1755" t="str">
        <f t="shared" si="195"/>
        <v>15</v>
      </c>
    </row>
    <row r="1756" spans="1:9" x14ac:dyDescent="0.25">
      <c r="A1756" s="19">
        <v>41404</v>
      </c>
      <c r="B1756" s="20">
        <v>1.0416666666666666E-2</v>
      </c>
      <c r="C1756" t="str">
        <f t="shared" si="189"/>
        <v>13</v>
      </c>
      <c r="D1756" t="str">
        <f t="shared" si="190"/>
        <v>05</v>
      </c>
      <c r="E1756" t="str">
        <f t="shared" si="191"/>
        <v>10</v>
      </c>
      <c r="F1756">
        <f t="shared" si="192"/>
        <v>2013</v>
      </c>
      <c r="G1756">
        <f t="shared" si="193"/>
        <v>5</v>
      </c>
      <c r="H1756">
        <f t="shared" si="194"/>
        <v>10</v>
      </c>
      <c r="I1756" t="str">
        <f t="shared" si="195"/>
        <v>13</v>
      </c>
    </row>
    <row r="1757" spans="1:9" x14ac:dyDescent="0.25">
      <c r="A1757" s="19">
        <v>41198</v>
      </c>
      <c r="B1757" s="20">
        <v>0.05</v>
      </c>
      <c r="C1757" t="str">
        <f t="shared" si="189"/>
        <v>12</v>
      </c>
      <c r="D1757" t="str">
        <f t="shared" si="190"/>
        <v>10</v>
      </c>
      <c r="E1757" t="str">
        <f t="shared" si="191"/>
        <v>16</v>
      </c>
      <c r="F1757">
        <f t="shared" si="192"/>
        <v>2012</v>
      </c>
      <c r="G1757">
        <f t="shared" si="193"/>
        <v>10</v>
      </c>
      <c r="H1757">
        <f t="shared" si="194"/>
        <v>16</v>
      </c>
      <c r="I1757" t="str">
        <f t="shared" si="195"/>
        <v>12</v>
      </c>
    </row>
    <row r="1758" spans="1:9" x14ac:dyDescent="0.25">
      <c r="A1758" s="19">
        <v>41085</v>
      </c>
      <c r="B1758" s="20">
        <v>1.6666666666666666E-2</v>
      </c>
      <c r="C1758" t="str">
        <f t="shared" si="189"/>
        <v>12</v>
      </c>
      <c r="D1758" t="str">
        <f t="shared" si="190"/>
        <v>06</v>
      </c>
      <c r="E1758" t="str">
        <f t="shared" si="191"/>
        <v>25</v>
      </c>
      <c r="F1758">
        <f t="shared" si="192"/>
        <v>2012</v>
      </c>
      <c r="G1758">
        <f t="shared" si="193"/>
        <v>6</v>
      </c>
      <c r="H1758">
        <f t="shared" si="194"/>
        <v>25</v>
      </c>
      <c r="I1758" t="str">
        <f t="shared" si="195"/>
        <v>12</v>
      </c>
    </row>
    <row r="1759" spans="1:9" x14ac:dyDescent="0.25">
      <c r="A1759" s="19">
        <v>41963</v>
      </c>
      <c r="B1759" s="20">
        <v>7.0833333333333331E-2</v>
      </c>
      <c r="C1759" t="str">
        <f t="shared" si="189"/>
        <v>14</v>
      </c>
      <c r="D1759" t="str">
        <f t="shared" si="190"/>
        <v>11</v>
      </c>
      <c r="E1759" t="str">
        <f t="shared" si="191"/>
        <v>20</v>
      </c>
      <c r="F1759">
        <f t="shared" si="192"/>
        <v>2014</v>
      </c>
      <c r="G1759">
        <f t="shared" si="193"/>
        <v>11</v>
      </c>
      <c r="H1759">
        <f t="shared" si="194"/>
        <v>20</v>
      </c>
      <c r="I1759" t="str">
        <f t="shared" si="195"/>
        <v>14</v>
      </c>
    </row>
    <row r="1760" spans="1:9" x14ac:dyDescent="0.25">
      <c r="A1760" s="19">
        <v>41036</v>
      </c>
      <c r="B1760" s="20">
        <v>1.5972222222222221E-2</v>
      </c>
      <c r="C1760" t="str">
        <f t="shared" si="189"/>
        <v>12</v>
      </c>
      <c r="D1760" t="str">
        <f t="shared" si="190"/>
        <v>05</v>
      </c>
      <c r="E1760" t="str">
        <f t="shared" si="191"/>
        <v>07</v>
      </c>
      <c r="F1760">
        <f t="shared" si="192"/>
        <v>2012</v>
      </c>
      <c r="G1760">
        <f t="shared" si="193"/>
        <v>5</v>
      </c>
      <c r="H1760">
        <f t="shared" si="194"/>
        <v>7</v>
      </c>
      <c r="I1760" t="str">
        <f t="shared" si="195"/>
        <v>12</v>
      </c>
    </row>
    <row r="1761" spans="1:9" x14ac:dyDescent="0.25">
      <c r="A1761" s="19">
        <v>41701</v>
      </c>
      <c r="B1761" s="20">
        <v>0.99236111111111114</v>
      </c>
      <c r="C1761" t="str">
        <f t="shared" si="189"/>
        <v>14</v>
      </c>
      <c r="D1761" t="str">
        <f t="shared" si="190"/>
        <v>03</v>
      </c>
      <c r="E1761" t="str">
        <f t="shared" si="191"/>
        <v>03</v>
      </c>
      <c r="F1761">
        <f t="shared" si="192"/>
        <v>2014</v>
      </c>
      <c r="G1761">
        <f t="shared" si="193"/>
        <v>3</v>
      </c>
      <c r="H1761">
        <f t="shared" si="194"/>
        <v>3</v>
      </c>
      <c r="I1761" t="str">
        <f t="shared" si="195"/>
        <v>14</v>
      </c>
    </row>
    <row r="1762" spans="1:9" x14ac:dyDescent="0.25">
      <c r="A1762" s="19">
        <v>41625</v>
      </c>
      <c r="B1762" s="20">
        <v>5.347222222222222E-2</v>
      </c>
      <c r="C1762" t="str">
        <f t="shared" si="189"/>
        <v>13</v>
      </c>
      <c r="D1762" t="str">
        <f t="shared" si="190"/>
        <v>12</v>
      </c>
      <c r="E1762" t="str">
        <f t="shared" si="191"/>
        <v>17</v>
      </c>
      <c r="F1762">
        <f t="shared" si="192"/>
        <v>2013</v>
      </c>
      <c r="G1762">
        <f t="shared" si="193"/>
        <v>12</v>
      </c>
      <c r="H1762">
        <f t="shared" si="194"/>
        <v>17</v>
      </c>
      <c r="I1762" t="str">
        <f t="shared" si="195"/>
        <v>13</v>
      </c>
    </row>
    <row r="1763" spans="1:9" x14ac:dyDescent="0.25">
      <c r="A1763" s="19">
        <v>41141</v>
      </c>
      <c r="B1763" s="20">
        <v>8.3333333333333329E-2</v>
      </c>
      <c r="C1763" t="str">
        <f t="shared" si="189"/>
        <v>12</v>
      </c>
      <c r="D1763" t="str">
        <f t="shared" si="190"/>
        <v>08</v>
      </c>
      <c r="E1763" t="str">
        <f t="shared" si="191"/>
        <v>20</v>
      </c>
      <c r="F1763">
        <f t="shared" si="192"/>
        <v>2012</v>
      </c>
      <c r="G1763">
        <f t="shared" si="193"/>
        <v>8</v>
      </c>
      <c r="H1763">
        <f t="shared" si="194"/>
        <v>20</v>
      </c>
      <c r="I1763" t="str">
        <f t="shared" si="195"/>
        <v>12</v>
      </c>
    </row>
    <row r="1764" spans="1:9" x14ac:dyDescent="0.25">
      <c r="A1764" s="19">
        <v>41120</v>
      </c>
      <c r="B1764" s="20">
        <v>3.5416666666666666E-2</v>
      </c>
      <c r="C1764" t="str">
        <f t="shared" si="189"/>
        <v>12</v>
      </c>
      <c r="D1764" t="str">
        <f t="shared" si="190"/>
        <v>07</v>
      </c>
      <c r="E1764" t="str">
        <f t="shared" si="191"/>
        <v>30</v>
      </c>
      <c r="F1764">
        <f t="shared" si="192"/>
        <v>2012</v>
      </c>
      <c r="G1764">
        <f t="shared" si="193"/>
        <v>7</v>
      </c>
      <c r="H1764">
        <f t="shared" si="194"/>
        <v>30</v>
      </c>
      <c r="I1764" t="str">
        <f t="shared" si="195"/>
        <v>12</v>
      </c>
    </row>
    <row r="1765" spans="1:9" x14ac:dyDescent="0.25">
      <c r="A1765" s="19">
        <v>41383</v>
      </c>
      <c r="B1765" s="20">
        <v>3.3333333333333333E-2</v>
      </c>
      <c r="C1765" t="str">
        <f t="shared" si="189"/>
        <v>13</v>
      </c>
      <c r="D1765" t="str">
        <f t="shared" si="190"/>
        <v>04</v>
      </c>
      <c r="E1765" t="str">
        <f t="shared" si="191"/>
        <v>19</v>
      </c>
      <c r="F1765">
        <f t="shared" si="192"/>
        <v>2013</v>
      </c>
      <c r="G1765">
        <f t="shared" si="193"/>
        <v>4</v>
      </c>
      <c r="H1765">
        <f t="shared" si="194"/>
        <v>19</v>
      </c>
      <c r="I1765" t="str">
        <f t="shared" si="195"/>
        <v>13</v>
      </c>
    </row>
    <row r="1766" spans="1:9" x14ac:dyDescent="0.25">
      <c r="A1766" s="19">
        <v>41626</v>
      </c>
      <c r="B1766" s="20">
        <v>6.805555555555555E-2</v>
      </c>
      <c r="C1766" t="str">
        <f t="shared" si="189"/>
        <v>13</v>
      </c>
      <c r="D1766" t="str">
        <f t="shared" si="190"/>
        <v>12</v>
      </c>
      <c r="E1766" t="str">
        <f t="shared" si="191"/>
        <v>18</v>
      </c>
      <c r="F1766">
        <f t="shared" si="192"/>
        <v>2013</v>
      </c>
      <c r="G1766">
        <f t="shared" si="193"/>
        <v>12</v>
      </c>
      <c r="H1766">
        <f t="shared" si="194"/>
        <v>18</v>
      </c>
      <c r="I1766" t="str">
        <f t="shared" si="195"/>
        <v>13</v>
      </c>
    </row>
    <row r="1767" spans="1:9" x14ac:dyDescent="0.25">
      <c r="A1767" s="19">
        <v>41392</v>
      </c>
      <c r="B1767" s="20">
        <v>4.4444444444444446E-2</v>
      </c>
      <c r="C1767" t="str">
        <f t="shared" si="189"/>
        <v>13</v>
      </c>
      <c r="D1767" t="str">
        <f t="shared" si="190"/>
        <v>04</v>
      </c>
      <c r="E1767" t="str">
        <f t="shared" si="191"/>
        <v>28</v>
      </c>
      <c r="F1767">
        <f t="shared" si="192"/>
        <v>2013</v>
      </c>
      <c r="G1767">
        <f t="shared" si="193"/>
        <v>4</v>
      </c>
      <c r="H1767">
        <f t="shared" si="194"/>
        <v>28</v>
      </c>
      <c r="I1767" t="str">
        <f t="shared" si="195"/>
        <v>13</v>
      </c>
    </row>
    <row r="1768" spans="1:9" x14ac:dyDescent="0.25">
      <c r="A1768" s="19">
        <v>41847</v>
      </c>
      <c r="B1768" s="20">
        <v>2.7777777777777779E-3</v>
      </c>
      <c r="C1768" t="str">
        <f t="shared" si="189"/>
        <v>14</v>
      </c>
      <c r="D1768" t="str">
        <f t="shared" si="190"/>
        <v>07</v>
      </c>
      <c r="E1768" t="str">
        <f t="shared" si="191"/>
        <v>27</v>
      </c>
      <c r="F1768">
        <f t="shared" si="192"/>
        <v>2014</v>
      </c>
      <c r="G1768">
        <f t="shared" si="193"/>
        <v>7</v>
      </c>
      <c r="H1768">
        <f t="shared" si="194"/>
        <v>27</v>
      </c>
      <c r="I1768" t="str">
        <f t="shared" si="195"/>
        <v>14</v>
      </c>
    </row>
    <row r="1769" spans="1:9" x14ac:dyDescent="0.25">
      <c r="A1769" s="19">
        <v>42665</v>
      </c>
      <c r="B1769" s="20">
        <v>2.013888888888889E-2</v>
      </c>
      <c r="C1769" t="str">
        <f t="shared" si="189"/>
        <v>16</v>
      </c>
      <c r="D1769" t="str">
        <f t="shared" si="190"/>
        <v>10</v>
      </c>
      <c r="E1769" t="str">
        <f t="shared" si="191"/>
        <v>22</v>
      </c>
      <c r="F1769">
        <f t="shared" si="192"/>
        <v>2016</v>
      </c>
      <c r="G1769">
        <f t="shared" si="193"/>
        <v>10</v>
      </c>
      <c r="H1769">
        <f t="shared" si="194"/>
        <v>22</v>
      </c>
      <c r="I1769" t="str">
        <f t="shared" si="195"/>
        <v>16</v>
      </c>
    </row>
    <row r="1770" spans="1:9" x14ac:dyDescent="0.25">
      <c r="A1770" s="19">
        <v>42256</v>
      </c>
      <c r="B1770" s="20">
        <v>0.9555555555555556</v>
      </c>
      <c r="C1770" t="str">
        <f t="shared" si="189"/>
        <v>15</v>
      </c>
      <c r="D1770" t="str">
        <f t="shared" si="190"/>
        <v>09</v>
      </c>
      <c r="E1770" t="str">
        <f t="shared" si="191"/>
        <v>09</v>
      </c>
      <c r="F1770">
        <f t="shared" si="192"/>
        <v>2015</v>
      </c>
      <c r="G1770">
        <f t="shared" si="193"/>
        <v>9</v>
      </c>
      <c r="H1770">
        <f t="shared" si="194"/>
        <v>9</v>
      </c>
      <c r="I1770" t="str">
        <f t="shared" si="195"/>
        <v>15</v>
      </c>
    </row>
    <row r="1771" spans="1:9" x14ac:dyDescent="0.25">
      <c r="A1771" s="19">
        <v>41827</v>
      </c>
      <c r="B1771" s="20">
        <v>0.96875</v>
      </c>
      <c r="C1771" t="str">
        <f t="shared" si="189"/>
        <v>14</v>
      </c>
      <c r="D1771" t="str">
        <f t="shared" si="190"/>
        <v>07</v>
      </c>
      <c r="E1771" t="str">
        <f t="shared" si="191"/>
        <v>07</v>
      </c>
      <c r="F1771">
        <f t="shared" si="192"/>
        <v>2014</v>
      </c>
      <c r="G1771">
        <f t="shared" si="193"/>
        <v>7</v>
      </c>
      <c r="H1771">
        <f t="shared" si="194"/>
        <v>7</v>
      </c>
      <c r="I1771" t="str">
        <f t="shared" si="195"/>
        <v>14</v>
      </c>
    </row>
    <row r="1772" spans="1:9" x14ac:dyDescent="0.25">
      <c r="A1772" s="19">
        <v>41482</v>
      </c>
      <c r="B1772" s="20">
        <v>2.361111111111111E-2</v>
      </c>
      <c r="C1772" t="str">
        <f t="shared" si="189"/>
        <v>13</v>
      </c>
      <c r="D1772" t="str">
        <f t="shared" si="190"/>
        <v>07</v>
      </c>
      <c r="E1772" t="str">
        <f t="shared" si="191"/>
        <v>27</v>
      </c>
      <c r="F1772">
        <f t="shared" si="192"/>
        <v>2013</v>
      </c>
      <c r="G1772">
        <f t="shared" si="193"/>
        <v>7</v>
      </c>
      <c r="H1772">
        <f t="shared" si="194"/>
        <v>27</v>
      </c>
      <c r="I1772" t="str">
        <f t="shared" si="195"/>
        <v>13</v>
      </c>
    </row>
    <row r="1773" spans="1:9" x14ac:dyDescent="0.25">
      <c r="A1773" s="19">
        <v>42316</v>
      </c>
      <c r="B1773" s="20">
        <v>3.6111111111111108E-2</v>
      </c>
      <c r="C1773" t="str">
        <f t="shared" si="189"/>
        <v>15</v>
      </c>
      <c r="D1773" t="str">
        <f t="shared" si="190"/>
        <v>11</v>
      </c>
      <c r="E1773" t="str">
        <f t="shared" si="191"/>
        <v>08</v>
      </c>
      <c r="F1773">
        <f t="shared" si="192"/>
        <v>2015</v>
      </c>
      <c r="G1773">
        <f t="shared" si="193"/>
        <v>11</v>
      </c>
      <c r="H1773">
        <f t="shared" si="194"/>
        <v>8</v>
      </c>
      <c r="I1773" t="str">
        <f t="shared" si="195"/>
        <v>15</v>
      </c>
    </row>
    <row r="1774" spans="1:9" x14ac:dyDescent="0.25">
      <c r="A1774" s="19">
        <v>41610</v>
      </c>
      <c r="B1774" s="20">
        <v>0.96736111111111112</v>
      </c>
      <c r="C1774" t="str">
        <f t="shared" si="189"/>
        <v>13</v>
      </c>
      <c r="D1774" t="str">
        <f t="shared" si="190"/>
        <v>12</v>
      </c>
      <c r="E1774" t="str">
        <f t="shared" si="191"/>
        <v>02</v>
      </c>
      <c r="F1774">
        <f t="shared" si="192"/>
        <v>2013</v>
      </c>
      <c r="G1774">
        <f t="shared" si="193"/>
        <v>12</v>
      </c>
      <c r="H1774">
        <f t="shared" si="194"/>
        <v>2</v>
      </c>
      <c r="I1774" t="str">
        <f t="shared" si="195"/>
        <v>13</v>
      </c>
    </row>
    <row r="1775" spans="1:9" x14ac:dyDescent="0.25">
      <c r="A1775" s="19">
        <v>41646</v>
      </c>
      <c r="B1775" s="20">
        <v>4.583333333333333E-2</v>
      </c>
      <c r="C1775" t="str">
        <f t="shared" si="189"/>
        <v>14</v>
      </c>
      <c r="D1775" t="str">
        <f t="shared" si="190"/>
        <v>01</v>
      </c>
      <c r="E1775" t="str">
        <f t="shared" si="191"/>
        <v>07</v>
      </c>
      <c r="F1775">
        <f t="shared" si="192"/>
        <v>2014</v>
      </c>
      <c r="G1775">
        <f t="shared" si="193"/>
        <v>1</v>
      </c>
      <c r="H1775">
        <f t="shared" si="194"/>
        <v>7</v>
      </c>
      <c r="I1775" t="str">
        <f t="shared" si="195"/>
        <v>14</v>
      </c>
    </row>
    <row r="1776" spans="1:9" x14ac:dyDescent="0.25">
      <c r="A1776" s="19">
        <v>41509</v>
      </c>
      <c r="B1776" s="20">
        <v>0.97638888888888886</v>
      </c>
      <c r="C1776" t="str">
        <f t="shared" si="189"/>
        <v>13</v>
      </c>
      <c r="D1776" t="str">
        <f t="shared" si="190"/>
        <v>08</v>
      </c>
      <c r="E1776" t="str">
        <f t="shared" si="191"/>
        <v>23</v>
      </c>
      <c r="F1776">
        <f t="shared" si="192"/>
        <v>2013</v>
      </c>
      <c r="G1776">
        <f t="shared" si="193"/>
        <v>8</v>
      </c>
      <c r="H1776">
        <f t="shared" si="194"/>
        <v>23</v>
      </c>
      <c r="I1776" t="str">
        <f t="shared" si="195"/>
        <v>13</v>
      </c>
    </row>
    <row r="1777" spans="1:9" x14ac:dyDescent="0.25">
      <c r="A1777" s="19">
        <v>41222</v>
      </c>
      <c r="B1777" s="20">
        <v>0.99861111111111112</v>
      </c>
      <c r="C1777" t="str">
        <f t="shared" si="189"/>
        <v>12</v>
      </c>
      <c r="D1777" t="str">
        <f t="shared" si="190"/>
        <v>11</v>
      </c>
      <c r="E1777" t="str">
        <f t="shared" si="191"/>
        <v>09</v>
      </c>
      <c r="F1777">
        <f t="shared" si="192"/>
        <v>2012</v>
      </c>
      <c r="G1777">
        <f t="shared" si="193"/>
        <v>11</v>
      </c>
      <c r="H1777">
        <f t="shared" si="194"/>
        <v>9</v>
      </c>
      <c r="I1777" t="str">
        <f t="shared" si="195"/>
        <v>12</v>
      </c>
    </row>
    <row r="1778" spans="1:9" x14ac:dyDescent="0.25">
      <c r="A1778" s="19">
        <v>42040</v>
      </c>
      <c r="B1778" s="20">
        <v>0.94097222222222221</v>
      </c>
      <c r="C1778" t="str">
        <f t="shared" si="189"/>
        <v>15</v>
      </c>
      <c r="D1778" t="str">
        <f t="shared" si="190"/>
        <v>02</v>
      </c>
      <c r="E1778" t="str">
        <f t="shared" si="191"/>
        <v>05</v>
      </c>
      <c r="F1778">
        <f t="shared" si="192"/>
        <v>2015</v>
      </c>
      <c r="G1778">
        <f t="shared" si="193"/>
        <v>2</v>
      </c>
      <c r="H1778">
        <f t="shared" si="194"/>
        <v>5</v>
      </c>
      <c r="I1778" t="str">
        <f t="shared" si="195"/>
        <v>15</v>
      </c>
    </row>
    <row r="1779" spans="1:9" x14ac:dyDescent="0.25">
      <c r="A1779" s="19">
        <v>41684</v>
      </c>
      <c r="B1779" s="20">
        <v>3.9583333333333331E-2</v>
      </c>
      <c r="C1779" t="str">
        <f t="shared" si="189"/>
        <v>14</v>
      </c>
      <c r="D1779" t="str">
        <f t="shared" si="190"/>
        <v>02</v>
      </c>
      <c r="E1779" t="str">
        <f t="shared" si="191"/>
        <v>14</v>
      </c>
      <c r="F1779">
        <f t="shared" si="192"/>
        <v>2014</v>
      </c>
      <c r="G1779">
        <f t="shared" si="193"/>
        <v>2</v>
      </c>
      <c r="H1779">
        <f t="shared" si="194"/>
        <v>14</v>
      </c>
      <c r="I1779" t="str">
        <f t="shared" si="195"/>
        <v>14</v>
      </c>
    </row>
    <row r="1780" spans="1:9" x14ac:dyDescent="0.25">
      <c r="A1780" s="19">
        <v>41671</v>
      </c>
      <c r="B1780" s="20">
        <v>1.1805555555555555E-2</v>
      </c>
      <c r="C1780" t="str">
        <f t="shared" si="189"/>
        <v>14</v>
      </c>
      <c r="D1780" t="str">
        <f t="shared" si="190"/>
        <v>02</v>
      </c>
      <c r="E1780" t="str">
        <f t="shared" si="191"/>
        <v>01</v>
      </c>
      <c r="F1780">
        <f t="shared" si="192"/>
        <v>2014</v>
      </c>
      <c r="G1780">
        <f t="shared" si="193"/>
        <v>2</v>
      </c>
      <c r="H1780">
        <f t="shared" si="194"/>
        <v>1</v>
      </c>
      <c r="I1780" t="str">
        <f t="shared" si="195"/>
        <v>14</v>
      </c>
    </row>
    <row r="1781" spans="1:9" x14ac:dyDescent="0.25">
      <c r="A1781" s="19">
        <v>42777</v>
      </c>
      <c r="B1781" s="20">
        <v>1.4583333333333334E-2</v>
      </c>
      <c r="C1781" t="str">
        <f t="shared" si="189"/>
        <v>17</v>
      </c>
      <c r="D1781" t="str">
        <f t="shared" si="190"/>
        <v>02</v>
      </c>
      <c r="E1781" t="str">
        <f t="shared" si="191"/>
        <v>11</v>
      </c>
      <c r="F1781">
        <f t="shared" si="192"/>
        <v>2017</v>
      </c>
      <c r="G1781">
        <f t="shared" si="193"/>
        <v>2</v>
      </c>
      <c r="H1781">
        <f t="shared" si="194"/>
        <v>11</v>
      </c>
      <c r="I1781" t="str">
        <f t="shared" si="195"/>
        <v>17</v>
      </c>
    </row>
    <row r="1782" spans="1:9" x14ac:dyDescent="0.25">
      <c r="A1782" s="19">
        <v>41259</v>
      </c>
      <c r="B1782" s="20">
        <v>7.7777777777777779E-2</v>
      </c>
      <c r="C1782" t="str">
        <f t="shared" si="189"/>
        <v>12</v>
      </c>
      <c r="D1782" t="str">
        <f t="shared" si="190"/>
        <v>12</v>
      </c>
      <c r="E1782" t="str">
        <f t="shared" si="191"/>
        <v>16</v>
      </c>
      <c r="F1782">
        <f t="shared" si="192"/>
        <v>2012</v>
      </c>
      <c r="G1782">
        <f t="shared" si="193"/>
        <v>12</v>
      </c>
      <c r="H1782">
        <f t="shared" si="194"/>
        <v>16</v>
      </c>
      <c r="I1782" t="str">
        <f t="shared" si="195"/>
        <v>12</v>
      </c>
    </row>
    <row r="1783" spans="1:9" x14ac:dyDescent="0.25">
      <c r="A1783" s="19">
        <v>41823</v>
      </c>
      <c r="B1783" s="20">
        <v>1.9444444444444445E-2</v>
      </c>
      <c r="C1783" t="str">
        <f t="shared" si="189"/>
        <v>14</v>
      </c>
      <c r="D1783" t="str">
        <f t="shared" si="190"/>
        <v>07</v>
      </c>
      <c r="E1783" t="str">
        <f t="shared" si="191"/>
        <v>03</v>
      </c>
      <c r="F1783">
        <f t="shared" si="192"/>
        <v>2014</v>
      </c>
      <c r="G1783">
        <f t="shared" si="193"/>
        <v>7</v>
      </c>
      <c r="H1783">
        <f t="shared" si="194"/>
        <v>3</v>
      </c>
      <c r="I1783" t="str">
        <f t="shared" si="195"/>
        <v>14</v>
      </c>
    </row>
    <row r="1784" spans="1:9" x14ac:dyDescent="0.25">
      <c r="A1784" s="19">
        <v>41612</v>
      </c>
      <c r="B1784" s="20">
        <v>1.5277777777777777E-2</v>
      </c>
      <c r="C1784" t="str">
        <f t="shared" si="189"/>
        <v>13</v>
      </c>
      <c r="D1784" t="str">
        <f t="shared" si="190"/>
        <v>12</v>
      </c>
      <c r="E1784" t="str">
        <f t="shared" si="191"/>
        <v>04</v>
      </c>
      <c r="F1784">
        <f t="shared" si="192"/>
        <v>2013</v>
      </c>
      <c r="G1784">
        <f t="shared" si="193"/>
        <v>12</v>
      </c>
      <c r="H1784">
        <f t="shared" si="194"/>
        <v>4</v>
      </c>
      <c r="I1784" t="str">
        <f t="shared" si="195"/>
        <v>13</v>
      </c>
    </row>
    <row r="1785" spans="1:9" x14ac:dyDescent="0.25">
      <c r="A1785" s="19">
        <v>41746</v>
      </c>
      <c r="B1785" s="20">
        <v>1.8055555555555554E-2</v>
      </c>
      <c r="C1785" t="str">
        <f t="shared" si="189"/>
        <v>14</v>
      </c>
      <c r="D1785" t="str">
        <f t="shared" si="190"/>
        <v>04</v>
      </c>
      <c r="E1785" t="str">
        <f t="shared" si="191"/>
        <v>17</v>
      </c>
      <c r="F1785">
        <f t="shared" si="192"/>
        <v>2014</v>
      </c>
      <c r="G1785">
        <f t="shared" si="193"/>
        <v>4</v>
      </c>
      <c r="H1785">
        <f t="shared" si="194"/>
        <v>17</v>
      </c>
      <c r="I1785" t="str">
        <f t="shared" si="195"/>
        <v>14</v>
      </c>
    </row>
    <row r="1786" spans="1:9" x14ac:dyDescent="0.25">
      <c r="A1786" s="19">
        <v>41678</v>
      </c>
      <c r="B1786" s="20">
        <v>1.5972222222222221E-2</v>
      </c>
      <c r="C1786" t="str">
        <f t="shared" si="189"/>
        <v>14</v>
      </c>
      <c r="D1786" t="str">
        <f t="shared" si="190"/>
        <v>02</v>
      </c>
      <c r="E1786" t="str">
        <f t="shared" si="191"/>
        <v>08</v>
      </c>
      <c r="F1786">
        <f t="shared" si="192"/>
        <v>2014</v>
      </c>
      <c r="G1786">
        <f t="shared" si="193"/>
        <v>2</v>
      </c>
      <c r="H1786">
        <f t="shared" si="194"/>
        <v>8</v>
      </c>
      <c r="I1786" t="str">
        <f t="shared" si="195"/>
        <v>14</v>
      </c>
    </row>
    <row r="1787" spans="1:9" x14ac:dyDescent="0.25">
      <c r="A1787" s="19">
        <v>41230</v>
      </c>
      <c r="B1787" s="20">
        <v>0.99861111111111112</v>
      </c>
      <c r="C1787" t="str">
        <f t="shared" si="189"/>
        <v>12</v>
      </c>
      <c r="D1787" t="str">
        <f t="shared" si="190"/>
        <v>11</v>
      </c>
      <c r="E1787" t="str">
        <f t="shared" si="191"/>
        <v>17</v>
      </c>
      <c r="F1787">
        <f t="shared" si="192"/>
        <v>2012</v>
      </c>
      <c r="G1787">
        <f t="shared" si="193"/>
        <v>11</v>
      </c>
      <c r="H1787">
        <f t="shared" si="194"/>
        <v>17</v>
      </c>
      <c r="I1787" t="str">
        <f t="shared" si="195"/>
        <v>12</v>
      </c>
    </row>
    <row r="1788" spans="1:9" x14ac:dyDescent="0.25">
      <c r="A1788" s="19">
        <v>41305</v>
      </c>
      <c r="B1788" s="20">
        <v>0.99722222222222223</v>
      </c>
      <c r="C1788" t="str">
        <f t="shared" si="189"/>
        <v>13</v>
      </c>
      <c r="D1788" t="str">
        <f t="shared" si="190"/>
        <v>01</v>
      </c>
      <c r="E1788" t="str">
        <f t="shared" si="191"/>
        <v>31</v>
      </c>
      <c r="F1788">
        <f t="shared" si="192"/>
        <v>2013</v>
      </c>
      <c r="G1788">
        <f t="shared" si="193"/>
        <v>1</v>
      </c>
      <c r="H1788">
        <f t="shared" si="194"/>
        <v>31</v>
      </c>
      <c r="I1788" t="str">
        <f t="shared" si="195"/>
        <v>13</v>
      </c>
    </row>
    <row r="1789" spans="1:9" x14ac:dyDescent="0.25">
      <c r="A1789" s="19">
        <v>41823</v>
      </c>
      <c r="B1789" s="20">
        <v>9.0277777777777769E-3</v>
      </c>
      <c r="C1789" t="str">
        <f t="shared" si="189"/>
        <v>14</v>
      </c>
      <c r="D1789" t="str">
        <f t="shared" si="190"/>
        <v>07</v>
      </c>
      <c r="E1789" t="str">
        <f t="shared" si="191"/>
        <v>03</v>
      </c>
      <c r="F1789">
        <f t="shared" si="192"/>
        <v>2014</v>
      </c>
      <c r="G1789">
        <f t="shared" si="193"/>
        <v>7</v>
      </c>
      <c r="H1789">
        <f t="shared" si="194"/>
        <v>3</v>
      </c>
      <c r="I1789" t="str">
        <f t="shared" si="195"/>
        <v>14</v>
      </c>
    </row>
    <row r="1790" spans="1:9" x14ac:dyDescent="0.25">
      <c r="A1790" s="19">
        <v>41360</v>
      </c>
      <c r="B1790" s="20">
        <v>1.8749999999999999E-2</v>
      </c>
      <c r="C1790" t="str">
        <f t="shared" si="189"/>
        <v>13</v>
      </c>
      <c r="D1790" t="str">
        <f t="shared" si="190"/>
        <v>03</v>
      </c>
      <c r="E1790" t="str">
        <f t="shared" si="191"/>
        <v>27</v>
      </c>
      <c r="F1790">
        <f t="shared" si="192"/>
        <v>2013</v>
      </c>
      <c r="G1790">
        <f t="shared" si="193"/>
        <v>3</v>
      </c>
      <c r="H1790">
        <f t="shared" si="194"/>
        <v>27</v>
      </c>
      <c r="I1790" t="str">
        <f t="shared" si="195"/>
        <v>13</v>
      </c>
    </row>
    <row r="1791" spans="1:9" x14ac:dyDescent="0.25">
      <c r="A1791" s="19">
        <v>41632</v>
      </c>
      <c r="B1791" s="20">
        <v>0.98958333333333337</v>
      </c>
      <c r="C1791" t="str">
        <f t="shared" si="189"/>
        <v>13</v>
      </c>
      <c r="D1791" t="str">
        <f t="shared" si="190"/>
        <v>12</v>
      </c>
      <c r="E1791" t="str">
        <f t="shared" si="191"/>
        <v>24</v>
      </c>
      <c r="F1791">
        <f t="shared" si="192"/>
        <v>2013</v>
      </c>
      <c r="G1791">
        <f t="shared" si="193"/>
        <v>12</v>
      </c>
      <c r="H1791">
        <f t="shared" si="194"/>
        <v>24</v>
      </c>
      <c r="I1791" t="str">
        <f t="shared" si="195"/>
        <v>13</v>
      </c>
    </row>
    <row r="1792" spans="1:9" x14ac:dyDescent="0.25">
      <c r="A1792" s="19">
        <v>41246</v>
      </c>
      <c r="B1792" s="20">
        <v>2.361111111111111E-2</v>
      </c>
      <c r="C1792" t="str">
        <f t="shared" si="189"/>
        <v>12</v>
      </c>
      <c r="D1792" t="str">
        <f t="shared" si="190"/>
        <v>12</v>
      </c>
      <c r="E1792" t="str">
        <f t="shared" si="191"/>
        <v>03</v>
      </c>
      <c r="F1792">
        <f t="shared" si="192"/>
        <v>2012</v>
      </c>
      <c r="G1792">
        <f t="shared" si="193"/>
        <v>12</v>
      </c>
      <c r="H1792">
        <f t="shared" si="194"/>
        <v>3</v>
      </c>
      <c r="I1792" t="str">
        <f t="shared" si="195"/>
        <v>12</v>
      </c>
    </row>
    <row r="1793" spans="1:9" x14ac:dyDescent="0.25">
      <c r="A1793" s="19">
        <v>42453</v>
      </c>
      <c r="B1793" s="20">
        <v>8.0555555555555561E-2</v>
      </c>
      <c r="C1793" t="str">
        <f t="shared" si="189"/>
        <v>16</v>
      </c>
      <c r="D1793" t="str">
        <f t="shared" si="190"/>
        <v>03</v>
      </c>
      <c r="E1793" t="str">
        <f t="shared" si="191"/>
        <v>24</v>
      </c>
      <c r="F1793">
        <f t="shared" si="192"/>
        <v>2016</v>
      </c>
      <c r="G1793">
        <f t="shared" si="193"/>
        <v>3</v>
      </c>
      <c r="H1793">
        <f t="shared" si="194"/>
        <v>24</v>
      </c>
      <c r="I1793" t="str">
        <f t="shared" si="195"/>
        <v>16</v>
      </c>
    </row>
    <row r="1794" spans="1:9" x14ac:dyDescent="0.25">
      <c r="A1794" s="19">
        <v>41509</v>
      </c>
      <c r="B1794" s="20">
        <v>7.8472222222222221E-2</v>
      </c>
      <c r="C1794" t="str">
        <f t="shared" si="189"/>
        <v>13</v>
      </c>
      <c r="D1794" t="str">
        <f t="shared" si="190"/>
        <v>08</v>
      </c>
      <c r="E1794" t="str">
        <f t="shared" si="191"/>
        <v>23</v>
      </c>
      <c r="F1794">
        <f t="shared" si="192"/>
        <v>2013</v>
      </c>
      <c r="G1794">
        <f t="shared" si="193"/>
        <v>8</v>
      </c>
      <c r="H1794">
        <f t="shared" si="194"/>
        <v>23</v>
      </c>
      <c r="I1794" t="str">
        <f t="shared" si="195"/>
        <v>13</v>
      </c>
    </row>
    <row r="1795" spans="1:9" x14ac:dyDescent="0.25">
      <c r="A1795" s="19">
        <v>42186</v>
      </c>
      <c r="B1795" s="20">
        <v>4.5138888888888888E-2</v>
      </c>
      <c r="C1795" t="str">
        <f t="shared" ref="C1795:C1858" si="196">TEXT(A1795,"YY")</f>
        <v>15</v>
      </c>
      <c r="D1795" t="str">
        <f t="shared" ref="D1795:D1858" si="197">TEXT(A1795,"mm")</f>
        <v>07</v>
      </c>
      <c r="E1795" t="str">
        <f t="shared" ref="E1795:E1858" si="198">TEXT(A1795,"dd")</f>
        <v>01</v>
      </c>
      <c r="F1795">
        <f t="shared" ref="F1795:F1858" si="199">YEAR($A1795)</f>
        <v>2015</v>
      </c>
      <c r="G1795">
        <f t="shared" ref="G1795:G1858" si="200">MONTH($A1795)</f>
        <v>7</v>
      </c>
      <c r="H1795">
        <f t="shared" ref="H1795:H1858" si="201">DAY($A1795)</f>
        <v>1</v>
      </c>
      <c r="I1795" t="str">
        <f t="shared" ref="I1795:I1858" si="202">TEXT($A1795,"YY")</f>
        <v>15</v>
      </c>
    </row>
    <row r="1796" spans="1:9" x14ac:dyDescent="0.25">
      <c r="A1796" s="19">
        <v>41806</v>
      </c>
      <c r="B1796" s="20">
        <v>4.7222222222222221E-2</v>
      </c>
      <c r="C1796" t="str">
        <f t="shared" si="196"/>
        <v>14</v>
      </c>
      <c r="D1796" t="str">
        <f t="shared" si="197"/>
        <v>06</v>
      </c>
      <c r="E1796" t="str">
        <f t="shared" si="198"/>
        <v>16</v>
      </c>
      <c r="F1796">
        <f t="shared" si="199"/>
        <v>2014</v>
      </c>
      <c r="G1796">
        <f t="shared" si="200"/>
        <v>6</v>
      </c>
      <c r="H1796">
        <f t="shared" si="201"/>
        <v>16</v>
      </c>
      <c r="I1796" t="str">
        <f t="shared" si="202"/>
        <v>14</v>
      </c>
    </row>
    <row r="1797" spans="1:9" x14ac:dyDescent="0.25">
      <c r="A1797" s="19">
        <v>41178</v>
      </c>
      <c r="B1797" s="20">
        <v>3.125E-2</v>
      </c>
      <c r="C1797" t="str">
        <f t="shared" si="196"/>
        <v>12</v>
      </c>
      <c r="D1797" t="str">
        <f t="shared" si="197"/>
        <v>09</v>
      </c>
      <c r="E1797" t="str">
        <f t="shared" si="198"/>
        <v>26</v>
      </c>
      <c r="F1797">
        <f t="shared" si="199"/>
        <v>2012</v>
      </c>
      <c r="G1797">
        <f t="shared" si="200"/>
        <v>9</v>
      </c>
      <c r="H1797">
        <f t="shared" si="201"/>
        <v>26</v>
      </c>
      <c r="I1797" t="str">
        <f t="shared" si="202"/>
        <v>12</v>
      </c>
    </row>
    <row r="1798" spans="1:9" x14ac:dyDescent="0.25">
      <c r="A1798" s="19">
        <v>42443</v>
      </c>
      <c r="B1798" s="20">
        <v>3.9583333333333331E-2</v>
      </c>
      <c r="C1798" t="str">
        <f t="shared" si="196"/>
        <v>16</v>
      </c>
      <c r="D1798" t="str">
        <f t="shared" si="197"/>
        <v>03</v>
      </c>
      <c r="E1798" t="str">
        <f t="shared" si="198"/>
        <v>14</v>
      </c>
      <c r="F1798">
        <f t="shared" si="199"/>
        <v>2016</v>
      </c>
      <c r="G1798">
        <f t="shared" si="200"/>
        <v>3</v>
      </c>
      <c r="H1798">
        <f t="shared" si="201"/>
        <v>14</v>
      </c>
      <c r="I1798" t="str">
        <f t="shared" si="202"/>
        <v>16</v>
      </c>
    </row>
    <row r="1799" spans="1:9" x14ac:dyDescent="0.25">
      <c r="A1799" s="19">
        <v>42125</v>
      </c>
      <c r="B1799" s="20">
        <v>4.3055555555555555E-2</v>
      </c>
      <c r="C1799" t="str">
        <f t="shared" si="196"/>
        <v>15</v>
      </c>
      <c r="D1799" t="str">
        <f t="shared" si="197"/>
        <v>05</v>
      </c>
      <c r="E1799" t="str">
        <f t="shared" si="198"/>
        <v>01</v>
      </c>
      <c r="F1799">
        <f t="shared" si="199"/>
        <v>2015</v>
      </c>
      <c r="G1799">
        <f t="shared" si="200"/>
        <v>5</v>
      </c>
      <c r="H1799">
        <f t="shared" si="201"/>
        <v>1</v>
      </c>
      <c r="I1799" t="str">
        <f t="shared" si="202"/>
        <v>15</v>
      </c>
    </row>
    <row r="1800" spans="1:9" x14ac:dyDescent="0.25">
      <c r="A1800" s="19">
        <v>42308</v>
      </c>
      <c r="B1800" s="20">
        <v>2.7777777777777779E-3</v>
      </c>
      <c r="C1800" t="str">
        <f t="shared" si="196"/>
        <v>15</v>
      </c>
      <c r="D1800" t="str">
        <f t="shared" si="197"/>
        <v>10</v>
      </c>
      <c r="E1800" t="str">
        <f t="shared" si="198"/>
        <v>31</v>
      </c>
      <c r="F1800">
        <f t="shared" si="199"/>
        <v>2015</v>
      </c>
      <c r="G1800">
        <f t="shared" si="200"/>
        <v>10</v>
      </c>
      <c r="H1800">
        <f t="shared" si="201"/>
        <v>31</v>
      </c>
      <c r="I1800" t="str">
        <f t="shared" si="202"/>
        <v>15</v>
      </c>
    </row>
    <row r="1801" spans="1:9" x14ac:dyDescent="0.25">
      <c r="A1801" s="19">
        <v>42779</v>
      </c>
      <c r="B1801" s="20">
        <v>5.2777777777777778E-2</v>
      </c>
      <c r="C1801" t="str">
        <f t="shared" si="196"/>
        <v>17</v>
      </c>
      <c r="D1801" t="str">
        <f t="shared" si="197"/>
        <v>02</v>
      </c>
      <c r="E1801" t="str">
        <f t="shared" si="198"/>
        <v>13</v>
      </c>
      <c r="F1801">
        <f t="shared" si="199"/>
        <v>2017</v>
      </c>
      <c r="G1801">
        <f t="shared" si="200"/>
        <v>2</v>
      </c>
      <c r="H1801">
        <f t="shared" si="201"/>
        <v>13</v>
      </c>
      <c r="I1801" t="str">
        <f t="shared" si="202"/>
        <v>17</v>
      </c>
    </row>
    <row r="1802" spans="1:9" x14ac:dyDescent="0.25">
      <c r="A1802" s="19">
        <v>41587</v>
      </c>
      <c r="B1802" s="20">
        <v>2.1527777777777778E-2</v>
      </c>
      <c r="C1802" t="str">
        <f t="shared" si="196"/>
        <v>13</v>
      </c>
      <c r="D1802" t="str">
        <f t="shared" si="197"/>
        <v>11</v>
      </c>
      <c r="E1802" t="str">
        <f t="shared" si="198"/>
        <v>09</v>
      </c>
      <c r="F1802">
        <f t="shared" si="199"/>
        <v>2013</v>
      </c>
      <c r="G1802">
        <f t="shared" si="200"/>
        <v>11</v>
      </c>
      <c r="H1802">
        <f t="shared" si="201"/>
        <v>9</v>
      </c>
      <c r="I1802" t="str">
        <f t="shared" si="202"/>
        <v>13</v>
      </c>
    </row>
    <row r="1803" spans="1:9" x14ac:dyDescent="0.25">
      <c r="A1803" s="19">
        <v>41651</v>
      </c>
      <c r="B1803" s="20">
        <v>0.99583333333333335</v>
      </c>
      <c r="C1803" t="str">
        <f t="shared" si="196"/>
        <v>14</v>
      </c>
      <c r="D1803" t="str">
        <f t="shared" si="197"/>
        <v>01</v>
      </c>
      <c r="E1803" t="str">
        <f t="shared" si="198"/>
        <v>12</v>
      </c>
      <c r="F1803">
        <f t="shared" si="199"/>
        <v>2014</v>
      </c>
      <c r="G1803">
        <f t="shared" si="200"/>
        <v>1</v>
      </c>
      <c r="H1803">
        <f t="shared" si="201"/>
        <v>12</v>
      </c>
      <c r="I1803" t="str">
        <f t="shared" si="202"/>
        <v>14</v>
      </c>
    </row>
    <row r="1804" spans="1:9" x14ac:dyDescent="0.25">
      <c r="A1804" s="19">
        <v>42196</v>
      </c>
      <c r="B1804" s="20">
        <v>0.98263888888888884</v>
      </c>
      <c r="C1804" t="str">
        <f t="shared" si="196"/>
        <v>15</v>
      </c>
      <c r="D1804" t="str">
        <f t="shared" si="197"/>
        <v>07</v>
      </c>
      <c r="E1804" t="str">
        <f t="shared" si="198"/>
        <v>11</v>
      </c>
      <c r="F1804">
        <f t="shared" si="199"/>
        <v>2015</v>
      </c>
      <c r="G1804">
        <f t="shared" si="200"/>
        <v>7</v>
      </c>
      <c r="H1804">
        <f t="shared" si="201"/>
        <v>11</v>
      </c>
      <c r="I1804" t="str">
        <f t="shared" si="202"/>
        <v>15</v>
      </c>
    </row>
    <row r="1805" spans="1:9" x14ac:dyDescent="0.25">
      <c r="A1805" s="19">
        <v>41467</v>
      </c>
      <c r="B1805" s="20">
        <v>2.4305555555555556E-2</v>
      </c>
      <c r="C1805" t="str">
        <f t="shared" si="196"/>
        <v>13</v>
      </c>
      <c r="D1805" t="str">
        <f t="shared" si="197"/>
        <v>07</v>
      </c>
      <c r="E1805" t="str">
        <f t="shared" si="198"/>
        <v>12</v>
      </c>
      <c r="F1805">
        <f t="shared" si="199"/>
        <v>2013</v>
      </c>
      <c r="G1805">
        <f t="shared" si="200"/>
        <v>7</v>
      </c>
      <c r="H1805">
        <f t="shared" si="201"/>
        <v>12</v>
      </c>
      <c r="I1805" t="str">
        <f t="shared" si="202"/>
        <v>13</v>
      </c>
    </row>
    <row r="1806" spans="1:9" x14ac:dyDescent="0.25">
      <c r="A1806" s="19">
        <v>42280</v>
      </c>
      <c r="B1806" s="20">
        <v>0.97361111111111109</v>
      </c>
      <c r="C1806" t="str">
        <f t="shared" si="196"/>
        <v>15</v>
      </c>
      <c r="D1806" t="str">
        <f t="shared" si="197"/>
        <v>10</v>
      </c>
      <c r="E1806" t="str">
        <f t="shared" si="198"/>
        <v>03</v>
      </c>
      <c r="F1806">
        <f t="shared" si="199"/>
        <v>2015</v>
      </c>
      <c r="G1806">
        <f t="shared" si="200"/>
        <v>10</v>
      </c>
      <c r="H1806">
        <f t="shared" si="201"/>
        <v>3</v>
      </c>
      <c r="I1806" t="str">
        <f t="shared" si="202"/>
        <v>15</v>
      </c>
    </row>
    <row r="1807" spans="1:9" x14ac:dyDescent="0.25">
      <c r="A1807" s="19">
        <v>42650</v>
      </c>
      <c r="B1807" s="20">
        <v>2.013888888888889E-2</v>
      </c>
      <c r="C1807" t="str">
        <f t="shared" si="196"/>
        <v>16</v>
      </c>
      <c r="D1807" t="str">
        <f t="shared" si="197"/>
        <v>10</v>
      </c>
      <c r="E1807" t="str">
        <f t="shared" si="198"/>
        <v>07</v>
      </c>
      <c r="F1807">
        <f t="shared" si="199"/>
        <v>2016</v>
      </c>
      <c r="G1807">
        <f t="shared" si="200"/>
        <v>10</v>
      </c>
      <c r="H1807">
        <f t="shared" si="201"/>
        <v>7</v>
      </c>
      <c r="I1807" t="str">
        <f t="shared" si="202"/>
        <v>16</v>
      </c>
    </row>
    <row r="1808" spans="1:9" x14ac:dyDescent="0.25">
      <c r="A1808" s="19">
        <v>41283</v>
      </c>
      <c r="B1808" s="20">
        <v>0.98124999999999996</v>
      </c>
      <c r="C1808" t="str">
        <f t="shared" si="196"/>
        <v>13</v>
      </c>
      <c r="D1808" t="str">
        <f t="shared" si="197"/>
        <v>01</v>
      </c>
      <c r="E1808" t="str">
        <f t="shared" si="198"/>
        <v>09</v>
      </c>
      <c r="F1808">
        <f t="shared" si="199"/>
        <v>2013</v>
      </c>
      <c r="G1808">
        <f t="shared" si="200"/>
        <v>1</v>
      </c>
      <c r="H1808">
        <f t="shared" si="201"/>
        <v>9</v>
      </c>
      <c r="I1808" t="str">
        <f t="shared" si="202"/>
        <v>13</v>
      </c>
    </row>
    <row r="1809" spans="1:9" x14ac:dyDescent="0.25">
      <c r="A1809" s="19">
        <v>42241</v>
      </c>
      <c r="B1809" s="20">
        <v>5.9722222222222225E-2</v>
      </c>
      <c r="C1809" t="str">
        <f t="shared" si="196"/>
        <v>15</v>
      </c>
      <c r="D1809" t="str">
        <f t="shared" si="197"/>
        <v>08</v>
      </c>
      <c r="E1809" t="str">
        <f t="shared" si="198"/>
        <v>25</v>
      </c>
      <c r="F1809">
        <f t="shared" si="199"/>
        <v>2015</v>
      </c>
      <c r="G1809">
        <f t="shared" si="200"/>
        <v>8</v>
      </c>
      <c r="H1809">
        <f t="shared" si="201"/>
        <v>25</v>
      </c>
      <c r="I1809" t="str">
        <f t="shared" si="202"/>
        <v>15</v>
      </c>
    </row>
    <row r="1810" spans="1:9" x14ac:dyDescent="0.25">
      <c r="A1810" s="19">
        <v>41461</v>
      </c>
      <c r="B1810" s="20">
        <v>2.0833333333333333E-3</v>
      </c>
      <c r="C1810" t="str">
        <f t="shared" si="196"/>
        <v>13</v>
      </c>
      <c r="D1810" t="str">
        <f t="shared" si="197"/>
        <v>07</v>
      </c>
      <c r="E1810" t="str">
        <f t="shared" si="198"/>
        <v>06</v>
      </c>
      <c r="F1810">
        <f t="shared" si="199"/>
        <v>2013</v>
      </c>
      <c r="G1810">
        <f t="shared" si="200"/>
        <v>7</v>
      </c>
      <c r="H1810">
        <f t="shared" si="201"/>
        <v>6</v>
      </c>
      <c r="I1810" t="str">
        <f t="shared" si="202"/>
        <v>13</v>
      </c>
    </row>
    <row r="1811" spans="1:9" x14ac:dyDescent="0.25">
      <c r="A1811" s="19">
        <v>42525</v>
      </c>
      <c r="B1811" s="20">
        <v>1.2500000000000001E-2</v>
      </c>
      <c r="C1811" t="str">
        <f t="shared" si="196"/>
        <v>16</v>
      </c>
      <c r="D1811" t="str">
        <f t="shared" si="197"/>
        <v>06</v>
      </c>
      <c r="E1811" t="str">
        <f t="shared" si="198"/>
        <v>04</v>
      </c>
      <c r="F1811">
        <f t="shared" si="199"/>
        <v>2016</v>
      </c>
      <c r="G1811">
        <f t="shared" si="200"/>
        <v>6</v>
      </c>
      <c r="H1811">
        <f t="shared" si="201"/>
        <v>4</v>
      </c>
      <c r="I1811" t="str">
        <f t="shared" si="202"/>
        <v>16</v>
      </c>
    </row>
    <row r="1812" spans="1:9" x14ac:dyDescent="0.25">
      <c r="A1812" s="19">
        <v>41705</v>
      </c>
      <c r="B1812" s="20">
        <v>1.5972222222222221E-2</v>
      </c>
      <c r="C1812" t="str">
        <f t="shared" si="196"/>
        <v>14</v>
      </c>
      <c r="D1812" t="str">
        <f t="shared" si="197"/>
        <v>03</v>
      </c>
      <c r="E1812" t="str">
        <f t="shared" si="198"/>
        <v>07</v>
      </c>
      <c r="F1812">
        <f t="shared" si="199"/>
        <v>2014</v>
      </c>
      <c r="G1812">
        <f t="shared" si="200"/>
        <v>3</v>
      </c>
      <c r="H1812">
        <f t="shared" si="201"/>
        <v>7</v>
      </c>
      <c r="I1812" t="str">
        <f t="shared" si="202"/>
        <v>14</v>
      </c>
    </row>
    <row r="1813" spans="1:9" x14ac:dyDescent="0.25">
      <c r="A1813" s="19">
        <v>41294</v>
      </c>
      <c r="B1813" s="20">
        <v>7.7083333333333337E-2</v>
      </c>
      <c r="C1813" t="str">
        <f t="shared" si="196"/>
        <v>13</v>
      </c>
      <c r="D1813" t="str">
        <f t="shared" si="197"/>
        <v>01</v>
      </c>
      <c r="E1813" t="str">
        <f t="shared" si="198"/>
        <v>20</v>
      </c>
      <c r="F1813">
        <f t="shared" si="199"/>
        <v>2013</v>
      </c>
      <c r="G1813">
        <f t="shared" si="200"/>
        <v>1</v>
      </c>
      <c r="H1813">
        <f t="shared" si="201"/>
        <v>20</v>
      </c>
      <c r="I1813" t="str">
        <f t="shared" si="202"/>
        <v>13</v>
      </c>
    </row>
    <row r="1814" spans="1:9" x14ac:dyDescent="0.25">
      <c r="A1814" s="19">
        <v>42663</v>
      </c>
      <c r="B1814" s="20">
        <v>2.4305555555555556E-2</v>
      </c>
      <c r="C1814" t="str">
        <f t="shared" si="196"/>
        <v>16</v>
      </c>
      <c r="D1814" t="str">
        <f t="shared" si="197"/>
        <v>10</v>
      </c>
      <c r="E1814" t="str">
        <f t="shared" si="198"/>
        <v>20</v>
      </c>
      <c r="F1814">
        <f t="shared" si="199"/>
        <v>2016</v>
      </c>
      <c r="G1814">
        <f t="shared" si="200"/>
        <v>10</v>
      </c>
      <c r="H1814">
        <f t="shared" si="201"/>
        <v>20</v>
      </c>
      <c r="I1814" t="str">
        <f t="shared" si="202"/>
        <v>16</v>
      </c>
    </row>
    <row r="1815" spans="1:9" x14ac:dyDescent="0.25">
      <c r="A1815" s="19">
        <v>41512</v>
      </c>
      <c r="B1815" s="20">
        <v>3.1944444444444442E-2</v>
      </c>
      <c r="C1815" t="str">
        <f t="shared" si="196"/>
        <v>13</v>
      </c>
      <c r="D1815" t="str">
        <f t="shared" si="197"/>
        <v>08</v>
      </c>
      <c r="E1815" t="str">
        <f t="shared" si="198"/>
        <v>26</v>
      </c>
      <c r="F1815">
        <f t="shared" si="199"/>
        <v>2013</v>
      </c>
      <c r="G1815">
        <f t="shared" si="200"/>
        <v>8</v>
      </c>
      <c r="H1815">
        <f t="shared" si="201"/>
        <v>26</v>
      </c>
      <c r="I1815" t="str">
        <f t="shared" si="202"/>
        <v>13</v>
      </c>
    </row>
    <row r="1816" spans="1:9" x14ac:dyDescent="0.25">
      <c r="A1816" s="19">
        <v>41636</v>
      </c>
      <c r="B1816" s="20">
        <v>0.97916666666666663</v>
      </c>
      <c r="C1816" t="str">
        <f t="shared" si="196"/>
        <v>13</v>
      </c>
      <c r="D1816" t="str">
        <f t="shared" si="197"/>
        <v>12</v>
      </c>
      <c r="E1816" t="str">
        <f t="shared" si="198"/>
        <v>28</v>
      </c>
      <c r="F1816">
        <f t="shared" si="199"/>
        <v>2013</v>
      </c>
      <c r="G1816">
        <f t="shared" si="200"/>
        <v>12</v>
      </c>
      <c r="H1816">
        <f t="shared" si="201"/>
        <v>28</v>
      </c>
      <c r="I1816" t="str">
        <f t="shared" si="202"/>
        <v>13</v>
      </c>
    </row>
    <row r="1817" spans="1:9" x14ac:dyDescent="0.25">
      <c r="A1817" s="19">
        <v>41640</v>
      </c>
      <c r="B1817" s="20">
        <v>4.4444444444444446E-2</v>
      </c>
      <c r="C1817" t="str">
        <f t="shared" si="196"/>
        <v>14</v>
      </c>
      <c r="D1817" t="str">
        <f t="shared" si="197"/>
        <v>01</v>
      </c>
      <c r="E1817" t="str">
        <f t="shared" si="198"/>
        <v>01</v>
      </c>
      <c r="F1817">
        <f t="shared" si="199"/>
        <v>2014</v>
      </c>
      <c r="G1817">
        <f t="shared" si="200"/>
        <v>1</v>
      </c>
      <c r="H1817">
        <f t="shared" si="201"/>
        <v>1</v>
      </c>
      <c r="I1817" t="str">
        <f t="shared" si="202"/>
        <v>14</v>
      </c>
    </row>
    <row r="1818" spans="1:9" x14ac:dyDescent="0.25">
      <c r="A1818" s="19">
        <v>42030</v>
      </c>
      <c r="B1818" s="20">
        <v>2.0833333333333333E-3</v>
      </c>
      <c r="C1818" t="str">
        <f t="shared" si="196"/>
        <v>15</v>
      </c>
      <c r="D1818" t="str">
        <f t="shared" si="197"/>
        <v>01</v>
      </c>
      <c r="E1818" t="str">
        <f t="shared" si="198"/>
        <v>26</v>
      </c>
      <c r="F1818">
        <f t="shared" si="199"/>
        <v>2015</v>
      </c>
      <c r="G1818">
        <f t="shared" si="200"/>
        <v>1</v>
      </c>
      <c r="H1818">
        <f t="shared" si="201"/>
        <v>26</v>
      </c>
      <c r="I1818" t="str">
        <f t="shared" si="202"/>
        <v>15</v>
      </c>
    </row>
    <row r="1819" spans="1:9" x14ac:dyDescent="0.25">
      <c r="A1819" s="19">
        <v>41708</v>
      </c>
      <c r="B1819" s="20">
        <v>5.5555555555555552E-2</v>
      </c>
      <c r="C1819" t="str">
        <f t="shared" si="196"/>
        <v>14</v>
      </c>
      <c r="D1819" t="str">
        <f t="shared" si="197"/>
        <v>03</v>
      </c>
      <c r="E1819" t="str">
        <f t="shared" si="198"/>
        <v>10</v>
      </c>
      <c r="F1819">
        <f t="shared" si="199"/>
        <v>2014</v>
      </c>
      <c r="G1819">
        <f t="shared" si="200"/>
        <v>3</v>
      </c>
      <c r="H1819">
        <f t="shared" si="201"/>
        <v>10</v>
      </c>
      <c r="I1819" t="str">
        <f t="shared" si="202"/>
        <v>14</v>
      </c>
    </row>
    <row r="1820" spans="1:9" x14ac:dyDescent="0.25">
      <c r="A1820" s="19">
        <v>42035</v>
      </c>
      <c r="B1820" s="20">
        <v>3.3333333333333333E-2</v>
      </c>
      <c r="C1820" t="str">
        <f t="shared" si="196"/>
        <v>15</v>
      </c>
      <c r="D1820" t="str">
        <f t="shared" si="197"/>
        <v>01</v>
      </c>
      <c r="E1820" t="str">
        <f t="shared" si="198"/>
        <v>31</v>
      </c>
      <c r="F1820">
        <f t="shared" si="199"/>
        <v>2015</v>
      </c>
      <c r="G1820">
        <f t="shared" si="200"/>
        <v>1</v>
      </c>
      <c r="H1820">
        <f t="shared" si="201"/>
        <v>31</v>
      </c>
      <c r="I1820" t="str">
        <f t="shared" si="202"/>
        <v>15</v>
      </c>
    </row>
    <row r="1821" spans="1:9" x14ac:dyDescent="0.25">
      <c r="A1821" s="19">
        <v>42014</v>
      </c>
      <c r="B1821" s="20">
        <v>5.2083333333333336E-2</v>
      </c>
      <c r="C1821" t="str">
        <f t="shared" si="196"/>
        <v>15</v>
      </c>
      <c r="D1821" t="str">
        <f t="shared" si="197"/>
        <v>01</v>
      </c>
      <c r="E1821" t="str">
        <f t="shared" si="198"/>
        <v>10</v>
      </c>
      <c r="F1821">
        <f t="shared" si="199"/>
        <v>2015</v>
      </c>
      <c r="G1821">
        <f t="shared" si="200"/>
        <v>1</v>
      </c>
      <c r="H1821">
        <f t="shared" si="201"/>
        <v>10</v>
      </c>
      <c r="I1821" t="str">
        <f t="shared" si="202"/>
        <v>15</v>
      </c>
    </row>
    <row r="1822" spans="1:9" x14ac:dyDescent="0.25">
      <c r="A1822" s="19">
        <v>42134</v>
      </c>
      <c r="B1822" s="20">
        <v>0.95972222222222225</v>
      </c>
      <c r="C1822" t="str">
        <f t="shared" si="196"/>
        <v>15</v>
      </c>
      <c r="D1822" t="str">
        <f t="shared" si="197"/>
        <v>05</v>
      </c>
      <c r="E1822" t="str">
        <f t="shared" si="198"/>
        <v>10</v>
      </c>
      <c r="F1822">
        <f t="shared" si="199"/>
        <v>2015</v>
      </c>
      <c r="G1822">
        <f t="shared" si="200"/>
        <v>5</v>
      </c>
      <c r="H1822">
        <f t="shared" si="201"/>
        <v>10</v>
      </c>
      <c r="I1822" t="str">
        <f t="shared" si="202"/>
        <v>15</v>
      </c>
    </row>
    <row r="1823" spans="1:9" x14ac:dyDescent="0.25">
      <c r="A1823" s="19">
        <v>41097</v>
      </c>
      <c r="B1823" s="20">
        <v>1.0416666666666666E-2</v>
      </c>
      <c r="C1823" t="str">
        <f t="shared" si="196"/>
        <v>12</v>
      </c>
      <c r="D1823" t="str">
        <f t="shared" si="197"/>
        <v>07</v>
      </c>
      <c r="E1823" t="str">
        <f t="shared" si="198"/>
        <v>07</v>
      </c>
      <c r="F1823">
        <f t="shared" si="199"/>
        <v>2012</v>
      </c>
      <c r="G1823">
        <f t="shared" si="200"/>
        <v>7</v>
      </c>
      <c r="H1823">
        <f t="shared" si="201"/>
        <v>7</v>
      </c>
      <c r="I1823" t="str">
        <f t="shared" si="202"/>
        <v>12</v>
      </c>
    </row>
    <row r="1824" spans="1:9" x14ac:dyDescent="0.25">
      <c r="A1824" s="19">
        <v>42237</v>
      </c>
      <c r="B1824" s="20">
        <v>1.3888888888888889E-3</v>
      </c>
      <c r="C1824" t="str">
        <f t="shared" si="196"/>
        <v>15</v>
      </c>
      <c r="D1824" t="str">
        <f t="shared" si="197"/>
        <v>08</v>
      </c>
      <c r="E1824" t="str">
        <f t="shared" si="198"/>
        <v>21</v>
      </c>
      <c r="F1824">
        <f t="shared" si="199"/>
        <v>2015</v>
      </c>
      <c r="G1824">
        <f t="shared" si="200"/>
        <v>8</v>
      </c>
      <c r="H1824">
        <f t="shared" si="201"/>
        <v>21</v>
      </c>
      <c r="I1824" t="str">
        <f t="shared" si="202"/>
        <v>15</v>
      </c>
    </row>
    <row r="1825" spans="1:9" x14ac:dyDescent="0.25">
      <c r="A1825" s="19">
        <v>41724</v>
      </c>
      <c r="B1825" s="20">
        <v>2.5000000000000001E-2</v>
      </c>
      <c r="C1825" t="str">
        <f t="shared" si="196"/>
        <v>14</v>
      </c>
      <c r="D1825" t="str">
        <f t="shared" si="197"/>
        <v>03</v>
      </c>
      <c r="E1825" t="str">
        <f t="shared" si="198"/>
        <v>26</v>
      </c>
      <c r="F1825">
        <f t="shared" si="199"/>
        <v>2014</v>
      </c>
      <c r="G1825">
        <f t="shared" si="200"/>
        <v>3</v>
      </c>
      <c r="H1825">
        <f t="shared" si="201"/>
        <v>26</v>
      </c>
      <c r="I1825" t="str">
        <f t="shared" si="202"/>
        <v>14</v>
      </c>
    </row>
    <row r="1826" spans="1:9" x14ac:dyDescent="0.25">
      <c r="A1826" s="19">
        <v>41163</v>
      </c>
      <c r="B1826" s="20">
        <v>0.9868055555555556</v>
      </c>
      <c r="C1826" t="str">
        <f t="shared" si="196"/>
        <v>12</v>
      </c>
      <c r="D1826" t="str">
        <f t="shared" si="197"/>
        <v>09</v>
      </c>
      <c r="E1826" t="str">
        <f t="shared" si="198"/>
        <v>11</v>
      </c>
      <c r="F1826">
        <f t="shared" si="199"/>
        <v>2012</v>
      </c>
      <c r="G1826">
        <f t="shared" si="200"/>
        <v>9</v>
      </c>
      <c r="H1826">
        <f t="shared" si="201"/>
        <v>11</v>
      </c>
      <c r="I1826" t="str">
        <f t="shared" si="202"/>
        <v>12</v>
      </c>
    </row>
    <row r="1827" spans="1:9" x14ac:dyDescent="0.25">
      <c r="A1827" s="19">
        <v>41195</v>
      </c>
      <c r="B1827" s="20">
        <v>0.99375000000000002</v>
      </c>
      <c r="C1827" t="str">
        <f t="shared" si="196"/>
        <v>12</v>
      </c>
      <c r="D1827" t="str">
        <f t="shared" si="197"/>
        <v>10</v>
      </c>
      <c r="E1827" t="str">
        <f t="shared" si="198"/>
        <v>13</v>
      </c>
      <c r="F1827">
        <f t="shared" si="199"/>
        <v>2012</v>
      </c>
      <c r="G1827">
        <f t="shared" si="200"/>
        <v>10</v>
      </c>
      <c r="H1827">
        <f t="shared" si="201"/>
        <v>13</v>
      </c>
      <c r="I1827" t="str">
        <f t="shared" si="202"/>
        <v>12</v>
      </c>
    </row>
    <row r="1828" spans="1:9" x14ac:dyDescent="0.25">
      <c r="A1828" s="19">
        <v>42422</v>
      </c>
      <c r="B1828" s="20">
        <v>2.013888888888889E-2</v>
      </c>
      <c r="C1828" t="str">
        <f t="shared" si="196"/>
        <v>16</v>
      </c>
      <c r="D1828" t="str">
        <f t="shared" si="197"/>
        <v>02</v>
      </c>
      <c r="E1828" t="str">
        <f t="shared" si="198"/>
        <v>22</v>
      </c>
      <c r="F1828">
        <f t="shared" si="199"/>
        <v>2016</v>
      </c>
      <c r="G1828">
        <f t="shared" si="200"/>
        <v>2</v>
      </c>
      <c r="H1828">
        <f t="shared" si="201"/>
        <v>22</v>
      </c>
      <c r="I1828" t="str">
        <f t="shared" si="202"/>
        <v>16</v>
      </c>
    </row>
    <row r="1829" spans="1:9" x14ac:dyDescent="0.25">
      <c r="A1829" s="19">
        <v>42284</v>
      </c>
      <c r="B1829" s="20">
        <v>0.97291666666666665</v>
      </c>
      <c r="C1829" t="str">
        <f t="shared" si="196"/>
        <v>15</v>
      </c>
      <c r="D1829" t="str">
        <f t="shared" si="197"/>
        <v>10</v>
      </c>
      <c r="E1829" t="str">
        <f t="shared" si="198"/>
        <v>07</v>
      </c>
      <c r="F1829">
        <f t="shared" si="199"/>
        <v>2015</v>
      </c>
      <c r="G1829">
        <f t="shared" si="200"/>
        <v>10</v>
      </c>
      <c r="H1829">
        <f t="shared" si="201"/>
        <v>7</v>
      </c>
      <c r="I1829" t="str">
        <f t="shared" si="202"/>
        <v>15</v>
      </c>
    </row>
    <row r="1830" spans="1:9" x14ac:dyDescent="0.25">
      <c r="A1830" s="19">
        <v>41943</v>
      </c>
      <c r="B1830" s="20">
        <v>1.3888888888888888E-2</v>
      </c>
      <c r="C1830" t="str">
        <f t="shared" si="196"/>
        <v>14</v>
      </c>
      <c r="D1830" t="str">
        <f t="shared" si="197"/>
        <v>10</v>
      </c>
      <c r="E1830" t="str">
        <f t="shared" si="198"/>
        <v>31</v>
      </c>
      <c r="F1830">
        <f t="shared" si="199"/>
        <v>2014</v>
      </c>
      <c r="G1830">
        <f t="shared" si="200"/>
        <v>10</v>
      </c>
      <c r="H1830">
        <f t="shared" si="201"/>
        <v>31</v>
      </c>
      <c r="I1830" t="str">
        <f t="shared" si="202"/>
        <v>14</v>
      </c>
    </row>
    <row r="1831" spans="1:9" x14ac:dyDescent="0.25">
      <c r="A1831" s="19">
        <v>42447</v>
      </c>
      <c r="B1831" s="20">
        <v>0.93888888888888888</v>
      </c>
      <c r="C1831" t="str">
        <f t="shared" si="196"/>
        <v>16</v>
      </c>
      <c r="D1831" t="str">
        <f t="shared" si="197"/>
        <v>03</v>
      </c>
      <c r="E1831" t="str">
        <f t="shared" si="198"/>
        <v>18</v>
      </c>
      <c r="F1831">
        <f t="shared" si="199"/>
        <v>2016</v>
      </c>
      <c r="G1831">
        <f t="shared" si="200"/>
        <v>3</v>
      </c>
      <c r="H1831">
        <f t="shared" si="201"/>
        <v>18</v>
      </c>
      <c r="I1831" t="str">
        <f t="shared" si="202"/>
        <v>16</v>
      </c>
    </row>
    <row r="1832" spans="1:9" x14ac:dyDescent="0.25">
      <c r="A1832" s="19">
        <v>41926</v>
      </c>
      <c r="B1832" s="20">
        <v>3.3333333333333333E-2</v>
      </c>
      <c r="C1832" t="str">
        <f t="shared" si="196"/>
        <v>14</v>
      </c>
      <c r="D1832" t="str">
        <f t="shared" si="197"/>
        <v>10</v>
      </c>
      <c r="E1832" t="str">
        <f t="shared" si="198"/>
        <v>14</v>
      </c>
      <c r="F1832">
        <f t="shared" si="199"/>
        <v>2014</v>
      </c>
      <c r="G1832">
        <f t="shared" si="200"/>
        <v>10</v>
      </c>
      <c r="H1832">
        <f t="shared" si="201"/>
        <v>14</v>
      </c>
      <c r="I1832" t="str">
        <f t="shared" si="202"/>
        <v>14</v>
      </c>
    </row>
    <row r="1833" spans="1:9" x14ac:dyDescent="0.25">
      <c r="A1833" s="19">
        <v>42222</v>
      </c>
      <c r="B1833" s="20">
        <v>0.95902777777777781</v>
      </c>
      <c r="C1833" t="str">
        <f t="shared" si="196"/>
        <v>15</v>
      </c>
      <c r="D1833" t="str">
        <f t="shared" si="197"/>
        <v>08</v>
      </c>
      <c r="E1833" t="str">
        <f t="shared" si="198"/>
        <v>06</v>
      </c>
      <c r="F1833">
        <f t="shared" si="199"/>
        <v>2015</v>
      </c>
      <c r="G1833">
        <f t="shared" si="200"/>
        <v>8</v>
      </c>
      <c r="H1833">
        <f t="shared" si="201"/>
        <v>6</v>
      </c>
      <c r="I1833" t="str">
        <f t="shared" si="202"/>
        <v>15</v>
      </c>
    </row>
    <row r="1834" spans="1:9" x14ac:dyDescent="0.25">
      <c r="A1834" s="19">
        <v>41251</v>
      </c>
      <c r="B1834" s="20">
        <v>0.99375000000000002</v>
      </c>
      <c r="C1834" t="str">
        <f t="shared" si="196"/>
        <v>12</v>
      </c>
      <c r="D1834" t="str">
        <f t="shared" si="197"/>
        <v>12</v>
      </c>
      <c r="E1834" t="str">
        <f t="shared" si="198"/>
        <v>08</v>
      </c>
      <c r="F1834">
        <f t="shared" si="199"/>
        <v>2012</v>
      </c>
      <c r="G1834">
        <f t="shared" si="200"/>
        <v>12</v>
      </c>
      <c r="H1834">
        <f t="shared" si="201"/>
        <v>8</v>
      </c>
      <c r="I1834" t="str">
        <f t="shared" si="202"/>
        <v>12</v>
      </c>
    </row>
    <row r="1835" spans="1:9" x14ac:dyDescent="0.25">
      <c r="A1835" s="19">
        <v>42526</v>
      </c>
      <c r="B1835" s="20">
        <v>0.94513888888888886</v>
      </c>
      <c r="C1835" t="str">
        <f t="shared" si="196"/>
        <v>16</v>
      </c>
      <c r="D1835" t="str">
        <f t="shared" si="197"/>
        <v>06</v>
      </c>
      <c r="E1835" t="str">
        <f t="shared" si="198"/>
        <v>05</v>
      </c>
      <c r="F1835">
        <f t="shared" si="199"/>
        <v>2016</v>
      </c>
      <c r="G1835">
        <f t="shared" si="200"/>
        <v>6</v>
      </c>
      <c r="H1835">
        <f t="shared" si="201"/>
        <v>5</v>
      </c>
      <c r="I1835" t="str">
        <f t="shared" si="202"/>
        <v>16</v>
      </c>
    </row>
    <row r="1836" spans="1:9" x14ac:dyDescent="0.25">
      <c r="A1836" s="19">
        <v>42697</v>
      </c>
      <c r="B1836" s="20">
        <v>0.95277777777777772</v>
      </c>
      <c r="C1836" t="str">
        <f t="shared" si="196"/>
        <v>16</v>
      </c>
      <c r="D1836" t="str">
        <f t="shared" si="197"/>
        <v>11</v>
      </c>
      <c r="E1836" t="str">
        <f t="shared" si="198"/>
        <v>23</v>
      </c>
      <c r="F1836">
        <f t="shared" si="199"/>
        <v>2016</v>
      </c>
      <c r="G1836">
        <f t="shared" si="200"/>
        <v>11</v>
      </c>
      <c r="H1836">
        <f t="shared" si="201"/>
        <v>23</v>
      </c>
      <c r="I1836" t="str">
        <f t="shared" si="202"/>
        <v>16</v>
      </c>
    </row>
    <row r="1837" spans="1:9" x14ac:dyDescent="0.25">
      <c r="A1837" s="19">
        <v>42119</v>
      </c>
      <c r="B1837" s="20">
        <v>0.99722222222222223</v>
      </c>
      <c r="C1837" t="str">
        <f t="shared" si="196"/>
        <v>15</v>
      </c>
      <c r="D1837" t="str">
        <f t="shared" si="197"/>
        <v>04</v>
      </c>
      <c r="E1837" t="str">
        <f t="shared" si="198"/>
        <v>25</v>
      </c>
      <c r="F1837">
        <f t="shared" si="199"/>
        <v>2015</v>
      </c>
      <c r="G1837">
        <f t="shared" si="200"/>
        <v>4</v>
      </c>
      <c r="H1837">
        <f t="shared" si="201"/>
        <v>25</v>
      </c>
      <c r="I1837" t="str">
        <f t="shared" si="202"/>
        <v>15</v>
      </c>
    </row>
    <row r="1838" spans="1:9" x14ac:dyDescent="0.25">
      <c r="A1838" s="19">
        <v>41141</v>
      </c>
      <c r="B1838" s="20">
        <v>6.25E-2</v>
      </c>
      <c r="C1838" t="str">
        <f t="shared" si="196"/>
        <v>12</v>
      </c>
      <c r="D1838" t="str">
        <f t="shared" si="197"/>
        <v>08</v>
      </c>
      <c r="E1838" t="str">
        <f t="shared" si="198"/>
        <v>20</v>
      </c>
      <c r="F1838">
        <f t="shared" si="199"/>
        <v>2012</v>
      </c>
      <c r="G1838">
        <f t="shared" si="200"/>
        <v>8</v>
      </c>
      <c r="H1838">
        <f t="shared" si="201"/>
        <v>20</v>
      </c>
      <c r="I1838" t="str">
        <f t="shared" si="202"/>
        <v>12</v>
      </c>
    </row>
    <row r="1839" spans="1:9" x14ac:dyDescent="0.25">
      <c r="A1839" s="19">
        <v>41747</v>
      </c>
      <c r="B1839" s="20">
        <v>7.2916666666666671E-2</v>
      </c>
      <c r="C1839" t="str">
        <f t="shared" si="196"/>
        <v>14</v>
      </c>
      <c r="D1839" t="str">
        <f t="shared" si="197"/>
        <v>04</v>
      </c>
      <c r="E1839" t="str">
        <f t="shared" si="198"/>
        <v>18</v>
      </c>
      <c r="F1839">
        <f t="shared" si="199"/>
        <v>2014</v>
      </c>
      <c r="G1839">
        <f t="shared" si="200"/>
        <v>4</v>
      </c>
      <c r="H1839">
        <f t="shared" si="201"/>
        <v>18</v>
      </c>
      <c r="I1839" t="str">
        <f t="shared" si="202"/>
        <v>14</v>
      </c>
    </row>
    <row r="1840" spans="1:9" x14ac:dyDescent="0.25">
      <c r="A1840" s="19">
        <v>41003</v>
      </c>
      <c r="B1840" s="20">
        <v>0.12361111111111112</v>
      </c>
      <c r="C1840" t="str">
        <f t="shared" si="196"/>
        <v>12</v>
      </c>
      <c r="D1840" t="str">
        <f t="shared" si="197"/>
        <v>04</v>
      </c>
      <c r="E1840" t="str">
        <f t="shared" si="198"/>
        <v>04</v>
      </c>
      <c r="F1840">
        <f t="shared" si="199"/>
        <v>2012</v>
      </c>
      <c r="G1840">
        <f t="shared" si="200"/>
        <v>4</v>
      </c>
      <c r="H1840">
        <f t="shared" si="201"/>
        <v>4</v>
      </c>
      <c r="I1840" t="str">
        <f t="shared" si="202"/>
        <v>12</v>
      </c>
    </row>
    <row r="1841" spans="1:9" x14ac:dyDescent="0.25">
      <c r="A1841" s="19">
        <v>41546</v>
      </c>
      <c r="B1841" s="20">
        <v>8.2638888888888887E-2</v>
      </c>
      <c r="C1841" t="str">
        <f t="shared" si="196"/>
        <v>13</v>
      </c>
      <c r="D1841" t="str">
        <f t="shared" si="197"/>
        <v>09</v>
      </c>
      <c r="E1841" t="str">
        <f t="shared" si="198"/>
        <v>29</v>
      </c>
      <c r="F1841">
        <f t="shared" si="199"/>
        <v>2013</v>
      </c>
      <c r="G1841">
        <f t="shared" si="200"/>
        <v>9</v>
      </c>
      <c r="H1841">
        <f t="shared" si="201"/>
        <v>29</v>
      </c>
      <c r="I1841" t="str">
        <f t="shared" si="202"/>
        <v>13</v>
      </c>
    </row>
    <row r="1842" spans="1:9" x14ac:dyDescent="0.25">
      <c r="A1842" s="19">
        <v>42372</v>
      </c>
      <c r="B1842" s="20">
        <v>2.7083333333333334E-2</v>
      </c>
      <c r="C1842" t="str">
        <f t="shared" si="196"/>
        <v>16</v>
      </c>
      <c r="D1842" t="str">
        <f t="shared" si="197"/>
        <v>01</v>
      </c>
      <c r="E1842" t="str">
        <f t="shared" si="198"/>
        <v>03</v>
      </c>
      <c r="F1842">
        <f t="shared" si="199"/>
        <v>2016</v>
      </c>
      <c r="G1842">
        <f t="shared" si="200"/>
        <v>1</v>
      </c>
      <c r="H1842">
        <f t="shared" si="201"/>
        <v>3</v>
      </c>
      <c r="I1842" t="str">
        <f t="shared" si="202"/>
        <v>16</v>
      </c>
    </row>
    <row r="1843" spans="1:9" x14ac:dyDescent="0.25">
      <c r="A1843" s="19">
        <v>41185</v>
      </c>
      <c r="B1843" s="20">
        <v>8.3333333333333332E-3</v>
      </c>
      <c r="C1843" t="str">
        <f t="shared" si="196"/>
        <v>12</v>
      </c>
      <c r="D1843" t="str">
        <f t="shared" si="197"/>
        <v>10</v>
      </c>
      <c r="E1843" t="str">
        <f t="shared" si="198"/>
        <v>03</v>
      </c>
      <c r="F1843">
        <f t="shared" si="199"/>
        <v>2012</v>
      </c>
      <c r="G1843">
        <f t="shared" si="200"/>
        <v>10</v>
      </c>
      <c r="H1843">
        <f t="shared" si="201"/>
        <v>3</v>
      </c>
      <c r="I1843" t="str">
        <f t="shared" si="202"/>
        <v>12</v>
      </c>
    </row>
    <row r="1844" spans="1:9" x14ac:dyDescent="0.25">
      <c r="A1844" s="19">
        <v>42652</v>
      </c>
      <c r="B1844" s="20">
        <v>0.9770833333333333</v>
      </c>
      <c r="C1844" t="str">
        <f t="shared" si="196"/>
        <v>16</v>
      </c>
      <c r="D1844" t="str">
        <f t="shared" si="197"/>
        <v>10</v>
      </c>
      <c r="E1844" t="str">
        <f t="shared" si="198"/>
        <v>09</v>
      </c>
      <c r="F1844">
        <f t="shared" si="199"/>
        <v>2016</v>
      </c>
      <c r="G1844">
        <f t="shared" si="200"/>
        <v>10</v>
      </c>
      <c r="H1844">
        <f t="shared" si="201"/>
        <v>9</v>
      </c>
      <c r="I1844" t="str">
        <f t="shared" si="202"/>
        <v>16</v>
      </c>
    </row>
    <row r="1845" spans="1:9" x14ac:dyDescent="0.25">
      <c r="A1845" s="19">
        <v>41514</v>
      </c>
      <c r="B1845" s="20">
        <v>0.99583333333333335</v>
      </c>
      <c r="C1845" t="str">
        <f t="shared" si="196"/>
        <v>13</v>
      </c>
      <c r="D1845" t="str">
        <f t="shared" si="197"/>
        <v>08</v>
      </c>
      <c r="E1845" t="str">
        <f t="shared" si="198"/>
        <v>28</v>
      </c>
      <c r="F1845">
        <f t="shared" si="199"/>
        <v>2013</v>
      </c>
      <c r="G1845">
        <f t="shared" si="200"/>
        <v>8</v>
      </c>
      <c r="H1845">
        <f t="shared" si="201"/>
        <v>28</v>
      </c>
      <c r="I1845" t="str">
        <f t="shared" si="202"/>
        <v>13</v>
      </c>
    </row>
    <row r="1846" spans="1:9" x14ac:dyDescent="0.25">
      <c r="A1846" s="19">
        <v>42508</v>
      </c>
      <c r="B1846" s="20">
        <v>0.93819444444444444</v>
      </c>
      <c r="C1846" t="str">
        <f t="shared" si="196"/>
        <v>16</v>
      </c>
      <c r="D1846" t="str">
        <f t="shared" si="197"/>
        <v>05</v>
      </c>
      <c r="E1846" t="str">
        <f t="shared" si="198"/>
        <v>18</v>
      </c>
      <c r="F1846">
        <f t="shared" si="199"/>
        <v>2016</v>
      </c>
      <c r="G1846">
        <f t="shared" si="200"/>
        <v>5</v>
      </c>
      <c r="H1846">
        <f t="shared" si="201"/>
        <v>18</v>
      </c>
      <c r="I1846" t="str">
        <f t="shared" si="202"/>
        <v>16</v>
      </c>
    </row>
    <row r="1847" spans="1:9" x14ac:dyDescent="0.25">
      <c r="A1847" s="19">
        <v>41326</v>
      </c>
      <c r="B1847" s="20">
        <v>5.486111111111111E-2</v>
      </c>
      <c r="C1847" t="str">
        <f t="shared" si="196"/>
        <v>13</v>
      </c>
      <c r="D1847" t="str">
        <f t="shared" si="197"/>
        <v>02</v>
      </c>
      <c r="E1847" t="str">
        <f t="shared" si="198"/>
        <v>21</v>
      </c>
      <c r="F1847">
        <f t="shared" si="199"/>
        <v>2013</v>
      </c>
      <c r="G1847">
        <f t="shared" si="200"/>
        <v>2</v>
      </c>
      <c r="H1847">
        <f t="shared" si="201"/>
        <v>21</v>
      </c>
      <c r="I1847" t="str">
        <f t="shared" si="202"/>
        <v>13</v>
      </c>
    </row>
    <row r="1848" spans="1:9" x14ac:dyDescent="0.25">
      <c r="A1848" s="19">
        <v>41185</v>
      </c>
      <c r="B1848" s="20">
        <v>0.99861111111111112</v>
      </c>
      <c r="C1848" t="str">
        <f t="shared" si="196"/>
        <v>12</v>
      </c>
      <c r="D1848" t="str">
        <f t="shared" si="197"/>
        <v>10</v>
      </c>
      <c r="E1848" t="str">
        <f t="shared" si="198"/>
        <v>03</v>
      </c>
      <c r="F1848">
        <f t="shared" si="199"/>
        <v>2012</v>
      </c>
      <c r="G1848">
        <f t="shared" si="200"/>
        <v>10</v>
      </c>
      <c r="H1848">
        <f t="shared" si="201"/>
        <v>3</v>
      </c>
      <c r="I1848" t="str">
        <f t="shared" si="202"/>
        <v>12</v>
      </c>
    </row>
    <row r="1849" spans="1:9" x14ac:dyDescent="0.25">
      <c r="A1849" s="19">
        <v>41648</v>
      </c>
      <c r="B1849" s="20">
        <v>1.6666666666666666E-2</v>
      </c>
      <c r="C1849" t="str">
        <f t="shared" si="196"/>
        <v>14</v>
      </c>
      <c r="D1849" t="str">
        <f t="shared" si="197"/>
        <v>01</v>
      </c>
      <c r="E1849" t="str">
        <f t="shared" si="198"/>
        <v>09</v>
      </c>
      <c r="F1849">
        <f t="shared" si="199"/>
        <v>2014</v>
      </c>
      <c r="G1849">
        <f t="shared" si="200"/>
        <v>1</v>
      </c>
      <c r="H1849">
        <f t="shared" si="201"/>
        <v>9</v>
      </c>
      <c r="I1849" t="str">
        <f t="shared" si="202"/>
        <v>14</v>
      </c>
    </row>
    <row r="1850" spans="1:9" x14ac:dyDescent="0.25">
      <c r="A1850" s="19">
        <v>41176</v>
      </c>
      <c r="B1850" s="20">
        <v>0.9868055555555556</v>
      </c>
      <c r="C1850" t="str">
        <f t="shared" si="196"/>
        <v>12</v>
      </c>
      <c r="D1850" t="str">
        <f t="shared" si="197"/>
        <v>09</v>
      </c>
      <c r="E1850" t="str">
        <f t="shared" si="198"/>
        <v>24</v>
      </c>
      <c r="F1850">
        <f t="shared" si="199"/>
        <v>2012</v>
      </c>
      <c r="G1850">
        <f t="shared" si="200"/>
        <v>9</v>
      </c>
      <c r="H1850">
        <f t="shared" si="201"/>
        <v>24</v>
      </c>
      <c r="I1850" t="str">
        <f t="shared" si="202"/>
        <v>12</v>
      </c>
    </row>
    <row r="1851" spans="1:9" x14ac:dyDescent="0.25">
      <c r="A1851" s="19">
        <v>41896</v>
      </c>
      <c r="B1851" s="20">
        <v>5.347222222222222E-2</v>
      </c>
      <c r="C1851" t="str">
        <f t="shared" si="196"/>
        <v>14</v>
      </c>
      <c r="D1851" t="str">
        <f t="shared" si="197"/>
        <v>09</v>
      </c>
      <c r="E1851" t="str">
        <f t="shared" si="198"/>
        <v>14</v>
      </c>
      <c r="F1851">
        <f t="shared" si="199"/>
        <v>2014</v>
      </c>
      <c r="G1851">
        <f t="shared" si="200"/>
        <v>9</v>
      </c>
      <c r="H1851">
        <f t="shared" si="201"/>
        <v>14</v>
      </c>
      <c r="I1851" t="str">
        <f t="shared" si="202"/>
        <v>14</v>
      </c>
    </row>
    <row r="1852" spans="1:9" x14ac:dyDescent="0.25">
      <c r="A1852" s="19">
        <v>41642</v>
      </c>
      <c r="B1852" s="20">
        <v>5.2083333333333336E-2</v>
      </c>
      <c r="C1852" t="str">
        <f t="shared" si="196"/>
        <v>14</v>
      </c>
      <c r="D1852" t="str">
        <f t="shared" si="197"/>
        <v>01</v>
      </c>
      <c r="E1852" t="str">
        <f t="shared" si="198"/>
        <v>03</v>
      </c>
      <c r="F1852">
        <f t="shared" si="199"/>
        <v>2014</v>
      </c>
      <c r="G1852">
        <f t="shared" si="200"/>
        <v>1</v>
      </c>
      <c r="H1852">
        <f t="shared" si="201"/>
        <v>3</v>
      </c>
      <c r="I1852" t="str">
        <f t="shared" si="202"/>
        <v>14</v>
      </c>
    </row>
    <row r="1853" spans="1:9" x14ac:dyDescent="0.25">
      <c r="A1853" s="19">
        <v>41316</v>
      </c>
      <c r="B1853" s="20">
        <v>1.5972222222222221E-2</v>
      </c>
      <c r="C1853" t="str">
        <f t="shared" si="196"/>
        <v>13</v>
      </c>
      <c r="D1853" t="str">
        <f t="shared" si="197"/>
        <v>02</v>
      </c>
      <c r="E1853" t="str">
        <f t="shared" si="198"/>
        <v>11</v>
      </c>
      <c r="F1853">
        <f t="shared" si="199"/>
        <v>2013</v>
      </c>
      <c r="G1853">
        <f t="shared" si="200"/>
        <v>2</v>
      </c>
      <c r="H1853">
        <f t="shared" si="201"/>
        <v>11</v>
      </c>
      <c r="I1853" t="str">
        <f t="shared" si="202"/>
        <v>13</v>
      </c>
    </row>
    <row r="1854" spans="1:9" x14ac:dyDescent="0.25">
      <c r="A1854" s="19">
        <v>42494</v>
      </c>
      <c r="B1854" s="20">
        <v>0.98611111111111116</v>
      </c>
      <c r="C1854" t="str">
        <f t="shared" si="196"/>
        <v>16</v>
      </c>
      <c r="D1854" t="str">
        <f t="shared" si="197"/>
        <v>05</v>
      </c>
      <c r="E1854" t="str">
        <f t="shared" si="198"/>
        <v>04</v>
      </c>
      <c r="F1854">
        <f t="shared" si="199"/>
        <v>2016</v>
      </c>
      <c r="G1854">
        <f t="shared" si="200"/>
        <v>5</v>
      </c>
      <c r="H1854">
        <f t="shared" si="201"/>
        <v>4</v>
      </c>
      <c r="I1854" t="str">
        <f t="shared" si="202"/>
        <v>16</v>
      </c>
    </row>
    <row r="1855" spans="1:9" x14ac:dyDescent="0.25">
      <c r="A1855" s="19">
        <v>42043</v>
      </c>
      <c r="B1855" s="20">
        <v>0.96875</v>
      </c>
      <c r="C1855" t="str">
        <f t="shared" si="196"/>
        <v>15</v>
      </c>
      <c r="D1855" t="str">
        <f t="shared" si="197"/>
        <v>02</v>
      </c>
      <c r="E1855" t="str">
        <f t="shared" si="198"/>
        <v>08</v>
      </c>
      <c r="F1855">
        <f t="shared" si="199"/>
        <v>2015</v>
      </c>
      <c r="G1855">
        <f t="shared" si="200"/>
        <v>2</v>
      </c>
      <c r="H1855">
        <f t="shared" si="201"/>
        <v>8</v>
      </c>
      <c r="I1855" t="str">
        <f t="shared" si="202"/>
        <v>15</v>
      </c>
    </row>
    <row r="1856" spans="1:9" x14ac:dyDescent="0.25">
      <c r="A1856" s="19">
        <v>41665</v>
      </c>
      <c r="B1856" s="20">
        <v>0.98333333333333328</v>
      </c>
      <c r="C1856" t="str">
        <f t="shared" si="196"/>
        <v>14</v>
      </c>
      <c r="D1856" t="str">
        <f t="shared" si="197"/>
        <v>01</v>
      </c>
      <c r="E1856" t="str">
        <f t="shared" si="198"/>
        <v>26</v>
      </c>
      <c r="F1856">
        <f t="shared" si="199"/>
        <v>2014</v>
      </c>
      <c r="G1856">
        <f t="shared" si="200"/>
        <v>1</v>
      </c>
      <c r="H1856">
        <f t="shared" si="201"/>
        <v>26</v>
      </c>
      <c r="I1856" t="str">
        <f t="shared" si="202"/>
        <v>14</v>
      </c>
    </row>
    <row r="1857" spans="1:9" x14ac:dyDescent="0.25">
      <c r="A1857" s="19">
        <v>41589</v>
      </c>
      <c r="B1857" s="20">
        <v>6.8750000000000006E-2</v>
      </c>
      <c r="C1857" t="str">
        <f t="shared" si="196"/>
        <v>13</v>
      </c>
      <c r="D1857" t="str">
        <f t="shared" si="197"/>
        <v>11</v>
      </c>
      <c r="E1857" t="str">
        <f t="shared" si="198"/>
        <v>11</v>
      </c>
      <c r="F1857">
        <f t="shared" si="199"/>
        <v>2013</v>
      </c>
      <c r="G1857">
        <f t="shared" si="200"/>
        <v>11</v>
      </c>
      <c r="H1857">
        <f t="shared" si="201"/>
        <v>11</v>
      </c>
      <c r="I1857" t="str">
        <f t="shared" si="202"/>
        <v>13</v>
      </c>
    </row>
    <row r="1858" spans="1:9" x14ac:dyDescent="0.25">
      <c r="A1858" s="19">
        <v>42177</v>
      </c>
      <c r="B1858" s="20">
        <v>5.8333333333333334E-2</v>
      </c>
      <c r="C1858" t="str">
        <f t="shared" si="196"/>
        <v>15</v>
      </c>
      <c r="D1858" t="str">
        <f t="shared" si="197"/>
        <v>06</v>
      </c>
      <c r="E1858" t="str">
        <f t="shared" si="198"/>
        <v>22</v>
      </c>
      <c r="F1858">
        <f t="shared" si="199"/>
        <v>2015</v>
      </c>
      <c r="G1858">
        <f t="shared" si="200"/>
        <v>6</v>
      </c>
      <c r="H1858">
        <f t="shared" si="201"/>
        <v>22</v>
      </c>
      <c r="I1858" t="str">
        <f t="shared" si="202"/>
        <v>15</v>
      </c>
    </row>
    <row r="1859" spans="1:9" x14ac:dyDescent="0.25">
      <c r="A1859" s="19">
        <v>41748</v>
      </c>
      <c r="B1859" s="20">
        <v>1.5277777777777777E-2</v>
      </c>
      <c r="C1859" t="str">
        <f t="shared" ref="C1859:C1922" si="203">TEXT(A1859,"YY")</f>
        <v>14</v>
      </c>
      <c r="D1859" t="str">
        <f t="shared" ref="D1859:D1922" si="204">TEXT(A1859,"mm")</f>
        <v>04</v>
      </c>
      <c r="E1859" t="str">
        <f t="shared" ref="E1859:E1922" si="205">TEXT(A1859,"dd")</f>
        <v>19</v>
      </c>
      <c r="F1859">
        <f t="shared" ref="F1859:F1922" si="206">YEAR($A1859)</f>
        <v>2014</v>
      </c>
      <c r="G1859">
        <f t="shared" ref="G1859:G1922" si="207">MONTH($A1859)</f>
        <v>4</v>
      </c>
      <c r="H1859">
        <f t="shared" ref="H1859:H1922" si="208">DAY($A1859)</f>
        <v>19</v>
      </c>
      <c r="I1859" t="str">
        <f t="shared" ref="I1859:I1922" si="209">TEXT($A1859,"YY")</f>
        <v>14</v>
      </c>
    </row>
    <row r="1860" spans="1:9" x14ac:dyDescent="0.25">
      <c r="A1860" s="19">
        <v>41507</v>
      </c>
      <c r="B1860" s="20">
        <v>4.583333333333333E-2</v>
      </c>
      <c r="C1860" t="str">
        <f t="shared" si="203"/>
        <v>13</v>
      </c>
      <c r="D1860" t="str">
        <f t="shared" si="204"/>
        <v>08</v>
      </c>
      <c r="E1860" t="str">
        <f t="shared" si="205"/>
        <v>21</v>
      </c>
      <c r="F1860">
        <f t="shared" si="206"/>
        <v>2013</v>
      </c>
      <c r="G1860">
        <f t="shared" si="207"/>
        <v>8</v>
      </c>
      <c r="H1860">
        <f t="shared" si="208"/>
        <v>21</v>
      </c>
      <c r="I1860" t="str">
        <f t="shared" si="209"/>
        <v>13</v>
      </c>
    </row>
    <row r="1861" spans="1:9" x14ac:dyDescent="0.25">
      <c r="A1861" s="19">
        <v>41221</v>
      </c>
      <c r="B1861" s="20">
        <v>3.3333333333333333E-2</v>
      </c>
      <c r="C1861" t="str">
        <f t="shared" si="203"/>
        <v>12</v>
      </c>
      <c r="D1861" t="str">
        <f t="shared" si="204"/>
        <v>11</v>
      </c>
      <c r="E1861" t="str">
        <f t="shared" si="205"/>
        <v>08</v>
      </c>
      <c r="F1861">
        <f t="shared" si="206"/>
        <v>2012</v>
      </c>
      <c r="G1861">
        <f t="shared" si="207"/>
        <v>11</v>
      </c>
      <c r="H1861">
        <f t="shared" si="208"/>
        <v>8</v>
      </c>
      <c r="I1861" t="str">
        <f t="shared" si="209"/>
        <v>12</v>
      </c>
    </row>
    <row r="1862" spans="1:9" x14ac:dyDescent="0.25">
      <c r="A1862" s="19">
        <v>42296</v>
      </c>
      <c r="B1862" s="20">
        <v>8.9583333333333334E-2</v>
      </c>
      <c r="C1862" t="str">
        <f t="shared" si="203"/>
        <v>15</v>
      </c>
      <c r="D1862" t="str">
        <f t="shared" si="204"/>
        <v>10</v>
      </c>
      <c r="E1862" t="str">
        <f t="shared" si="205"/>
        <v>19</v>
      </c>
      <c r="F1862">
        <f t="shared" si="206"/>
        <v>2015</v>
      </c>
      <c r="G1862">
        <f t="shared" si="207"/>
        <v>10</v>
      </c>
      <c r="H1862">
        <f t="shared" si="208"/>
        <v>19</v>
      </c>
      <c r="I1862" t="str">
        <f t="shared" si="209"/>
        <v>15</v>
      </c>
    </row>
    <row r="1863" spans="1:9" x14ac:dyDescent="0.25">
      <c r="A1863" s="19">
        <v>42790</v>
      </c>
      <c r="B1863" s="20">
        <v>0.95277777777777772</v>
      </c>
      <c r="C1863" t="str">
        <f t="shared" si="203"/>
        <v>17</v>
      </c>
      <c r="D1863" t="str">
        <f t="shared" si="204"/>
        <v>02</v>
      </c>
      <c r="E1863" t="str">
        <f t="shared" si="205"/>
        <v>24</v>
      </c>
      <c r="F1863">
        <f t="shared" si="206"/>
        <v>2017</v>
      </c>
      <c r="G1863">
        <f t="shared" si="207"/>
        <v>2</v>
      </c>
      <c r="H1863">
        <f t="shared" si="208"/>
        <v>24</v>
      </c>
      <c r="I1863" t="str">
        <f t="shared" si="209"/>
        <v>17</v>
      </c>
    </row>
    <row r="1864" spans="1:9" x14ac:dyDescent="0.25">
      <c r="A1864" s="19">
        <v>42881</v>
      </c>
      <c r="B1864" s="20">
        <v>0.95347222222222228</v>
      </c>
      <c r="C1864" t="str">
        <f t="shared" si="203"/>
        <v>17</v>
      </c>
      <c r="D1864" t="str">
        <f t="shared" si="204"/>
        <v>05</v>
      </c>
      <c r="E1864" t="str">
        <f t="shared" si="205"/>
        <v>26</v>
      </c>
      <c r="F1864">
        <f t="shared" si="206"/>
        <v>2017</v>
      </c>
      <c r="G1864">
        <f t="shared" si="207"/>
        <v>5</v>
      </c>
      <c r="H1864">
        <f t="shared" si="208"/>
        <v>26</v>
      </c>
      <c r="I1864" t="str">
        <f t="shared" si="209"/>
        <v>17</v>
      </c>
    </row>
    <row r="1865" spans="1:9" x14ac:dyDescent="0.25">
      <c r="A1865" s="19">
        <v>41817</v>
      </c>
      <c r="B1865" s="20">
        <v>0.97777777777777775</v>
      </c>
      <c r="C1865" t="str">
        <f t="shared" si="203"/>
        <v>14</v>
      </c>
      <c r="D1865" t="str">
        <f t="shared" si="204"/>
        <v>06</v>
      </c>
      <c r="E1865" t="str">
        <f t="shared" si="205"/>
        <v>27</v>
      </c>
      <c r="F1865">
        <f t="shared" si="206"/>
        <v>2014</v>
      </c>
      <c r="G1865">
        <f t="shared" si="207"/>
        <v>6</v>
      </c>
      <c r="H1865">
        <f t="shared" si="208"/>
        <v>27</v>
      </c>
      <c r="I1865" t="str">
        <f t="shared" si="209"/>
        <v>14</v>
      </c>
    </row>
    <row r="1866" spans="1:9" x14ac:dyDescent="0.25">
      <c r="A1866" s="19">
        <v>41134</v>
      </c>
      <c r="B1866" s="20">
        <v>0.99236111111111114</v>
      </c>
      <c r="C1866" t="str">
        <f t="shared" si="203"/>
        <v>12</v>
      </c>
      <c r="D1866" t="str">
        <f t="shared" si="204"/>
        <v>08</v>
      </c>
      <c r="E1866" t="str">
        <f t="shared" si="205"/>
        <v>13</v>
      </c>
      <c r="F1866">
        <f t="shared" si="206"/>
        <v>2012</v>
      </c>
      <c r="G1866">
        <f t="shared" si="207"/>
        <v>8</v>
      </c>
      <c r="H1866">
        <f t="shared" si="208"/>
        <v>13</v>
      </c>
      <c r="I1866" t="str">
        <f t="shared" si="209"/>
        <v>12</v>
      </c>
    </row>
    <row r="1867" spans="1:9" x14ac:dyDescent="0.25">
      <c r="A1867" s="19">
        <v>41311</v>
      </c>
      <c r="B1867" s="20">
        <v>2.5000000000000001E-2</v>
      </c>
      <c r="C1867" t="str">
        <f t="shared" si="203"/>
        <v>13</v>
      </c>
      <c r="D1867" t="str">
        <f t="shared" si="204"/>
        <v>02</v>
      </c>
      <c r="E1867" t="str">
        <f t="shared" si="205"/>
        <v>06</v>
      </c>
      <c r="F1867">
        <f t="shared" si="206"/>
        <v>2013</v>
      </c>
      <c r="G1867">
        <f t="shared" si="207"/>
        <v>2</v>
      </c>
      <c r="H1867">
        <f t="shared" si="208"/>
        <v>6</v>
      </c>
      <c r="I1867" t="str">
        <f t="shared" si="209"/>
        <v>13</v>
      </c>
    </row>
    <row r="1868" spans="1:9" x14ac:dyDescent="0.25">
      <c r="A1868" s="19">
        <v>42413</v>
      </c>
      <c r="B1868" s="20">
        <v>1.6666666666666666E-2</v>
      </c>
      <c r="C1868" t="str">
        <f t="shared" si="203"/>
        <v>16</v>
      </c>
      <c r="D1868" t="str">
        <f t="shared" si="204"/>
        <v>02</v>
      </c>
      <c r="E1868" t="str">
        <f t="shared" si="205"/>
        <v>13</v>
      </c>
      <c r="F1868">
        <f t="shared" si="206"/>
        <v>2016</v>
      </c>
      <c r="G1868">
        <f t="shared" si="207"/>
        <v>2</v>
      </c>
      <c r="H1868">
        <f t="shared" si="208"/>
        <v>13</v>
      </c>
      <c r="I1868" t="str">
        <f t="shared" si="209"/>
        <v>16</v>
      </c>
    </row>
    <row r="1869" spans="1:9" x14ac:dyDescent="0.25">
      <c r="A1869" s="19">
        <v>41783</v>
      </c>
      <c r="B1869" s="20">
        <v>6.5972222222222224E-2</v>
      </c>
      <c r="C1869" t="str">
        <f t="shared" si="203"/>
        <v>14</v>
      </c>
      <c r="D1869" t="str">
        <f t="shared" si="204"/>
        <v>05</v>
      </c>
      <c r="E1869" t="str">
        <f t="shared" si="205"/>
        <v>24</v>
      </c>
      <c r="F1869">
        <f t="shared" si="206"/>
        <v>2014</v>
      </c>
      <c r="G1869">
        <f t="shared" si="207"/>
        <v>5</v>
      </c>
      <c r="H1869">
        <f t="shared" si="208"/>
        <v>24</v>
      </c>
      <c r="I1869" t="str">
        <f t="shared" si="209"/>
        <v>14</v>
      </c>
    </row>
    <row r="1870" spans="1:9" x14ac:dyDescent="0.25">
      <c r="A1870" s="19">
        <v>42061</v>
      </c>
      <c r="B1870" s="20">
        <v>0.98472222222222228</v>
      </c>
      <c r="C1870" t="str">
        <f t="shared" si="203"/>
        <v>15</v>
      </c>
      <c r="D1870" t="str">
        <f t="shared" si="204"/>
        <v>02</v>
      </c>
      <c r="E1870" t="str">
        <f t="shared" si="205"/>
        <v>26</v>
      </c>
      <c r="F1870">
        <f t="shared" si="206"/>
        <v>2015</v>
      </c>
      <c r="G1870">
        <f t="shared" si="207"/>
        <v>2</v>
      </c>
      <c r="H1870">
        <f t="shared" si="208"/>
        <v>26</v>
      </c>
      <c r="I1870" t="str">
        <f t="shared" si="209"/>
        <v>15</v>
      </c>
    </row>
    <row r="1871" spans="1:9" x14ac:dyDescent="0.25">
      <c r="A1871" s="19">
        <v>42339</v>
      </c>
      <c r="B1871" s="20">
        <v>7.013888888888889E-2</v>
      </c>
      <c r="C1871" t="str">
        <f t="shared" si="203"/>
        <v>15</v>
      </c>
      <c r="D1871" t="str">
        <f t="shared" si="204"/>
        <v>12</v>
      </c>
      <c r="E1871" t="str">
        <f t="shared" si="205"/>
        <v>01</v>
      </c>
      <c r="F1871">
        <f t="shared" si="206"/>
        <v>2015</v>
      </c>
      <c r="G1871">
        <f t="shared" si="207"/>
        <v>12</v>
      </c>
      <c r="H1871">
        <f t="shared" si="208"/>
        <v>1</v>
      </c>
      <c r="I1871" t="str">
        <f t="shared" si="209"/>
        <v>15</v>
      </c>
    </row>
    <row r="1872" spans="1:9" x14ac:dyDescent="0.25">
      <c r="A1872" s="19">
        <v>41785</v>
      </c>
      <c r="B1872" s="20">
        <v>6.805555555555555E-2</v>
      </c>
      <c r="C1872" t="str">
        <f t="shared" si="203"/>
        <v>14</v>
      </c>
      <c r="D1872" t="str">
        <f t="shared" si="204"/>
        <v>05</v>
      </c>
      <c r="E1872" t="str">
        <f t="shared" si="205"/>
        <v>26</v>
      </c>
      <c r="F1872">
        <f t="shared" si="206"/>
        <v>2014</v>
      </c>
      <c r="G1872">
        <f t="shared" si="207"/>
        <v>5</v>
      </c>
      <c r="H1872">
        <f t="shared" si="208"/>
        <v>26</v>
      </c>
      <c r="I1872" t="str">
        <f t="shared" si="209"/>
        <v>14</v>
      </c>
    </row>
    <row r="1873" spans="1:9" x14ac:dyDescent="0.25">
      <c r="A1873" s="19">
        <v>41669</v>
      </c>
      <c r="B1873" s="20">
        <v>7.6388888888888895E-2</v>
      </c>
      <c r="C1873" t="str">
        <f t="shared" si="203"/>
        <v>14</v>
      </c>
      <c r="D1873" t="str">
        <f t="shared" si="204"/>
        <v>01</v>
      </c>
      <c r="E1873" t="str">
        <f t="shared" si="205"/>
        <v>30</v>
      </c>
      <c r="F1873">
        <f t="shared" si="206"/>
        <v>2014</v>
      </c>
      <c r="G1873">
        <f t="shared" si="207"/>
        <v>1</v>
      </c>
      <c r="H1873">
        <f t="shared" si="208"/>
        <v>30</v>
      </c>
      <c r="I1873" t="str">
        <f t="shared" si="209"/>
        <v>14</v>
      </c>
    </row>
    <row r="1874" spans="1:9" x14ac:dyDescent="0.25">
      <c r="A1874" s="19">
        <v>41696</v>
      </c>
      <c r="B1874" s="20">
        <v>1.8055555555555554E-2</v>
      </c>
      <c r="C1874" t="str">
        <f t="shared" si="203"/>
        <v>14</v>
      </c>
      <c r="D1874" t="str">
        <f t="shared" si="204"/>
        <v>02</v>
      </c>
      <c r="E1874" t="str">
        <f t="shared" si="205"/>
        <v>26</v>
      </c>
      <c r="F1874">
        <f t="shared" si="206"/>
        <v>2014</v>
      </c>
      <c r="G1874">
        <f t="shared" si="207"/>
        <v>2</v>
      </c>
      <c r="H1874">
        <f t="shared" si="208"/>
        <v>26</v>
      </c>
      <c r="I1874" t="str">
        <f t="shared" si="209"/>
        <v>14</v>
      </c>
    </row>
    <row r="1875" spans="1:9" x14ac:dyDescent="0.25">
      <c r="A1875" s="19">
        <v>41032</v>
      </c>
      <c r="B1875" s="20">
        <v>2.9166666666666667E-2</v>
      </c>
      <c r="C1875" t="str">
        <f t="shared" si="203"/>
        <v>12</v>
      </c>
      <c r="D1875" t="str">
        <f t="shared" si="204"/>
        <v>05</v>
      </c>
      <c r="E1875" t="str">
        <f t="shared" si="205"/>
        <v>03</v>
      </c>
      <c r="F1875">
        <f t="shared" si="206"/>
        <v>2012</v>
      </c>
      <c r="G1875">
        <f t="shared" si="207"/>
        <v>5</v>
      </c>
      <c r="H1875">
        <f t="shared" si="208"/>
        <v>3</v>
      </c>
      <c r="I1875" t="str">
        <f t="shared" si="209"/>
        <v>12</v>
      </c>
    </row>
    <row r="1876" spans="1:9" x14ac:dyDescent="0.25">
      <c r="A1876" s="19">
        <v>41306</v>
      </c>
      <c r="B1876" s="20">
        <v>1.8749999999999999E-2</v>
      </c>
      <c r="C1876" t="str">
        <f t="shared" si="203"/>
        <v>13</v>
      </c>
      <c r="D1876" t="str">
        <f t="shared" si="204"/>
        <v>02</v>
      </c>
      <c r="E1876" t="str">
        <f t="shared" si="205"/>
        <v>01</v>
      </c>
      <c r="F1876">
        <f t="shared" si="206"/>
        <v>2013</v>
      </c>
      <c r="G1876">
        <f t="shared" si="207"/>
        <v>2</v>
      </c>
      <c r="H1876">
        <f t="shared" si="208"/>
        <v>1</v>
      </c>
      <c r="I1876" t="str">
        <f t="shared" si="209"/>
        <v>13</v>
      </c>
    </row>
    <row r="1877" spans="1:9" x14ac:dyDescent="0.25">
      <c r="A1877" s="19">
        <v>42698</v>
      </c>
      <c r="B1877" s="20">
        <v>0.97013888888888888</v>
      </c>
      <c r="C1877" t="str">
        <f t="shared" si="203"/>
        <v>16</v>
      </c>
      <c r="D1877" t="str">
        <f t="shared" si="204"/>
        <v>11</v>
      </c>
      <c r="E1877" t="str">
        <f t="shared" si="205"/>
        <v>24</v>
      </c>
      <c r="F1877">
        <f t="shared" si="206"/>
        <v>2016</v>
      </c>
      <c r="G1877">
        <f t="shared" si="207"/>
        <v>11</v>
      </c>
      <c r="H1877">
        <f t="shared" si="208"/>
        <v>24</v>
      </c>
      <c r="I1877" t="str">
        <f t="shared" si="209"/>
        <v>16</v>
      </c>
    </row>
    <row r="1878" spans="1:9" x14ac:dyDescent="0.25">
      <c r="A1878" s="19">
        <v>41526</v>
      </c>
      <c r="B1878" s="20">
        <v>1.3888888888888888E-2</v>
      </c>
      <c r="C1878" t="str">
        <f t="shared" si="203"/>
        <v>13</v>
      </c>
      <c r="D1878" t="str">
        <f t="shared" si="204"/>
        <v>09</v>
      </c>
      <c r="E1878" t="str">
        <f t="shared" si="205"/>
        <v>09</v>
      </c>
      <c r="F1878">
        <f t="shared" si="206"/>
        <v>2013</v>
      </c>
      <c r="G1878">
        <f t="shared" si="207"/>
        <v>9</v>
      </c>
      <c r="H1878">
        <f t="shared" si="208"/>
        <v>9</v>
      </c>
      <c r="I1878" t="str">
        <f t="shared" si="209"/>
        <v>13</v>
      </c>
    </row>
    <row r="1879" spans="1:9" x14ac:dyDescent="0.25">
      <c r="A1879" s="19">
        <v>41800</v>
      </c>
      <c r="B1879" s="20">
        <v>0.99583333333333335</v>
      </c>
      <c r="C1879" t="str">
        <f t="shared" si="203"/>
        <v>14</v>
      </c>
      <c r="D1879" t="str">
        <f t="shared" si="204"/>
        <v>06</v>
      </c>
      <c r="E1879" t="str">
        <f t="shared" si="205"/>
        <v>10</v>
      </c>
      <c r="F1879">
        <f t="shared" si="206"/>
        <v>2014</v>
      </c>
      <c r="G1879">
        <f t="shared" si="207"/>
        <v>6</v>
      </c>
      <c r="H1879">
        <f t="shared" si="208"/>
        <v>10</v>
      </c>
      <c r="I1879" t="str">
        <f t="shared" si="209"/>
        <v>14</v>
      </c>
    </row>
    <row r="1880" spans="1:9" x14ac:dyDescent="0.25">
      <c r="A1880" s="19">
        <v>42384</v>
      </c>
      <c r="B1880" s="20">
        <v>0.96527777777777779</v>
      </c>
      <c r="C1880" t="str">
        <f t="shared" si="203"/>
        <v>16</v>
      </c>
      <c r="D1880" t="str">
        <f t="shared" si="204"/>
        <v>01</v>
      </c>
      <c r="E1880" t="str">
        <f t="shared" si="205"/>
        <v>15</v>
      </c>
      <c r="F1880">
        <f t="shared" si="206"/>
        <v>2016</v>
      </c>
      <c r="G1880">
        <f t="shared" si="207"/>
        <v>1</v>
      </c>
      <c r="H1880">
        <f t="shared" si="208"/>
        <v>15</v>
      </c>
      <c r="I1880" t="str">
        <f t="shared" si="209"/>
        <v>16</v>
      </c>
    </row>
    <row r="1881" spans="1:9" x14ac:dyDescent="0.25">
      <c r="A1881" s="19">
        <v>42515</v>
      </c>
      <c r="B1881" s="20">
        <v>0.94444444444444442</v>
      </c>
      <c r="C1881" t="str">
        <f t="shared" si="203"/>
        <v>16</v>
      </c>
      <c r="D1881" t="str">
        <f t="shared" si="204"/>
        <v>05</v>
      </c>
      <c r="E1881" t="str">
        <f t="shared" si="205"/>
        <v>25</v>
      </c>
      <c r="F1881">
        <f t="shared" si="206"/>
        <v>2016</v>
      </c>
      <c r="G1881">
        <f t="shared" si="207"/>
        <v>5</v>
      </c>
      <c r="H1881">
        <f t="shared" si="208"/>
        <v>25</v>
      </c>
      <c r="I1881" t="str">
        <f t="shared" si="209"/>
        <v>16</v>
      </c>
    </row>
    <row r="1882" spans="1:9" x14ac:dyDescent="0.25">
      <c r="A1882" s="19">
        <v>41533</v>
      </c>
      <c r="B1882" s="20">
        <v>3.888888888888889E-2</v>
      </c>
      <c r="C1882" t="str">
        <f t="shared" si="203"/>
        <v>13</v>
      </c>
      <c r="D1882" t="str">
        <f t="shared" si="204"/>
        <v>09</v>
      </c>
      <c r="E1882" t="str">
        <f t="shared" si="205"/>
        <v>16</v>
      </c>
      <c r="F1882">
        <f t="shared" si="206"/>
        <v>2013</v>
      </c>
      <c r="G1882">
        <f t="shared" si="207"/>
        <v>9</v>
      </c>
      <c r="H1882">
        <f t="shared" si="208"/>
        <v>16</v>
      </c>
      <c r="I1882" t="str">
        <f t="shared" si="209"/>
        <v>13</v>
      </c>
    </row>
    <row r="1883" spans="1:9" x14ac:dyDescent="0.25">
      <c r="A1883" s="19">
        <v>41674</v>
      </c>
      <c r="B1883" s="20">
        <v>6.25E-2</v>
      </c>
      <c r="C1883" t="str">
        <f t="shared" si="203"/>
        <v>14</v>
      </c>
      <c r="D1883" t="str">
        <f t="shared" si="204"/>
        <v>02</v>
      </c>
      <c r="E1883" t="str">
        <f t="shared" si="205"/>
        <v>04</v>
      </c>
      <c r="F1883">
        <f t="shared" si="206"/>
        <v>2014</v>
      </c>
      <c r="G1883">
        <f t="shared" si="207"/>
        <v>2</v>
      </c>
      <c r="H1883">
        <f t="shared" si="208"/>
        <v>4</v>
      </c>
      <c r="I1883" t="str">
        <f t="shared" si="209"/>
        <v>14</v>
      </c>
    </row>
    <row r="1884" spans="1:9" x14ac:dyDescent="0.25">
      <c r="A1884" s="19">
        <v>41025</v>
      </c>
      <c r="B1884" s="20">
        <v>1.9444444444444445E-2</v>
      </c>
      <c r="C1884" t="str">
        <f t="shared" si="203"/>
        <v>12</v>
      </c>
      <c r="D1884" t="str">
        <f t="shared" si="204"/>
        <v>04</v>
      </c>
      <c r="E1884" t="str">
        <f t="shared" si="205"/>
        <v>26</v>
      </c>
      <c r="F1884">
        <f t="shared" si="206"/>
        <v>2012</v>
      </c>
      <c r="G1884">
        <f t="shared" si="207"/>
        <v>4</v>
      </c>
      <c r="H1884">
        <f t="shared" si="208"/>
        <v>26</v>
      </c>
      <c r="I1884" t="str">
        <f t="shared" si="209"/>
        <v>12</v>
      </c>
    </row>
    <row r="1885" spans="1:9" x14ac:dyDescent="0.25">
      <c r="A1885" s="19">
        <v>41003</v>
      </c>
      <c r="B1885" s="20">
        <v>0.99444444444444446</v>
      </c>
      <c r="C1885" t="str">
        <f t="shared" si="203"/>
        <v>12</v>
      </c>
      <c r="D1885" t="str">
        <f t="shared" si="204"/>
        <v>04</v>
      </c>
      <c r="E1885" t="str">
        <f t="shared" si="205"/>
        <v>04</v>
      </c>
      <c r="F1885">
        <f t="shared" si="206"/>
        <v>2012</v>
      </c>
      <c r="G1885">
        <f t="shared" si="207"/>
        <v>4</v>
      </c>
      <c r="H1885">
        <f t="shared" si="208"/>
        <v>4</v>
      </c>
      <c r="I1885" t="str">
        <f t="shared" si="209"/>
        <v>12</v>
      </c>
    </row>
    <row r="1886" spans="1:9" x14ac:dyDescent="0.25">
      <c r="A1886" s="19">
        <v>41435</v>
      </c>
      <c r="B1886" s="20">
        <v>7.1527777777777773E-2</v>
      </c>
      <c r="C1886" t="str">
        <f t="shared" si="203"/>
        <v>13</v>
      </c>
      <c r="D1886" t="str">
        <f t="shared" si="204"/>
        <v>06</v>
      </c>
      <c r="E1886" t="str">
        <f t="shared" si="205"/>
        <v>10</v>
      </c>
      <c r="F1886">
        <f t="shared" si="206"/>
        <v>2013</v>
      </c>
      <c r="G1886">
        <f t="shared" si="207"/>
        <v>6</v>
      </c>
      <c r="H1886">
        <f t="shared" si="208"/>
        <v>10</v>
      </c>
      <c r="I1886" t="str">
        <f t="shared" si="209"/>
        <v>13</v>
      </c>
    </row>
    <row r="1887" spans="1:9" x14ac:dyDescent="0.25">
      <c r="A1887" s="19">
        <v>42031</v>
      </c>
      <c r="B1887" s="20">
        <v>1.4583333333333334E-2</v>
      </c>
      <c r="C1887" t="str">
        <f t="shared" si="203"/>
        <v>15</v>
      </c>
      <c r="D1887" t="str">
        <f t="shared" si="204"/>
        <v>01</v>
      </c>
      <c r="E1887" t="str">
        <f t="shared" si="205"/>
        <v>27</v>
      </c>
      <c r="F1887">
        <f t="shared" si="206"/>
        <v>2015</v>
      </c>
      <c r="G1887">
        <f t="shared" si="207"/>
        <v>1</v>
      </c>
      <c r="H1887">
        <f t="shared" si="208"/>
        <v>27</v>
      </c>
      <c r="I1887" t="str">
        <f t="shared" si="209"/>
        <v>15</v>
      </c>
    </row>
    <row r="1888" spans="1:9" x14ac:dyDescent="0.25">
      <c r="A1888" s="19">
        <v>41743</v>
      </c>
      <c r="B1888" s="20">
        <v>2.6388888888888889E-2</v>
      </c>
      <c r="C1888" t="str">
        <f t="shared" si="203"/>
        <v>14</v>
      </c>
      <c r="D1888" t="str">
        <f t="shared" si="204"/>
        <v>04</v>
      </c>
      <c r="E1888" t="str">
        <f t="shared" si="205"/>
        <v>14</v>
      </c>
      <c r="F1888">
        <f t="shared" si="206"/>
        <v>2014</v>
      </c>
      <c r="G1888">
        <f t="shared" si="207"/>
        <v>4</v>
      </c>
      <c r="H1888">
        <f t="shared" si="208"/>
        <v>14</v>
      </c>
      <c r="I1888" t="str">
        <f t="shared" si="209"/>
        <v>14</v>
      </c>
    </row>
    <row r="1889" spans="1:9" x14ac:dyDescent="0.25">
      <c r="A1889" s="19">
        <v>42377</v>
      </c>
      <c r="B1889" s="20">
        <v>4.7222222222222221E-2</v>
      </c>
      <c r="C1889" t="str">
        <f t="shared" si="203"/>
        <v>16</v>
      </c>
      <c r="D1889" t="str">
        <f t="shared" si="204"/>
        <v>01</v>
      </c>
      <c r="E1889" t="str">
        <f t="shared" si="205"/>
        <v>08</v>
      </c>
      <c r="F1889">
        <f t="shared" si="206"/>
        <v>2016</v>
      </c>
      <c r="G1889">
        <f t="shared" si="207"/>
        <v>1</v>
      </c>
      <c r="H1889">
        <f t="shared" si="208"/>
        <v>8</v>
      </c>
      <c r="I1889" t="str">
        <f t="shared" si="209"/>
        <v>16</v>
      </c>
    </row>
    <row r="1890" spans="1:9" x14ac:dyDescent="0.25">
      <c r="A1890" s="19">
        <v>42212</v>
      </c>
      <c r="B1890" s="20">
        <v>6.6666666666666666E-2</v>
      </c>
      <c r="C1890" t="str">
        <f t="shared" si="203"/>
        <v>15</v>
      </c>
      <c r="D1890" t="str">
        <f t="shared" si="204"/>
        <v>07</v>
      </c>
      <c r="E1890" t="str">
        <f t="shared" si="205"/>
        <v>27</v>
      </c>
      <c r="F1890">
        <f t="shared" si="206"/>
        <v>2015</v>
      </c>
      <c r="G1890">
        <f t="shared" si="207"/>
        <v>7</v>
      </c>
      <c r="H1890">
        <f t="shared" si="208"/>
        <v>27</v>
      </c>
      <c r="I1890" t="str">
        <f t="shared" si="209"/>
        <v>15</v>
      </c>
    </row>
    <row r="1891" spans="1:9" x14ac:dyDescent="0.25">
      <c r="A1891" s="19">
        <v>42371</v>
      </c>
      <c r="B1891" s="20">
        <v>7.5694444444444439E-2</v>
      </c>
      <c r="C1891" t="str">
        <f t="shared" si="203"/>
        <v>16</v>
      </c>
      <c r="D1891" t="str">
        <f t="shared" si="204"/>
        <v>01</v>
      </c>
      <c r="E1891" t="str">
        <f t="shared" si="205"/>
        <v>02</v>
      </c>
      <c r="F1891">
        <f t="shared" si="206"/>
        <v>2016</v>
      </c>
      <c r="G1891">
        <f t="shared" si="207"/>
        <v>1</v>
      </c>
      <c r="H1891">
        <f t="shared" si="208"/>
        <v>2</v>
      </c>
      <c r="I1891" t="str">
        <f t="shared" si="209"/>
        <v>16</v>
      </c>
    </row>
    <row r="1892" spans="1:9" x14ac:dyDescent="0.25">
      <c r="A1892" s="19">
        <v>41698</v>
      </c>
      <c r="B1892" s="20">
        <v>2.361111111111111E-2</v>
      </c>
      <c r="C1892" t="str">
        <f t="shared" si="203"/>
        <v>14</v>
      </c>
      <c r="D1892" t="str">
        <f t="shared" si="204"/>
        <v>02</v>
      </c>
      <c r="E1892" t="str">
        <f t="shared" si="205"/>
        <v>28</v>
      </c>
      <c r="F1892">
        <f t="shared" si="206"/>
        <v>2014</v>
      </c>
      <c r="G1892">
        <f t="shared" si="207"/>
        <v>2</v>
      </c>
      <c r="H1892">
        <f t="shared" si="208"/>
        <v>28</v>
      </c>
      <c r="I1892" t="str">
        <f t="shared" si="209"/>
        <v>14</v>
      </c>
    </row>
    <row r="1893" spans="1:9" x14ac:dyDescent="0.25">
      <c r="A1893" s="19">
        <v>42715</v>
      </c>
      <c r="B1893" s="20">
        <v>0.96805555555555556</v>
      </c>
      <c r="C1893" t="str">
        <f t="shared" si="203"/>
        <v>16</v>
      </c>
      <c r="D1893" t="str">
        <f t="shared" si="204"/>
        <v>12</v>
      </c>
      <c r="E1893" t="str">
        <f t="shared" si="205"/>
        <v>11</v>
      </c>
      <c r="F1893">
        <f t="shared" si="206"/>
        <v>2016</v>
      </c>
      <c r="G1893">
        <f t="shared" si="207"/>
        <v>12</v>
      </c>
      <c r="H1893">
        <f t="shared" si="208"/>
        <v>11</v>
      </c>
      <c r="I1893" t="str">
        <f t="shared" si="209"/>
        <v>16</v>
      </c>
    </row>
    <row r="1894" spans="1:9" x14ac:dyDescent="0.25">
      <c r="A1894" s="19">
        <v>42895</v>
      </c>
      <c r="B1894" s="20">
        <v>6.9444444444444448E-2</v>
      </c>
      <c r="C1894" t="str">
        <f t="shared" si="203"/>
        <v>17</v>
      </c>
      <c r="D1894" t="str">
        <f t="shared" si="204"/>
        <v>06</v>
      </c>
      <c r="E1894" t="str">
        <f t="shared" si="205"/>
        <v>09</v>
      </c>
      <c r="F1894">
        <f t="shared" si="206"/>
        <v>2017</v>
      </c>
      <c r="G1894">
        <f t="shared" si="207"/>
        <v>6</v>
      </c>
      <c r="H1894">
        <f t="shared" si="208"/>
        <v>9</v>
      </c>
      <c r="I1894" t="str">
        <f t="shared" si="209"/>
        <v>17</v>
      </c>
    </row>
    <row r="1895" spans="1:9" x14ac:dyDescent="0.25">
      <c r="A1895" s="19">
        <v>41643</v>
      </c>
      <c r="B1895" s="20">
        <v>7.6388888888888895E-2</v>
      </c>
      <c r="C1895" t="str">
        <f t="shared" si="203"/>
        <v>14</v>
      </c>
      <c r="D1895" t="str">
        <f t="shared" si="204"/>
        <v>01</v>
      </c>
      <c r="E1895" t="str">
        <f t="shared" si="205"/>
        <v>04</v>
      </c>
      <c r="F1895">
        <f t="shared" si="206"/>
        <v>2014</v>
      </c>
      <c r="G1895">
        <f t="shared" si="207"/>
        <v>1</v>
      </c>
      <c r="H1895">
        <f t="shared" si="208"/>
        <v>4</v>
      </c>
      <c r="I1895" t="str">
        <f t="shared" si="209"/>
        <v>14</v>
      </c>
    </row>
    <row r="1896" spans="1:9" x14ac:dyDescent="0.25">
      <c r="A1896" s="19">
        <v>41317</v>
      </c>
      <c r="B1896" s="20">
        <v>2.7777777777777776E-2</v>
      </c>
      <c r="C1896" t="str">
        <f t="shared" si="203"/>
        <v>13</v>
      </c>
      <c r="D1896" t="str">
        <f t="shared" si="204"/>
        <v>02</v>
      </c>
      <c r="E1896" t="str">
        <f t="shared" si="205"/>
        <v>12</v>
      </c>
      <c r="F1896">
        <f t="shared" si="206"/>
        <v>2013</v>
      </c>
      <c r="G1896">
        <f t="shared" si="207"/>
        <v>2</v>
      </c>
      <c r="H1896">
        <f t="shared" si="208"/>
        <v>12</v>
      </c>
      <c r="I1896" t="str">
        <f t="shared" si="209"/>
        <v>13</v>
      </c>
    </row>
    <row r="1897" spans="1:9" x14ac:dyDescent="0.25">
      <c r="A1897" s="19">
        <v>41648</v>
      </c>
      <c r="B1897" s="20">
        <v>3.5416666666666666E-2</v>
      </c>
      <c r="C1897" t="str">
        <f t="shared" si="203"/>
        <v>14</v>
      </c>
      <c r="D1897" t="str">
        <f t="shared" si="204"/>
        <v>01</v>
      </c>
      <c r="E1897" t="str">
        <f t="shared" si="205"/>
        <v>09</v>
      </c>
      <c r="F1897">
        <f t="shared" si="206"/>
        <v>2014</v>
      </c>
      <c r="G1897">
        <f t="shared" si="207"/>
        <v>1</v>
      </c>
      <c r="H1897">
        <f t="shared" si="208"/>
        <v>9</v>
      </c>
      <c r="I1897" t="str">
        <f t="shared" si="209"/>
        <v>14</v>
      </c>
    </row>
    <row r="1898" spans="1:9" x14ac:dyDescent="0.25">
      <c r="A1898" s="19">
        <v>41546</v>
      </c>
      <c r="B1898" s="20">
        <v>5.0694444444444445E-2</v>
      </c>
      <c r="C1898" t="str">
        <f t="shared" si="203"/>
        <v>13</v>
      </c>
      <c r="D1898" t="str">
        <f t="shared" si="204"/>
        <v>09</v>
      </c>
      <c r="E1898" t="str">
        <f t="shared" si="205"/>
        <v>29</v>
      </c>
      <c r="F1898">
        <f t="shared" si="206"/>
        <v>2013</v>
      </c>
      <c r="G1898">
        <f t="shared" si="207"/>
        <v>9</v>
      </c>
      <c r="H1898">
        <f t="shared" si="208"/>
        <v>29</v>
      </c>
      <c r="I1898" t="str">
        <f t="shared" si="209"/>
        <v>13</v>
      </c>
    </row>
    <row r="1899" spans="1:9" x14ac:dyDescent="0.25">
      <c r="A1899" s="19">
        <v>41838</v>
      </c>
      <c r="B1899" s="20">
        <v>0.97569444444444442</v>
      </c>
      <c r="C1899" t="str">
        <f t="shared" si="203"/>
        <v>14</v>
      </c>
      <c r="D1899" t="str">
        <f t="shared" si="204"/>
        <v>07</v>
      </c>
      <c r="E1899" t="str">
        <f t="shared" si="205"/>
        <v>18</v>
      </c>
      <c r="F1899">
        <f t="shared" si="206"/>
        <v>2014</v>
      </c>
      <c r="G1899">
        <f t="shared" si="207"/>
        <v>7</v>
      </c>
      <c r="H1899">
        <f t="shared" si="208"/>
        <v>18</v>
      </c>
      <c r="I1899" t="str">
        <f t="shared" si="209"/>
        <v>14</v>
      </c>
    </row>
    <row r="1900" spans="1:9" x14ac:dyDescent="0.25">
      <c r="A1900" s="19">
        <v>42217</v>
      </c>
      <c r="B1900" s="20">
        <v>4.8611111111111112E-3</v>
      </c>
      <c r="C1900" t="str">
        <f t="shared" si="203"/>
        <v>15</v>
      </c>
      <c r="D1900" t="str">
        <f t="shared" si="204"/>
        <v>08</v>
      </c>
      <c r="E1900" t="str">
        <f t="shared" si="205"/>
        <v>01</v>
      </c>
      <c r="F1900">
        <f t="shared" si="206"/>
        <v>2015</v>
      </c>
      <c r="G1900">
        <f t="shared" si="207"/>
        <v>8</v>
      </c>
      <c r="H1900">
        <f t="shared" si="208"/>
        <v>1</v>
      </c>
      <c r="I1900" t="str">
        <f t="shared" si="209"/>
        <v>15</v>
      </c>
    </row>
    <row r="1901" spans="1:9" x14ac:dyDescent="0.25">
      <c r="A1901" s="19">
        <v>41313</v>
      </c>
      <c r="B1901" s="20">
        <v>6.805555555555555E-2</v>
      </c>
      <c r="C1901" t="str">
        <f t="shared" si="203"/>
        <v>13</v>
      </c>
      <c r="D1901" t="str">
        <f t="shared" si="204"/>
        <v>02</v>
      </c>
      <c r="E1901" t="str">
        <f t="shared" si="205"/>
        <v>08</v>
      </c>
      <c r="F1901">
        <f t="shared" si="206"/>
        <v>2013</v>
      </c>
      <c r="G1901">
        <f t="shared" si="207"/>
        <v>2</v>
      </c>
      <c r="H1901">
        <f t="shared" si="208"/>
        <v>8</v>
      </c>
      <c r="I1901" t="str">
        <f t="shared" si="209"/>
        <v>13</v>
      </c>
    </row>
    <row r="1902" spans="1:9" x14ac:dyDescent="0.25">
      <c r="A1902" s="19">
        <v>42331</v>
      </c>
      <c r="B1902" s="20">
        <v>0.96944444444444444</v>
      </c>
      <c r="C1902" t="str">
        <f t="shared" si="203"/>
        <v>15</v>
      </c>
      <c r="D1902" t="str">
        <f t="shared" si="204"/>
        <v>11</v>
      </c>
      <c r="E1902" t="str">
        <f t="shared" si="205"/>
        <v>23</v>
      </c>
      <c r="F1902">
        <f t="shared" si="206"/>
        <v>2015</v>
      </c>
      <c r="G1902">
        <f t="shared" si="207"/>
        <v>11</v>
      </c>
      <c r="H1902">
        <f t="shared" si="208"/>
        <v>23</v>
      </c>
      <c r="I1902" t="str">
        <f t="shared" si="209"/>
        <v>15</v>
      </c>
    </row>
    <row r="1903" spans="1:9" x14ac:dyDescent="0.25">
      <c r="A1903" s="19">
        <v>41676</v>
      </c>
      <c r="B1903" s="20">
        <v>0.99097222222222225</v>
      </c>
      <c r="C1903" t="str">
        <f t="shared" si="203"/>
        <v>14</v>
      </c>
      <c r="D1903" t="str">
        <f t="shared" si="204"/>
        <v>02</v>
      </c>
      <c r="E1903" t="str">
        <f t="shared" si="205"/>
        <v>06</v>
      </c>
      <c r="F1903">
        <f t="shared" si="206"/>
        <v>2014</v>
      </c>
      <c r="G1903">
        <f t="shared" si="207"/>
        <v>2</v>
      </c>
      <c r="H1903">
        <f t="shared" si="208"/>
        <v>6</v>
      </c>
      <c r="I1903" t="str">
        <f t="shared" si="209"/>
        <v>14</v>
      </c>
    </row>
    <row r="1904" spans="1:9" x14ac:dyDescent="0.25">
      <c r="A1904" s="19">
        <v>41990</v>
      </c>
      <c r="B1904" s="20">
        <v>0.99791666666666667</v>
      </c>
      <c r="C1904" t="str">
        <f t="shared" si="203"/>
        <v>14</v>
      </c>
      <c r="D1904" t="str">
        <f t="shared" si="204"/>
        <v>12</v>
      </c>
      <c r="E1904" t="str">
        <f t="shared" si="205"/>
        <v>17</v>
      </c>
      <c r="F1904">
        <f t="shared" si="206"/>
        <v>2014</v>
      </c>
      <c r="G1904">
        <f t="shared" si="207"/>
        <v>12</v>
      </c>
      <c r="H1904">
        <f t="shared" si="208"/>
        <v>17</v>
      </c>
      <c r="I1904" t="str">
        <f t="shared" si="209"/>
        <v>14</v>
      </c>
    </row>
    <row r="1905" spans="1:9" x14ac:dyDescent="0.25">
      <c r="A1905" s="19">
        <v>41214</v>
      </c>
      <c r="B1905" s="20">
        <v>8.7499999999999994E-2</v>
      </c>
      <c r="C1905" t="str">
        <f t="shared" si="203"/>
        <v>12</v>
      </c>
      <c r="D1905" t="str">
        <f t="shared" si="204"/>
        <v>11</v>
      </c>
      <c r="E1905" t="str">
        <f t="shared" si="205"/>
        <v>01</v>
      </c>
      <c r="F1905">
        <f t="shared" si="206"/>
        <v>2012</v>
      </c>
      <c r="G1905">
        <f t="shared" si="207"/>
        <v>11</v>
      </c>
      <c r="H1905">
        <f t="shared" si="208"/>
        <v>1</v>
      </c>
      <c r="I1905" t="str">
        <f t="shared" si="209"/>
        <v>12</v>
      </c>
    </row>
    <row r="1906" spans="1:9" x14ac:dyDescent="0.25">
      <c r="A1906" s="19">
        <v>41171</v>
      </c>
      <c r="B1906" s="20">
        <v>8.1250000000000003E-2</v>
      </c>
      <c r="C1906" t="str">
        <f t="shared" si="203"/>
        <v>12</v>
      </c>
      <c r="D1906" t="str">
        <f t="shared" si="204"/>
        <v>09</v>
      </c>
      <c r="E1906" t="str">
        <f t="shared" si="205"/>
        <v>19</v>
      </c>
      <c r="F1906">
        <f t="shared" si="206"/>
        <v>2012</v>
      </c>
      <c r="G1906">
        <f t="shared" si="207"/>
        <v>9</v>
      </c>
      <c r="H1906">
        <f t="shared" si="208"/>
        <v>19</v>
      </c>
      <c r="I1906" t="str">
        <f t="shared" si="209"/>
        <v>12</v>
      </c>
    </row>
    <row r="1907" spans="1:9" x14ac:dyDescent="0.25">
      <c r="A1907" s="19">
        <v>42692</v>
      </c>
      <c r="B1907" s="20">
        <v>0.94374999999999998</v>
      </c>
      <c r="C1907" t="str">
        <f t="shared" si="203"/>
        <v>16</v>
      </c>
      <c r="D1907" t="str">
        <f t="shared" si="204"/>
        <v>11</v>
      </c>
      <c r="E1907" t="str">
        <f t="shared" si="205"/>
        <v>18</v>
      </c>
      <c r="F1907">
        <f t="shared" si="206"/>
        <v>2016</v>
      </c>
      <c r="G1907">
        <f t="shared" si="207"/>
        <v>11</v>
      </c>
      <c r="H1907">
        <f t="shared" si="208"/>
        <v>18</v>
      </c>
      <c r="I1907" t="str">
        <f t="shared" si="209"/>
        <v>16</v>
      </c>
    </row>
    <row r="1908" spans="1:9" x14ac:dyDescent="0.25">
      <c r="A1908" s="19">
        <v>41492</v>
      </c>
      <c r="B1908" s="20">
        <v>6.7361111111111108E-2</v>
      </c>
      <c r="C1908" t="str">
        <f t="shared" si="203"/>
        <v>13</v>
      </c>
      <c r="D1908" t="str">
        <f t="shared" si="204"/>
        <v>08</v>
      </c>
      <c r="E1908" t="str">
        <f t="shared" si="205"/>
        <v>06</v>
      </c>
      <c r="F1908">
        <f t="shared" si="206"/>
        <v>2013</v>
      </c>
      <c r="G1908">
        <f t="shared" si="207"/>
        <v>8</v>
      </c>
      <c r="H1908">
        <f t="shared" si="208"/>
        <v>6</v>
      </c>
      <c r="I1908" t="str">
        <f t="shared" si="209"/>
        <v>13</v>
      </c>
    </row>
    <row r="1909" spans="1:9" x14ac:dyDescent="0.25">
      <c r="A1909" s="19">
        <v>41701</v>
      </c>
      <c r="B1909" s="20">
        <v>3.6805555555555557E-2</v>
      </c>
      <c r="C1909" t="str">
        <f t="shared" si="203"/>
        <v>14</v>
      </c>
      <c r="D1909" t="str">
        <f t="shared" si="204"/>
        <v>03</v>
      </c>
      <c r="E1909" t="str">
        <f t="shared" si="205"/>
        <v>03</v>
      </c>
      <c r="F1909">
        <f t="shared" si="206"/>
        <v>2014</v>
      </c>
      <c r="G1909">
        <f t="shared" si="207"/>
        <v>3</v>
      </c>
      <c r="H1909">
        <f t="shared" si="208"/>
        <v>3</v>
      </c>
      <c r="I1909" t="str">
        <f t="shared" si="209"/>
        <v>14</v>
      </c>
    </row>
    <row r="1910" spans="1:9" x14ac:dyDescent="0.25">
      <c r="A1910" s="19">
        <v>41300</v>
      </c>
      <c r="B1910" s="20">
        <v>7.1527777777777773E-2</v>
      </c>
      <c r="C1910" t="str">
        <f t="shared" si="203"/>
        <v>13</v>
      </c>
      <c r="D1910" t="str">
        <f t="shared" si="204"/>
        <v>01</v>
      </c>
      <c r="E1910" t="str">
        <f t="shared" si="205"/>
        <v>26</v>
      </c>
      <c r="F1910">
        <f t="shared" si="206"/>
        <v>2013</v>
      </c>
      <c r="G1910">
        <f t="shared" si="207"/>
        <v>1</v>
      </c>
      <c r="H1910">
        <f t="shared" si="208"/>
        <v>26</v>
      </c>
      <c r="I1910" t="str">
        <f t="shared" si="209"/>
        <v>13</v>
      </c>
    </row>
    <row r="1911" spans="1:9" x14ac:dyDescent="0.25">
      <c r="A1911" s="19">
        <v>41854</v>
      </c>
      <c r="B1911" s="20">
        <v>0.99444444444444446</v>
      </c>
      <c r="C1911" t="str">
        <f t="shared" si="203"/>
        <v>14</v>
      </c>
      <c r="D1911" t="str">
        <f t="shared" si="204"/>
        <v>08</v>
      </c>
      <c r="E1911" t="str">
        <f t="shared" si="205"/>
        <v>03</v>
      </c>
      <c r="F1911">
        <f t="shared" si="206"/>
        <v>2014</v>
      </c>
      <c r="G1911">
        <f t="shared" si="207"/>
        <v>8</v>
      </c>
      <c r="H1911">
        <f t="shared" si="208"/>
        <v>3</v>
      </c>
      <c r="I1911" t="str">
        <f t="shared" si="209"/>
        <v>14</v>
      </c>
    </row>
    <row r="1912" spans="1:9" x14ac:dyDescent="0.25">
      <c r="A1912" s="19">
        <v>41380</v>
      </c>
      <c r="B1912" s="20">
        <v>0.97638888888888886</v>
      </c>
      <c r="C1912" t="str">
        <f t="shared" si="203"/>
        <v>13</v>
      </c>
      <c r="D1912" t="str">
        <f t="shared" si="204"/>
        <v>04</v>
      </c>
      <c r="E1912" t="str">
        <f t="shared" si="205"/>
        <v>16</v>
      </c>
      <c r="F1912">
        <f t="shared" si="206"/>
        <v>2013</v>
      </c>
      <c r="G1912">
        <f t="shared" si="207"/>
        <v>4</v>
      </c>
      <c r="H1912">
        <f t="shared" si="208"/>
        <v>16</v>
      </c>
      <c r="I1912" t="str">
        <f t="shared" si="209"/>
        <v>13</v>
      </c>
    </row>
    <row r="1913" spans="1:9" x14ac:dyDescent="0.25">
      <c r="A1913" s="19">
        <v>41890</v>
      </c>
      <c r="B1913" s="20">
        <v>4.2361111111111113E-2</v>
      </c>
      <c r="C1913" t="str">
        <f t="shared" si="203"/>
        <v>14</v>
      </c>
      <c r="D1913" t="str">
        <f t="shared" si="204"/>
        <v>09</v>
      </c>
      <c r="E1913" t="str">
        <f t="shared" si="205"/>
        <v>08</v>
      </c>
      <c r="F1913">
        <f t="shared" si="206"/>
        <v>2014</v>
      </c>
      <c r="G1913">
        <f t="shared" si="207"/>
        <v>9</v>
      </c>
      <c r="H1913">
        <f t="shared" si="208"/>
        <v>8</v>
      </c>
      <c r="I1913" t="str">
        <f t="shared" si="209"/>
        <v>14</v>
      </c>
    </row>
    <row r="1914" spans="1:9" x14ac:dyDescent="0.25">
      <c r="A1914" s="19">
        <v>41553</v>
      </c>
      <c r="B1914" s="20">
        <v>4.8611111111111112E-2</v>
      </c>
      <c r="C1914" t="str">
        <f t="shared" si="203"/>
        <v>13</v>
      </c>
      <c r="D1914" t="str">
        <f t="shared" si="204"/>
        <v>10</v>
      </c>
      <c r="E1914" t="str">
        <f t="shared" si="205"/>
        <v>06</v>
      </c>
      <c r="F1914">
        <f t="shared" si="206"/>
        <v>2013</v>
      </c>
      <c r="G1914">
        <f t="shared" si="207"/>
        <v>10</v>
      </c>
      <c r="H1914">
        <f t="shared" si="208"/>
        <v>6</v>
      </c>
      <c r="I1914" t="str">
        <f t="shared" si="209"/>
        <v>13</v>
      </c>
    </row>
    <row r="1915" spans="1:9" x14ac:dyDescent="0.25">
      <c r="A1915" s="19">
        <v>41571</v>
      </c>
      <c r="B1915" s="20">
        <v>2.5694444444444443E-2</v>
      </c>
      <c r="C1915" t="str">
        <f t="shared" si="203"/>
        <v>13</v>
      </c>
      <c r="D1915" t="str">
        <f t="shared" si="204"/>
        <v>10</v>
      </c>
      <c r="E1915" t="str">
        <f t="shared" si="205"/>
        <v>24</v>
      </c>
      <c r="F1915">
        <f t="shared" si="206"/>
        <v>2013</v>
      </c>
      <c r="G1915">
        <f t="shared" si="207"/>
        <v>10</v>
      </c>
      <c r="H1915">
        <f t="shared" si="208"/>
        <v>24</v>
      </c>
      <c r="I1915" t="str">
        <f t="shared" si="209"/>
        <v>13</v>
      </c>
    </row>
    <row r="1916" spans="1:9" x14ac:dyDescent="0.25">
      <c r="A1916" s="19">
        <v>41460</v>
      </c>
      <c r="B1916" s="20">
        <v>7.6388888888888886E-3</v>
      </c>
      <c r="C1916" t="str">
        <f t="shared" si="203"/>
        <v>13</v>
      </c>
      <c r="D1916" t="str">
        <f t="shared" si="204"/>
        <v>07</v>
      </c>
      <c r="E1916" t="str">
        <f t="shared" si="205"/>
        <v>05</v>
      </c>
      <c r="F1916">
        <f t="shared" si="206"/>
        <v>2013</v>
      </c>
      <c r="G1916">
        <f t="shared" si="207"/>
        <v>7</v>
      </c>
      <c r="H1916">
        <f t="shared" si="208"/>
        <v>5</v>
      </c>
      <c r="I1916" t="str">
        <f t="shared" si="209"/>
        <v>13</v>
      </c>
    </row>
    <row r="1917" spans="1:9" x14ac:dyDescent="0.25">
      <c r="A1917" s="19">
        <v>41939</v>
      </c>
      <c r="B1917" s="20">
        <v>4.791666666666667E-2</v>
      </c>
      <c r="C1917" t="str">
        <f t="shared" si="203"/>
        <v>14</v>
      </c>
      <c r="D1917" t="str">
        <f t="shared" si="204"/>
        <v>10</v>
      </c>
      <c r="E1917" t="str">
        <f t="shared" si="205"/>
        <v>27</v>
      </c>
      <c r="F1917">
        <f t="shared" si="206"/>
        <v>2014</v>
      </c>
      <c r="G1917">
        <f t="shared" si="207"/>
        <v>10</v>
      </c>
      <c r="H1917">
        <f t="shared" si="208"/>
        <v>27</v>
      </c>
      <c r="I1917" t="str">
        <f t="shared" si="209"/>
        <v>14</v>
      </c>
    </row>
    <row r="1918" spans="1:9" x14ac:dyDescent="0.25">
      <c r="A1918" s="19">
        <v>41189</v>
      </c>
      <c r="B1918" s="20">
        <v>5.1388888888888887E-2</v>
      </c>
      <c r="C1918" t="str">
        <f t="shared" si="203"/>
        <v>12</v>
      </c>
      <c r="D1918" t="str">
        <f t="shared" si="204"/>
        <v>10</v>
      </c>
      <c r="E1918" t="str">
        <f t="shared" si="205"/>
        <v>07</v>
      </c>
      <c r="F1918">
        <f t="shared" si="206"/>
        <v>2012</v>
      </c>
      <c r="G1918">
        <f t="shared" si="207"/>
        <v>10</v>
      </c>
      <c r="H1918">
        <f t="shared" si="208"/>
        <v>7</v>
      </c>
      <c r="I1918" t="str">
        <f t="shared" si="209"/>
        <v>12</v>
      </c>
    </row>
    <row r="1919" spans="1:9" x14ac:dyDescent="0.25">
      <c r="A1919" s="19">
        <v>41430</v>
      </c>
      <c r="B1919" s="20">
        <v>6.9444444444444447E-4</v>
      </c>
      <c r="C1919" t="str">
        <f t="shared" si="203"/>
        <v>13</v>
      </c>
      <c r="D1919" t="str">
        <f t="shared" si="204"/>
        <v>06</v>
      </c>
      <c r="E1919" t="str">
        <f t="shared" si="205"/>
        <v>05</v>
      </c>
      <c r="F1919">
        <f t="shared" si="206"/>
        <v>2013</v>
      </c>
      <c r="G1919">
        <f t="shared" si="207"/>
        <v>6</v>
      </c>
      <c r="H1919">
        <f t="shared" si="208"/>
        <v>5</v>
      </c>
      <c r="I1919" t="str">
        <f t="shared" si="209"/>
        <v>13</v>
      </c>
    </row>
    <row r="1920" spans="1:9" x14ac:dyDescent="0.25">
      <c r="A1920" s="19">
        <v>41950</v>
      </c>
      <c r="B1920" s="20">
        <v>4.1666666666666666E-3</v>
      </c>
      <c r="C1920" t="str">
        <f t="shared" si="203"/>
        <v>14</v>
      </c>
      <c r="D1920" t="str">
        <f t="shared" si="204"/>
        <v>11</v>
      </c>
      <c r="E1920" t="str">
        <f t="shared" si="205"/>
        <v>07</v>
      </c>
      <c r="F1920">
        <f t="shared" si="206"/>
        <v>2014</v>
      </c>
      <c r="G1920">
        <f t="shared" si="207"/>
        <v>11</v>
      </c>
      <c r="H1920">
        <f t="shared" si="208"/>
        <v>7</v>
      </c>
      <c r="I1920" t="str">
        <f t="shared" si="209"/>
        <v>14</v>
      </c>
    </row>
    <row r="1921" spans="1:9" x14ac:dyDescent="0.25">
      <c r="A1921" s="19">
        <v>41336</v>
      </c>
      <c r="B1921" s="20">
        <v>4.1666666666666666E-3</v>
      </c>
      <c r="C1921" t="str">
        <f t="shared" si="203"/>
        <v>13</v>
      </c>
      <c r="D1921" t="str">
        <f t="shared" si="204"/>
        <v>03</v>
      </c>
      <c r="E1921" t="str">
        <f t="shared" si="205"/>
        <v>03</v>
      </c>
      <c r="F1921">
        <f t="shared" si="206"/>
        <v>2013</v>
      </c>
      <c r="G1921">
        <f t="shared" si="207"/>
        <v>3</v>
      </c>
      <c r="H1921">
        <f t="shared" si="208"/>
        <v>3</v>
      </c>
      <c r="I1921" t="str">
        <f t="shared" si="209"/>
        <v>13</v>
      </c>
    </row>
    <row r="1922" spans="1:9" x14ac:dyDescent="0.25">
      <c r="A1922" s="19">
        <v>41874</v>
      </c>
      <c r="B1922" s="20">
        <v>3.472222222222222E-3</v>
      </c>
      <c r="C1922" t="str">
        <f t="shared" si="203"/>
        <v>14</v>
      </c>
      <c r="D1922" t="str">
        <f t="shared" si="204"/>
        <v>08</v>
      </c>
      <c r="E1922" t="str">
        <f t="shared" si="205"/>
        <v>23</v>
      </c>
      <c r="F1922">
        <f t="shared" si="206"/>
        <v>2014</v>
      </c>
      <c r="G1922">
        <f t="shared" si="207"/>
        <v>8</v>
      </c>
      <c r="H1922">
        <f t="shared" si="208"/>
        <v>23</v>
      </c>
      <c r="I1922" t="str">
        <f t="shared" si="209"/>
        <v>14</v>
      </c>
    </row>
    <row r="1923" spans="1:9" x14ac:dyDescent="0.25">
      <c r="A1923" s="19">
        <v>41786</v>
      </c>
      <c r="B1923" s="20">
        <v>0.99930555555555556</v>
      </c>
      <c r="C1923" t="str">
        <f t="shared" ref="C1923:C1986" si="210">TEXT(A1923,"YY")</f>
        <v>14</v>
      </c>
      <c r="D1923" t="str">
        <f t="shared" ref="D1923:D1986" si="211">TEXT(A1923,"mm")</f>
        <v>05</v>
      </c>
      <c r="E1923" t="str">
        <f t="shared" ref="E1923:E1986" si="212">TEXT(A1923,"dd")</f>
        <v>27</v>
      </c>
      <c r="F1923">
        <f t="shared" ref="F1923:F1986" si="213">YEAR($A1923)</f>
        <v>2014</v>
      </c>
      <c r="G1923">
        <f t="shared" ref="G1923:G1986" si="214">MONTH($A1923)</f>
        <v>5</v>
      </c>
      <c r="H1923">
        <f t="shared" ref="H1923:H1986" si="215">DAY($A1923)</f>
        <v>27</v>
      </c>
      <c r="I1923" t="str">
        <f t="shared" ref="I1923:I1986" si="216">TEXT($A1923,"YY")</f>
        <v>14</v>
      </c>
    </row>
    <row r="1924" spans="1:9" x14ac:dyDescent="0.25">
      <c r="A1924" s="19">
        <v>41313</v>
      </c>
      <c r="B1924" s="20">
        <v>0.96805555555555556</v>
      </c>
      <c r="C1924" t="str">
        <f t="shared" si="210"/>
        <v>13</v>
      </c>
      <c r="D1924" t="str">
        <f t="shared" si="211"/>
        <v>02</v>
      </c>
      <c r="E1924" t="str">
        <f t="shared" si="212"/>
        <v>08</v>
      </c>
      <c r="F1924">
        <f t="shared" si="213"/>
        <v>2013</v>
      </c>
      <c r="G1924">
        <f t="shared" si="214"/>
        <v>2</v>
      </c>
      <c r="H1924">
        <f t="shared" si="215"/>
        <v>8</v>
      </c>
      <c r="I1924" t="str">
        <f t="shared" si="216"/>
        <v>13</v>
      </c>
    </row>
    <row r="1925" spans="1:9" x14ac:dyDescent="0.25">
      <c r="A1925" s="19">
        <v>41978</v>
      </c>
      <c r="B1925" s="20">
        <v>7.013888888888889E-2</v>
      </c>
      <c r="C1925" t="str">
        <f t="shared" si="210"/>
        <v>14</v>
      </c>
      <c r="D1925" t="str">
        <f t="shared" si="211"/>
        <v>12</v>
      </c>
      <c r="E1925" t="str">
        <f t="shared" si="212"/>
        <v>05</v>
      </c>
      <c r="F1925">
        <f t="shared" si="213"/>
        <v>2014</v>
      </c>
      <c r="G1925">
        <f t="shared" si="214"/>
        <v>12</v>
      </c>
      <c r="H1925">
        <f t="shared" si="215"/>
        <v>5</v>
      </c>
      <c r="I1925" t="str">
        <f t="shared" si="216"/>
        <v>14</v>
      </c>
    </row>
    <row r="1926" spans="1:9" x14ac:dyDescent="0.25">
      <c r="A1926" s="19">
        <v>42373</v>
      </c>
      <c r="B1926" s="20">
        <v>2.0833333333333333E-3</v>
      </c>
      <c r="C1926" t="str">
        <f t="shared" si="210"/>
        <v>16</v>
      </c>
      <c r="D1926" t="str">
        <f t="shared" si="211"/>
        <v>01</v>
      </c>
      <c r="E1926" t="str">
        <f t="shared" si="212"/>
        <v>04</v>
      </c>
      <c r="F1926">
        <f t="shared" si="213"/>
        <v>2016</v>
      </c>
      <c r="G1926">
        <f t="shared" si="214"/>
        <v>1</v>
      </c>
      <c r="H1926">
        <f t="shared" si="215"/>
        <v>4</v>
      </c>
      <c r="I1926" t="str">
        <f t="shared" si="216"/>
        <v>16</v>
      </c>
    </row>
    <row r="1927" spans="1:9" x14ac:dyDescent="0.25">
      <c r="A1927" s="19">
        <v>42039</v>
      </c>
      <c r="B1927" s="20">
        <v>4.4444444444444446E-2</v>
      </c>
      <c r="C1927" t="str">
        <f t="shared" si="210"/>
        <v>15</v>
      </c>
      <c r="D1927" t="str">
        <f t="shared" si="211"/>
        <v>02</v>
      </c>
      <c r="E1927" t="str">
        <f t="shared" si="212"/>
        <v>04</v>
      </c>
      <c r="F1927">
        <f t="shared" si="213"/>
        <v>2015</v>
      </c>
      <c r="G1927">
        <f t="shared" si="214"/>
        <v>2</v>
      </c>
      <c r="H1927">
        <f t="shared" si="215"/>
        <v>4</v>
      </c>
      <c r="I1927" t="str">
        <f t="shared" si="216"/>
        <v>15</v>
      </c>
    </row>
    <row r="1928" spans="1:9" x14ac:dyDescent="0.25">
      <c r="A1928" s="19">
        <v>41157</v>
      </c>
      <c r="B1928" s="20">
        <v>0.99583333333333335</v>
      </c>
      <c r="C1928" t="str">
        <f t="shared" si="210"/>
        <v>12</v>
      </c>
      <c r="D1928" t="str">
        <f t="shared" si="211"/>
        <v>09</v>
      </c>
      <c r="E1928" t="str">
        <f t="shared" si="212"/>
        <v>05</v>
      </c>
      <c r="F1928">
        <f t="shared" si="213"/>
        <v>2012</v>
      </c>
      <c r="G1928">
        <f t="shared" si="214"/>
        <v>9</v>
      </c>
      <c r="H1928">
        <f t="shared" si="215"/>
        <v>5</v>
      </c>
      <c r="I1928" t="str">
        <f t="shared" si="216"/>
        <v>12</v>
      </c>
    </row>
    <row r="1929" spans="1:9" x14ac:dyDescent="0.25">
      <c r="A1929" s="19">
        <v>41828</v>
      </c>
      <c r="B1929" s="20">
        <v>1.8055555555555554E-2</v>
      </c>
      <c r="C1929" t="str">
        <f t="shared" si="210"/>
        <v>14</v>
      </c>
      <c r="D1929" t="str">
        <f t="shared" si="211"/>
        <v>07</v>
      </c>
      <c r="E1929" t="str">
        <f t="shared" si="212"/>
        <v>08</v>
      </c>
      <c r="F1929">
        <f t="shared" si="213"/>
        <v>2014</v>
      </c>
      <c r="G1929">
        <f t="shared" si="214"/>
        <v>7</v>
      </c>
      <c r="H1929">
        <f t="shared" si="215"/>
        <v>8</v>
      </c>
      <c r="I1929" t="str">
        <f t="shared" si="216"/>
        <v>14</v>
      </c>
    </row>
    <row r="1930" spans="1:9" x14ac:dyDescent="0.25">
      <c r="A1930" s="19">
        <v>41599</v>
      </c>
      <c r="B1930" s="20">
        <v>0.97569444444444442</v>
      </c>
      <c r="C1930" t="str">
        <f t="shared" si="210"/>
        <v>13</v>
      </c>
      <c r="D1930" t="str">
        <f t="shared" si="211"/>
        <v>11</v>
      </c>
      <c r="E1930" t="str">
        <f t="shared" si="212"/>
        <v>21</v>
      </c>
      <c r="F1930">
        <f t="shared" si="213"/>
        <v>2013</v>
      </c>
      <c r="G1930">
        <f t="shared" si="214"/>
        <v>11</v>
      </c>
      <c r="H1930">
        <f t="shared" si="215"/>
        <v>21</v>
      </c>
      <c r="I1930" t="str">
        <f t="shared" si="216"/>
        <v>13</v>
      </c>
    </row>
    <row r="1931" spans="1:9" x14ac:dyDescent="0.25">
      <c r="A1931" s="19">
        <v>41319</v>
      </c>
      <c r="B1931" s="20">
        <v>6.5972222222222224E-2</v>
      </c>
      <c r="C1931" t="str">
        <f t="shared" si="210"/>
        <v>13</v>
      </c>
      <c r="D1931" t="str">
        <f t="shared" si="211"/>
        <v>02</v>
      </c>
      <c r="E1931" t="str">
        <f t="shared" si="212"/>
        <v>14</v>
      </c>
      <c r="F1931">
        <f t="shared" si="213"/>
        <v>2013</v>
      </c>
      <c r="G1931">
        <f t="shared" si="214"/>
        <v>2</v>
      </c>
      <c r="H1931">
        <f t="shared" si="215"/>
        <v>14</v>
      </c>
      <c r="I1931" t="str">
        <f t="shared" si="216"/>
        <v>13</v>
      </c>
    </row>
    <row r="1932" spans="1:9" x14ac:dyDescent="0.25">
      <c r="A1932" s="19">
        <v>41324</v>
      </c>
      <c r="B1932" s="20">
        <v>3.6805555555555557E-2</v>
      </c>
      <c r="C1932" t="str">
        <f t="shared" si="210"/>
        <v>13</v>
      </c>
      <c r="D1932" t="str">
        <f t="shared" si="211"/>
        <v>02</v>
      </c>
      <c r="E1932" t="str">
        <f t="shared" si="212"/>
        <v>19</v>
      </c>
      <c r="F1932">
        <f t="shared" si="213"/>
        <v>2013</v>
      </c>
      <c r="G1932">
        <f t="shared" si="214"/>
        <v>2</v>
      </c>
      <c r="H1932">
        <f t="shared" si="215"/>
        <v>19</v>
      </c>
      <c r="I1932" t="str">
        <f t="shared" si="216"/>
        <v>13</v>
      </c>
    </row>
    <row r="1933" spans="1:9" x14ac:dyDescent="0.25">
      <c r="A1933" s="19">
        <v>41017</v>
      </c>
      <c r="B1933" s="20">
        <v>5.6944444444444443E-2</v>
      </c>
      <c r="C1933" t="str">
        <f t="shared" si="210"/>
        <v>12</v>
      </c>
      <c r="D1933" t="str">
        <f t="shared" si="211"/>
        <v>04</v>
      </c>
      <c r="E1933" t="str">
        <f t="shared" si="212"/>
        <v>18</v>
      </c>
      <c r="F1933">
        <f t="shared" si="213"/>
        <v>2012</v>
      </c>
      <c r="G1933">
        <f t="shared" si="214"/>
        <v>4</v>
      </c>
      <c r="H1933">
        <f t="shared" si="215"/>
        <v>18</v>
      </c>
      <c r="I1933" t="str">
        <f t="shared" si="216"/>
        <v>12</v>
      </c>
    </row>
    <row r="1934" spans="1:9" x14ac:dyDescent="0.25">
      <c r="A1934" s="19">
        <v>41446</v>
      </c>
      <c r="B1934" s="20">
        <v>5.1388888888888887E-2</v>
      </c>
      <c r="C1934" t="str">
        <f t="shared" si="210"/>
        <v>13</v>
      </c>
      <c r="D1934" t="str">
        <f t="shared" si="211"/>
        <v>06</v>
      </c>
      <c r="E1934" t="str">
        <f t="shared" si="212"/>
        <v>21</v>
      </c>
      <c r="F1934">
        <f t="shared" si="213"/>
        <v>2013</v>
      </c>
      <c r="G1934">
        <f t="shared" si="214"/>
        <v>6</v>
      </c>
      <c r="H1934">
        <f t="shared" si="215"/>
        <v>21</v>
      </c>
      <c r="I1934" t="str">
        <f t="shared" si="216"/>
        <v>13</v>
      </c>
    </row>
    <row r="1935" spans="1:9" x14ac:dyDescent="0.25">
      <c r="A1935" s="19">
        <v>41832</v>
      </c>
      <c r="B1935" s="20">
        <v>2.5000000000000001E-2</v>
      </c>
      <c r="C1935" t="str">
        <f t="shared" si="210"/>
        <v>14</v>
      </c>
      <c r="D1935" t="str">
        <f t="shared" si="211"/>
        <v>07</v>
      </c>
      <c r="E1935" t="str">
        <f t="shared" si="212"/>
        <v>12</v>
      </c>
      <c r="F1935">
        <f t="shared" si="213"/>
        <v>2014</v>
      </c>
      <c r="G1935">
        <f t="shared" si="214"/>
        <v>7</v>
      </c>
      <c r="H1935">
        <f t="shared" si="215"/>
        <v>12</v>
      </c>
      <c r="I1935" t="str">
        <f t="shared" si="216"/>
        <v>14</v>
      </c>
    </row>
    <row r="1936" spans="1:9" x14ac:dyDescent="0.25">
      <c r="A1936" s="19">
        <v>42518</v>
      </c>
      <c r="B1936" s="20">
        <v>2.8472222222222222E-2</v>
      </c>
      <c r="C1936" t="str">
        <f t="shared" si="210"/>
        <v>16</v>
      </c>
      <c r="D1936" t="str">
        <f t="shared" si="211"/>
        <v>05</v>
      </c>
      <c r="E1936" t="str">
        <f t="shared" si="212"/>
        <v>28</v>
      </c>
      <c r="F1936">
        <f t="shared" si="213"/>
        <v>2016</v>
      </c>
      <c r="G1936">
        <f t="shared" si="214"/>
        <v>5</v>
      </c>
      <c r="H1936">
        <f t="shared" si="215"/>
        <v>28</v>
      </c>
      <c r="I1936" t="str">
        <f t="shared" si="216"/>
        <v>16</v>
      </c>
    </row>
    <row r="1937" spans="1:9" x14ac:dyDescent="0.25">
      <c r="A1937" s="19">
        <v>41793</v>
      </c>
      <c r="B1937" s="20">
        <v>6.5972222222222224E-2</v>
      </c>
      <c r="C1937" t="str">
        <f t="shared" si="210"/>
        <v>14</v>
      </c>
      <c r="D1937" t="str">
        <f t="shared" si="211"/>
        <v>06</v>
      </c>
      <c r="E1937" t="str">
        <f t="shared" si="212"/>
        <v>03</v>
      </c>
      <c r="F1937">
        <f t="shared" si="213"/>
        <v>2014</v>
      </c>
      <c r="G1937">
        <f t="shared" si="214"/>
        <v>6</v>
      </c>
      <c r="H1937">
        <f t="shared" si="215"/>
        <v>3</v>
      </c>
      <c r="I1937" t="str">
        <f t="shared" si="216"/>
        <v>14</v>
      </c>
    </row>
    <row r="1938" spans="1:9" x14ac:dyDescent="0.25">
      <c r="A1938" s="19">
        <v>41646</v>
      </c>
      <c r="B1938" s="20">
        <v>5.7638888888888892E-2</v>
      </c>
      <c r="C1938" t="str">
        <f t="shared" si="210"/>
        <v>14</v>
      </c>
      <c r="D1938" t="str">
        <f t="shared" si="211"/>
        <v>01</v>
      </c>
      <c r="E1938" t="str">
        <f t="shared" si="212"/>
        <v>07</v>
      </c>
      <c r="F1938">
        <f t="shared" si="213"/>
        <v>2014</v>
      </c>
      <c r="G1938">
        <f t="shared" si="214"/>
        <v>1</v>
      </c>
      <c r="H1938">
        <f t="shared" si="215"/>
        <v>7</v>
      </c>
      <c r="I1938" t="str">
        <f t="shared" si="216"/>
        <v>14</v>
      </c>
    </row>
    <row r="1939" spans="1:9" x14ac:dyDescent="0.25">
      <c r="A1939" s="19">
        <v>41687</v>
      </c>
      <c r="B1939" s="20">
        <v>2.0833333333333333E-3</v>
      </c>
      <c r="C1939" t="str">
        <f t="shared" si="210"/>
        <v>14</v>
      </c>
      <c r="D1939" t="str">
        <f t="shared" si="211"/>
        <v>02</v>
      </c>
      <c r="E1939" t="str">
        <f t="shared" si="212"/>
        <v>17</v>
      </c>
      <c r="F1939">
        <f t="shared" si="213"/>
        <v>2014</v>
      </c>
      <c r="G1939">
        <f t="shared" si="214"/>
        <v>2</v>
      </c>
      <c r="H1939">
        <f t="shared" si="215"/>
        <v>17</v>
      </c>
      <c r="I1939" t="str">
        <f t="shared" si="216"/>
        <v>14</v>
      </c>
    </row>
    <row r="1940" spans="1:9" x14ac:dyDescent="0.25">
      <c r="A1940" s="19">
        <v>41679</v>
      </c>
      <c r="B1940" s="20">
        <v>7.4305555555555555E-2</v>
      </c>
      <c r="C1940" t="str">
        <f t="shared" si="210"/>
        <v>14</v>
      </c>
      <c r="D1940" t="str">
        <f t="shared" si="211"/>
        <v>02</v>
      </c>
      <c r="E1940" t="str">
        <f t="shared" si="212"/>
        <v>09</v>
      </c>
      <c r="F1940">
        <f t="shared" si="213"/>
        <v>2014</v>
      </c>
      <c r="G1940">
        <f t="shared" si="214"/>
        <v>2</v>
      </c>
      <c r="H1940">
        <f t="shared" si="215"/>
        <v>9</v>
      </c>
      <c r="I1940" t="str">
        <f t="shared" si="216"/>
        <v>14</v>
      </c>
    </row>
    <row r="1941" spans="1:9" x14ac:dyDescent="0.25">
      <c r="A1941" s="19">
        <v>42010</v>
      </c>
      <c r="B1941" s="20">
        <v>7.3611111111111113E-2</v>
      </c>
      <c r="C1941" t="str">
        <f t="shared" si="210"/>
        <v>15</v>
      </c>
      <c r="D1941" t="str">
        <f t="shared" si="211"/>
        <v>01</v>
      </c>
      <c r="E1941" t="str">
        <f t="shared" si="212"/>
        <v>06</v>
      </c>
      <c r="F1941">
        <f t="shared" si="213"/>
        <v>2015</v>
      </c>
      <c r="G1941">
        <f t="shared" si="214"/>
        <v>1</v>
      </c>
      <c r="H1941">
        <f t="shared" si="215"/>
        <v>6</v>
      </c>
      <c r="I1941" t="str">
        <f t="shared" si="216"/>
        <v>15</v>
      </c>
    </row>
    <row r="1942" spans="1:9" x14ac:dyDescent="0.25">
      <c r="A1942" s="19">
        <v>41557</v>
      </c>
      <c r="B1942" s="20">
        <v>5.8333333333333334E-2</v>
      </c>
      <c r="C1942" t="str">
        <f t="shared" si="210"/>
        <v>13</v>
      </c>
      <c r="D1942" t="str">
        <f t="shared" si="211"/>
        <v>10</v>
      </c>
      <c r="E1942" t="str">
        <f t="shared" si="212"/>
        <v>10</v>
      </c>
      <c r="F1942">
        <f t="shared" si="213"/>
        <v>2013</v>
      </c>
      <c r="G1942">
        <f t="shared" si="214"/>
        <v>10</v>
      </c>
      <c r="H1942">
        <f t="shared" si="215"/>
        <v>10</v>
      </c>
      <c r="I1942" t="str">
        <f t="shared" si="216"/>
        <v>13</v>
      </c>
    </row>
    <row r="1943" spans="1:9" x14ac:dyDescent="0.25">
      <c r="A1943" s="19">
        <v>41696</v>
      </c>
      <c r="B1943" s="20">
        <v>2.7777777777777776E-2</v>
      </c>
      <c r="C1943" t="str">
        <f t="shared" si="210"/>
        <v>14</v>
      </c>
      <c r="D1943" t="str">
        <f t="shared" si="211"/>
        <v>02</v>
      </c>
      <c r="E1943" t="str">
        <f t="shared" si="212"/>
        <v>26</v>
      </c>
      <c r="F1943">
        <f t="shared" si="213"/>
        <v>2014</v>
      </c>
      <c r="G1943">
        <f t="shared" si="214"/>
        <v>2</v>
      </c>
      <c r="H1943">
        <f t="shared" si="215"/>
        <v>26</v>
      </c>
      <c r="I1943" t="str">
        <f t="shared" si="216"/>
        <v>14</v>
      </c>
    </row>
    <row r="1944" spans="1:9" x14ac:dyDescent="0.25">
      <c r="A1944" s="19">
        <v>41281</v>
      </c>
      <c r="B1944" s="20">
        <v>0.97152777777777777</v>
      </c>
      <c r="C1944" t="str">
        <f t="shared" si="210"/>
        <v>13</v>
      </c>
      <c r="D1944" t="str">
        <f t="shared" si="211"/>
        <v>01</v>
      </c>
      <c r="E1944" t="str">
        <f t="shared" si="212"/>
        <v>07</v>
      </c>
      <c r="F1944">
        <f t="shared" si="213"/>
        <v>2013</v>
      </c>
      <c r="G1944">
        <f t="shared" si="214"/>
        <v>1</v>
      </c>
      <c r="H1944">
        <f t="shared" si="215"/>
        <v>7</v>
      </c>
      <c r="I1944" t="str">
        <f t="shared" si="216"/>
        <v>13</v>
      </c>
    </row>
    <row r="1945" spans="1:9" x14ac:dyDescent="0.25">
      <c r="A1945" s="19">
        <v>42165</v>
      </c>
      <c r="B1945" s="20">
        <v>7.0833333333333331E-2</v>
      </c>
      <c r="C1945" t="str">
        <f t="shared" si="210"/>
        <v>15</v>
      </c>
      <c r="D1945" t="str">
        <f t="shared" si="211"/>
        <v>06</v>
      </c>
      <c r="E1945" t="str">
        <f t="shared" si="212"/>
        <v>10</v>
      </c>
      <c r="F1945">
        <f t="shared" si="213"/>
        <v>2015</v>
      </c>
      <c r="G1945">
        <f t="shared" si="214"/>
        <v>6</v>
      </c>
      <c r="H1945">
        <f t="shared" si="215"/>
        <v>10</v>
      </c>
      <c r="I1945" t="str">
        <f t="shared" si="216"/>
        <v>15</v>
      </c>
    </row>
    <row r="1946" spans="1:9" x14ac:dyDescent="0.25">
      <c r="A1946" s="19">
        <v>42273</v>
      </c>
      <c r="B1946" s="20">
        <v>0.96597222222222223</v>
      </c>
      <c r="C1946" t="str">
        <f t="shared" si="210"/>
        <v>15</v>
      </c>
      <c r="D1946" t="str">
        <f t="shared" si="211"/>
        <v>09</v>
      </c>
      <c r="E1946" t="str">
        <f t="shared" si="212"/>
        <v>26</v>
      </c>
      <c r="F1946">
        <f t="shared" si="213"/>
        <v>2015</v>
      </c>
      <c r="G1946">
        <f t="shared" si="214"/>
        <v>9</v>
      </c>
      <c r="H1946">
        <f t="shared" si="215"/>
        <v>26</v>
      </c>
      <c r="I1946" t="str">
        <f t="shared" si="216"/>
        <v>15</v>
      </c>
    </row>
    <row r="1947" spans="1:9" x14ac:dyDescent="0.25">
      <c r="A1947" s="19">
        <v>41640</v>
      </c>
      <c r="B1947" s="20">
        <v>6.3194444444444442E-2</v>
      </c>
      <c r="C1947" t="str">
        <f t="shared" si="210"/>
        <v>14</v>
      </c>
      <c r="D1947" t="str">
        <f t="shared" si="211"/>
        <v>01</v>
      </c>
      <c r="E1947" t="str">
        <f t="shared" si="212"/>
        <v>01</v>
      </c>
      <c r="F1947">
        <f t="shared" si="213"/>
        <v>2014</v>
      </c>
      <c r="G1947">
        <f t="shared" si="214"/>
        <v>1</v>
      </c>
      <c r="H1947">
        <f t="shared" si="215"/>
        <v>1</v>
      </c>
      <c r="I1947" t="str">
        <f t="shared" si="216"/>
        <v>14</v>
      </c>
    </row>
    <row r="1948" spans="1:9" x14ac:dyDescent="0.25">
      <c r="A1948" s="19">
        <v>41575</v>
      </c>
      <c r="B1948" s="20">
        <v>1.1111111111111112E-2</v>
      </c>
      <c r="C1948" t="str">
        <f t="shared" si="210"/>
        <v>13</v>
      </c>
      <c r="D1948" t="str">
        <f t="shared" si="211"/>
        <v>10</v>
      </c>
      <c r="E1948" t="str">
        <f t="shared" si="212"/>
        <v>28</v>
      </c>
      <c r="F1948">
        <f t="shared" si="213"/>
        <v>2013</v>
      </c>
      <c r="G1948">
        <f t="shared" si="214"/>
        <v>10</v>
      </c>
      <c r="H1948">
        <f t="shared" si="215"/>
        <v>28</v>
      </c>
      <c r="I1948" t="str">
        <f t="shared" si="216"/>
        <v>13</v>
      </c>
    </row>
    <row r="1949" spans="1:9" x14ac:dyDescent="0.25">
      <c r="A1949" s="19">
        <v>41122</v>
      </c>
      <c r="B1949" s="20">
        <v>3.888888888888889E-2</v>
      </c>
      <c r="C1949" t="str">
        <f t="shared" si="210"/>
        <v>12</v>
      </c>
      <c r="D1949" t="str">
        <f t="shared" si="211"/>
        <v>08</v>
      </c>
      <c r="E1949" t="str">
        <f t="shared" si="212"/>
        <v>01</v>
      </c>
      <c r="F1949">
        <f t="shared" si="213"/>
        <v>2012</v>
      </c>
      <c r="G1949">
        <f t="shared" si="214"/>
        <v>8</v>
      </c>
      <c r="H1949">
        <f t="shared" si="215"/>
        <v>1</v>
      </c>
      <c r="I1949" t="str">
        <f t="shared" si="216"/>
        <v>12</v>
      </c>
    </row>
    <row r="1950" spans="1:9" x14ac:dyDescent="0.25">
      <c r="A1950" s="19">
        <v>41816</v>
      </c>
      <c r="B1950" s="20">
        <v>2.9166666666666667E-2</v>
      </c>
      <c r="C1950" t="str">
        <f t="shared" si="210"/>
        <v>14</v>
      </c>
      <c r="D1950" t="str">
        <f t="shared" si="211"/>
        <v>06</v>
      </c>
      <c r="E1950" t="str">
        <f t="shared" si="212"/>
        <v>26</v>
      </c>
      <c r="F1950">
        <f t="shared" si="213"/>
        <v>2014</v>
      </c>
      <c r="G1950">
        <f t="shared" si="214"/>
        <v>6</v>
      </c>
      <c r="H1950">
        <f t="shared" si="215"/>
        <v>26</v>
      </c>
      <c r="I1950" t="str">
        <f t="shared" si="216"/>
        <v>14</v>
      </c>
    </row>
    <row r="1951" spans="1:9" x14ac:dyDescent="0.25">
      <c r="A1951" s="19">
        <v>41449</v>
      </c>
      <c r="B1951" s="20">
        <v>0.99930555555555556</v>
      </c>
      <c r="C1951" t="str">
        <f t="shared" si="210"/>
        <v>13</v>
      </c>
      <c r="D1951" t="str">
        <f t="shared" si="211"/>
        <v>06</v>
      </c>
      <c r="E1951" t="str">
        <f t="shared" si="212"/>
        <v>24</v>
      </c>
      <c r="F1951">
        <f t="shared" si="213"/>
        <v>2013</v>
      </c>
      <c r="G1951">
        <f t="shared" si="214"/>
        <v>6</v>
      </c>
      <c r="H1951">
        <f t="shared" si="215"/>
        <v>24</v>
      </c>
      <c r="I1951" t="str">
        <f t="shared" si="216"/>
        <v>13</v>
      </c>
    </row>
    <row r="1952" spans="1:9" x14ac:dyDescent="0.25">
      <c r="A1952" s="19">
        <v>41328</v>
      </c>
      <c r="B1952" s="20">
        <v>3.0555555555555555E-2</v>
      </c>
      <c r="C1952" t="str">
        <f t="shared" si="210"/>
        <v>13</v>
      </c>
      <c r="D1952" t="str">
        <f t="shared" si="211"/>
        <v>02</v>
      </c>
      <c r="E1952" t="str">
        <f t="shared" si="212"/>
        <v>23</v>
      </c>
      <c r="F1952">
        <f t="shared" si="213"/>
        <v>2013</v>
      </c>
      <c r="G1952">
        <f t="shared" si="214"/>
        <v>2</v>
      </c>
      <c r="H1952">
        <f t="shared" si="215"/>
        <v>23</v>
      </c>
      <c r="I1952" t="str">
        <f t="shared" si="216"/>
        <v>13</v>
      </c>
    </row>
    <row r="1953" spans="1:9" x14ac:dyDescent="0.25">
      <c r="A1953" s="19">
        <v>41813</v>
      </c>
      <c r="B1953" s="20">
        <v>5.5555555555555552E-2</v>
      </c>
      <c r="C1953" t="str">
        <f t="shared" si="210"/>
        <v>14</v>
      </c>
      <c r="D1953" t="str">
        <f t="shared" si="211"/>
        <v>06</v>
      </c>
      <c r="E1953" t="str">
        <f t="shared" si="212"/>
        <v>23</v>
      </c>
      <c r="F1953">
        <f t="shared" si="213"/>
        <v>2014</v>
      </c>
      <c r="G1953">
        <f t="shared" si="214"/>
        <v>6</v>
      </c>
      <c r="H1953">
        <f t="shared" si="215"/>
        <v>23</v>
      </c>
      <c r="I1953" t="str">
        <f t="shared" si="216"/>
        <v>14</v>
      </c>
    </row>
    <row r="1954" spans="1:9" x14ac:dyDescent="0.25">
      <c r="A1954" s="19">
        <v>42052</v>
      </c>
      <c r="B1954" s="20">
        <v>0.9819444444444444</v>
      </c>
      <c r="C1954" t="str">
        <f t="shared" si="210"/>
        <v>15</v>
      </c>
      <c r="D1954" t="str">
        <f t="shared" si="211"/>
        <v>02</v>
      </c>
      <c r="E1954" t="str">
        <f t="shared" si="212"/>
        <v>17</v>
      </c>
      <c r="F1954">
        <f t="shared" si="213"/>
        <v>2015</v>
      </c>
      <c r="G1954">
        <f t="shared" si="214"/>
        <v>2</v>
      </c>
      <c r="H1954">
        <f t="shared" si="215"/>
        <v>17</v>
      </c>
      <c r="I1954" t="str">
        <f t="shared" si="216"/>
        <v>15</v>
      </c>
    </row>
    <row r="1955" spans="1:9" x14ac:dyDescent="0.25">
      <c r="A1955" s="19">
        <v>42307</v>
      </c>
      <c r="B1955" s="20">
        <v>3.125E-2</v>
      </c>
      <c r="C1955" t="str">
        <f t="shared" si="210"/>
        <v>15</v>
      </c>
      <c r="D1955" t="str">
        <f t="shared" si="211"/>
        <v>10</v>
      </c>
      <c r="E1955" t="str">
        <f t="shared" si="212"/>
        <v>30</v>
      </c>
      <c r="F1955">
        <f t="shared" si="213"/>
        <v>2015</v>
      </c>
      <c r="G1955">
        <f t="shared" si="214"/>
        <v>10</v>
      </c>
      <c r="H1955">
        <f t="shared" si="215"/>
        <v>30</v>
      </c>
      <c r="I1955" t="str">
        <f t="shared" si="216"/>
        <v>15</v>
      </c>
    </row>
    <row r="1956" spans="1:9" x14ac:dyDescent="0.25">
      <c r="A1956" s="19">
        <v>42439</v>
      </c>
      <c r="B1956" s="20">
        <v>4.9305555555555554E-2</v>
      </c>
      <c r="C1956" t="str">
        <f t="shared" si="210"/>
        <v>16</v>
      </c>
      <c r="D1956" t="str">
        <f t="shared" si="211"/>
        <v>03</v>
      </c>
      <c r="E1956" t="str">
        <f t="shared" si="212"/>
        <v>10</v>
      </c>
      <c r="F1956">
        <f t="shared" si="213"/>
        <v>2016</v>
      </c>
      <c r="G1956">
        <f t="shared" si="214"/>
        <v>3</v>
      </c>
      <c r="H1956">
        <f t="shared" si="215"/>
        <v>10</v>
      </c>
      <c r="I1956" t="str">
        <f t="shared" si="216"/>
        <v>16</v>
      </c>
    </row>
    <row r="1957" spans="1:9" x14ac:dyDescent="0.25">
      <c r="A1957" s="19">
        <v>41638</v>
      </c>
      <c r="B1957" s="20">
        <v>0.99097222222222225</v>
      </c>
      <c r="C1957" t="str">
        <f t="shared" si="210"/>
        <v>13</v>
      </c>
      <c r="D1957" t="str">
        <f t="shared" si="211"/>
        <v>12</v>
      </c>
      <c r="E1957" t="str">
        <f t="shared" si="212"/>
        <v>30</v>
      </c>
      <c r="F1957">
        <f t="shared" si="213"/>
        <v>2013</v>
      </c>
      <c r="G1957">
        <f t="shared" si="214"/>
        <v>12</v>
      </c>
      <c r="H1957">
        <f t="shared" si="215"/>
        <v>30</v>
      </c>
      <c r="I1957" t="str">
        <f t="shared" si="216"/>
        <v>13</v>
      </c>
    </row>
    <row r="1958" spans="1:9" x14ac:dyDescent="0.25">
      <c r="A1958" s="19">
        <v>41545</v>
      </c>
      <c r="B1958" s="20">
        <v>1.3888888888888888E-2</v>
      </c>
      <c r="C1958" t="str">
        <f t="shared" si="210"/>
        <v>13</v>
      </c>
      <c r="D1958" t="str">
        <f t="shared" si="211"/>
        <v>09</v>
      </c>
      <c r="E1958" t="str">
        <f t="shared" si="212"/>
        <v>28</v>
      </c>
      <c r="F1958">
        <f t="shared" si="213"/>
        <v>2013</v>
      </c>
      <c r="G1958">
        <f t="shared" si="214"/>
        <v>9</v>
      </c>
      <c r="H1958">
        <f t="shared" si="215"/>
        <v>28</v>
      </c>
      <c r="I1958" t="str">
        <f t="shared" si="216"/>
        <v>13</v>
      </c>
    </row>
    <row r="1959" spans="1:9" x14ac:dyDescent="0.25">
      <c r="A1959" s="19">
        <v>42098</v>
      </c>
      <c r="B1959" s="20">
        <v>5.486111111111111E-2</v>
      </c>
      <c r="C1959" t="str">
        <f t="shared" si="210"/>
        <v>15</v>
      </c>
      <c r="D1959" t="str">
        <f t="shared" si="211"/>
        <v>04</v>
      </c>
      <c r="E1959" t="str">
        <f t="shared" si="212"/>
        <v>04</v>
      </c>
      <c r="F1959">
        <f t="shared" si="213"/>
        <v>2015</v>
      </c>
      <c r="G1959">
        <f t="shared" si="214"/>
        <v>4</v>
      </c>
      <c r="H1959">
        <f t="shared" si="215"/>
        <v>4</v>
      </c>
      <c r="I1959" t="str">
        <f t="shared" si="216"/>
        <v>15</v>
      </c>
    </row>
    <row r="1960" spans="1:9" x14ac:dyDescent="0.25">
      <c r="A1960" s="19">
        <v>41683</v>
      </c>
      <c r="B1960" s="20">
        <v>0.98958333333333337</v>
      </c>
      <c r="C1960" t="str">
        <f t="shared" si="210"/>
        <v>14</v>
      </c>
      <c r="D1960" t="str">
        <f t="shared" si="211"/>
        <v>02</v>
      </c>
      <c r="E1960" t="str">
        <f t="shared" si="212"/>
        <v>13</v>
      </c>
      <c r="F1960">
        <f t="shared" si="213"/>
        <v>2014</v>
      </c>
      <c r="G1960">
        <f t="shared" si="214"/>
        <v>2</v>
      </c>
      <c r="H1960">
        <f t="shared" si="215"/>
        <v>13</v>
      </c>
      <c r="I1960" t="str">
        <f t="shared" si="216"/>
        <v>14</v>
      </c>
    </row>
    <row r="1961" spans="1:9" x14ac:dyDescent="0.25">
      <c r="A1961" s="19">
        <v>41590</v>
      </c>
      <c r="B1961" s="20">
        <v>4.583333333333333E-2</v>
      </c>
      <c r="C1961" t="str">
        <f t="shared" si="210"/>
        <v>13</v>
      </c>
      <c r="D1961" t="str">
        <f t="shared" si="211"/>
        <v>11</v>
      </c>
      <c r="E1961" t="str">
        <f t="shared" si="212"/>
        <v>12</v>
      </c>
      <c r="F1961">
        <f t="shared" si="213"/>
        <v>2013</v>
      </c>
      <c r="G1961">
        <f t="shared" si="214"/>
        <v>11</v>
      </c>
      <c r="H1961">
        <f t="shared" si="215"/>
        <v>12</v>
      </c>
      <c r="I1961" t="str">
        <f t="shared" si="216"/>
        <v>13</v>
      </c>
    </row>
    <row r="1962" spans="1:9" x14ac:dyDescent="0.25">
      <c r="A1962" s="19">
        <v>42062</v>
      </c>
      <c r="B1962" s="20">
        <v>2.7777777777777779E-3</v>
      </c>
      <c r="C1962" t="str">
        <f t="shared" si="210"/>
        <v>15</v>
      </c>
      <c r="D1962" t="str">
        <f t="shared" si="211"/>
        <v>02</v>
      </c>
      <c r="E1962" t="str">
        <f t="shared" si="212"/>
        <v>27</v>
      </c>
      <c r="F1962">
        <f t="shared" si="213"/>
        <v>2015</v>
      </c>
      <c r="G1962">
        <f t="shared" si="214"/>
        <v>2</v>
      </c>
      <c r="H1962">
        <f t="shared" si="215"/>
        <v>27</v>
      </c>
      <c r="I1962" t="str">
        <f t="shared" si="216"/>
        <v>15</v>
      </c>
    </row>
    <row r="1963" spans="1:9" x14ac:dyDescent="0.25">
      <c r="A1963" s="19">
        <v>41478</v>
      </c>
      <c r="B1963" s="20">
        <v>1.8055555555555554E-2</v>
      </c>
      <c r="C1963" t="str">
        <f t="shared" si="210"/>
        <v>13</v>
      </c>
      <c r="D1963" t="str">
        <f t="shared" si="211"/>
        <v>07</v>
      </c>
      <c r="E1963" t="str">
        <f t="shared" si="212"/>
        <v>23</v>
      </c>
      <c r="F1963">
        <f t="shared" si="213"/>
        <v>2013</v>
      </c>
      <c r="G1963">
        <f t="shared" si="214"/>
        <v>7</v>
      </c>
      <c r="H1963">
        <f t="shared" si="215"/>
        <v>23</v>
      </c>
      <c r="I1963" t="str">
        <f t="shared" si="216"/>
        <v>13</v>
      </c>
    </row>
    <row r="1964" spans="1:9" x14ac:dyDescent="0.25">
      <c r="A1964" s="19">
        <v>41728</v>
      </c>
      <c r="B1964" s="20">
        <v>6.1111111111111109E-2</v>
      </c>
      <c r="C1964" t="str">
        <f t="shared" si="210"/>
        <v>14</v>
      </c>
      <c r="D1964" t="str">
        <f t="shared" si="211"/>
        <v>03</v>
      </c>
      <c r="E1964" t="str">
        <f t="shared" si="212"/>
        <v>30</v>
      </c>
      <c r="F1964">
        <f t="shared" si="213"/>
        <v>2014</v>
      </c>
      <c r="G1964">
        <f t="shared" si="214"/>
        <v>3</v>
      </c>
      <c r="H1964">
        <f t="shared" si="215"/>
        <v>30</v>
      </c>
      <c r="I1964" t="str">
        <f t="shared" si="216"/>
        <v>14</v>
      </c>
    </row>
    <row r="1965" spans="1:9" x14ac:dyDescent="0.25">
      <c r="A1965" s="19">
        <v>42356</v>
      </c>
      <c r="B1965" s="20">
        <v>0.94236111111111109</v>
      </c>
      <c r="C1965" t="str">
        <f t="shared" si="210"/>
        <v>15</v>
      </c>
      <c r="D1965" t="str">
        <f t="shared" si="211"/>
        <v>12</v>
      </c>
      <c r="E1965" t="str">
        <f t="shared" si="212"/>
        <v>18</v>
      </c>
      <c r="F1965">
        <f t="shared" si="213"/>
        <v>2015</v>
      </c>
      <c r="G1965">
        <f t="shared" si="214"/>
        <v>12</v>
      </c>
      <c r="H1965">
        <f t="shared" si="215"/>
        <v>18</v>
      </c>
      <c r="I1965" t="str">
        <f t="shared" si="216"/>
        <v>15</v>
      </c>
    </row>
    <row r="1966" spans="1:9" x14ac:dyDescent="0.25">
      <c r="A1966" s="19">
        <v>42101</v>
      </c>
      <c r="B1966" s="20">
        <v>0.98124999999999996</v>
      </c>
      <c r="C1966" t="str">
        <f t="shared" si="210"/>
        <v>15</v>
      </c>
      <c r="D1966" t="str">
        <f t="shared" si="211"/>
        <v>04</v>
      </c>
      <c r="E1966" t="str">
        <f t="shared" si="212"/>
        <v>07</v>
      </c>
      <c r="F1966">
        <f t="shared" si="213"/>
        <v>2015</v>
      </c>
      <c r="G1966">
        <f t="shared" si="214"/>
        <v>4</v>
      </c>
      <c r="H1966">
        <f t="shared" si="215"/>
        <v>7</v>
      </c>
      <c r="I1966" t="str">
        <f t="shared" si="216"/>
        <v>15</v>
      </c>
    </row>
    <row r="1967" spans="1:9" x14ac:dyDescent="0.25">
      <c r="A1967" s="19">
        <v>41255</v>
      </c>
      <c r="B1967" s="20">
        <v>6.0416666666666667E-2</v>
      </c>
      <c r="C1967" t="str">
        <f t="shared" si="210"/>
        <v>12</v>
      </c>
      <c r="D1967" t="str">
        <f t="shared" si="211"/>
        <v>12</v>
      </c>
      <c r="E1967" t="str">
        <f t="shared" si="212"/>
        <v>12</v>
      </c>
      <c r="F1967">
        <f t="shared" si="213"/>
        <v>2012</v>
      </c>
      <c r="G1967">
        <f t="shared" si="214"/>
        <v>12</v>
      </c>
      <c r="H1967">
        <f t="shared" si="215"/>
        <v>12</v>
      </c>
      <c r="I1967" t="str">
        <f t="shared" si="216"/>
        <v>12</v>
      </c>
    </row>
    <row r="1968" spans="1:9" x14ac:dyDescent="0.25">
      <c r="A1968" s="19">
        <v>42713</v>
      </c>
      <c r="B1968" s="20">
        <v>1.6666666666666666E-2</v>
      </c>
      <c r="C1968" t="str">
        <f t="shared" si="210"/>
        <v>16</v>
      </c>
      <c r="D1968" t="str">
        <f t="shared" si="211"/>
        <v>12</v>
      </c>
      <c r="E1968" t="str">
        <f t="shared" si="212"/>
        <v>09</v>
      </c>
      <c r="F1968">
        <f t="shared" si="213"/>
        <v>2016</v>
      </c>
      <c r="G1968">
        <f t="shared" si="214"/>
        <v>12</v>
      </c>
      <c r="H1968">
        <f t="shared" si="215"/>
        <v>9</v>
      </c>
      <c r="I1968" t="str">
        <f t="shared" si="216"/>
        <v>16</v>
      </c>
    </row>
    <row r="1969" spans="1:9" x14ac:dyDescent="0.25">
      <c r="A1969" s="19">
        <v>40973</v>
      </c>
      <c r="B1969" s="20">
        <v>0.98124999999999996</v>
      </c>
      <c r="C1969" t="str">
        <f t="shared" si="210"/>
        <v>12</v>
      </c>
      <c r="D1969" t="str">
        <f t="shared" si="211"/>
        <v>03</v>
      </c>
      <c r="E1969" t="str">
        <f t="shared" si="212"/>
        <v>05</v>
      </c>
      <c r="F1969">
        <f t="shared" si="213"/>
        <v>2012</v>
      </c>
      <c r="G1969">
        <f t="shared" si="214"/>
        <v>3</v>
      </c>
      <c r="H1969">
        <f t="shared" si="215"/>
        <v>5</v>
      </c>
      <c r="I1969" t="str">
        <f t="shared" si="216"/>
        <v>12</v>
      </c>
    </row>
    <row r="1970" spans="1:9" x14ac:dyDescent="0.25">
      <c r="A1970" s="19">
        <v>41580</v>
      </c>
      <c r="B1970" s="20">
        <v>7.9861111111111105E-2</v>
      </c>
      <c r="C1970" t="str">
        <f t="shared" si="210"/>
        <v>13</v>
      </c>
      <c r="D1970" t="str">
        <f t="shared" si="211"/>
        <v>11</v>
      </c>
      <c r="E1970" t="str">
        <f t="shared" si="212"/>
        <v>02</v>
      </c>
      <c r="F1970">
        <f t="shared" si="213"/>
        <v>2013</v>
      </c>
      <c r="G1970">
        <f t="shared" si="214"/>
        <v>11</v>
      </c>
      <c r="H1970">
        <f t="shared" si="215"/>
        <v>2</v>
      </c>
      <c r="I1970" t="str">
        <f t="shared" si="216"/>
        <v>13</v>
      </c>
    </row>
    <row r="1971" spans="1:9" x14ac:dyDescent="0.25">
      <c r="A1971" s="19">
        <v>41672</v>
      </c>
      <c r="B1971" s="20">
        <v>0.98958333333333337</v>
      </c>
      <c r="C1971" t="str">
        <f t="shared" si="210"/>
        <v>14</v>
      </c>
      <c r="D1971" t="str">
        <f t="shared" si="211"/>
        <v>02</v>
      </c>
      <c r="E1971" t="str">
        <f t="shared" si="212"/>
        <v>02</v>
      </c>
      <c r="F1971">
        <f t="shared" si="213"/>
        <v>2014</v>
      </c>
      <c r="G1971">
        <f t="shared" si="214"/>
        <v>2</v>
      </c>
      <c r="H1971">
        <f t="shared" si="215"/>
        <v>2</v>
      </c>
      <c r="I1971" t="str">
        <f t="shared" si="216"/>
        <v>14</v>
      </c>
    </row>
    <row r="1972" spans="1:9" x14ac:dyDescent="0.25">
      <c r="A1972" s="19">
        <v>41467</v>
      </c>
      <c r="B1972" s="20">
        <v>0.98333333333333328</v>
      </c>
      <c r="C1972" t="str">
        <f t="shared" si="210"/>
        <v>13</v>
      </c>
      <c r="D1972" t="str">
        <f t="shared" si="211"/>
        <v>07</v>
      </c>
      <c r="E1972" t="str">
        <f t="shared" si="212"/>
        <v>12</v>
      </c>
      <c r="F1972">
        <f t="shared" si="213"/>
        <v>2013</v>
      </c>
      <c r="G1972">
        <f t="shared" si="214"/>
        <v>7</v>
      </c>
      <c r="H1972">
        <f t="shared" si="215"/>
        <v>12</v>
      </c>
      <c r="I1972" t="str">
        <f t="shared" si="216"/>
        <v>13</v>
      </c>
    </row>
    <row r="1973" spans="1:9" x14ac:dyDescent="0.25">
      <c r="A1973" s="19">
        <v>41847</v>
      </c>
      <c r="B1973" s="20">
        <v>6.2500000000000003E-3</v>
      </c>
      <c r="C1973" t="str">
        <f t="shared" si="210"/>
        <v>14</v>
      </c>
      <c r="D1973" t="str">
        <f t="shared" si="211"/>
        <v>07</v>
      </c>
      <c r="E1973" t="str">
        <f t="shared" si="212"/>
        <v>27</v>
      </c>
      <c r="F1973">
        <f t="shared" si="213"/>
        <v>2014</v>
      </c>
      <c r="G1973">
        <f t="shared" si="214"/>
        <v>7</v>
      </c>
      <c r="H1973">
        <f t="shared" si="215"/>
        <v>27</v>
      </c>
      <c r="I1973" t="str">
        <f t="shared" si="216"/>
        <v>14</v>
      </c>
    </row>
    <row r="1974" spans="1:9" x14ac:dyDescent="0.25">
      <c r="A1974" s="19">
        <v>41695</v>
      </c>
      <c r="B1974" s="20">
        <v>0.99027777777777781</v>
      </c>
      <c r="C1974" t="str">
        <f t="shared" si="210"/>
        <v>14</v>
      </c>
      <c r="D1974" t="str">
        <f t="shared" si="211"/>
        <v>02</v>
      </c>
      <c r="E1974" t="str">
        <f t="shared" si="212"/>
        <v>25</v>
      </c>
      <c r="F1974">
        <f t="shared" si="213"/>
        <v>2014</v>
      </c>
      <c r="G1974">
        <f t="shared" si="214"/>
        <v>2</v>
      </c>
      <c r="H1974">
        <f t="shared" si="215"/>
        <v>25</v>
      </c>
      <c r="I1974" t="str">
        <f t="shared" si="216"/>
        <v>14</v>
      </c>
    </row>
    <row r="1975" spans="1:9" x14ac:dyDescent="0.25">
      <c r="A1975" s="19">
        <v>42481</v>
      </c>
      <c r="B1975" s="20">
        <v>6.7361111111111108E-2</v>
      </c>
      <c r="C1975" t="str">
        <f t="shared" si="210"/>
        <v>16</v>
      </c>
      <c r="D1975" t="str">
        <f t="shared" si="211"/>
        <v>04</v>
      </c>
      <c r="E1975" t="str">
        <f t="shared" si="212"/>
        <v>21</v>
      </c>
      <c r="F1975">
        <f t="shared" si="213"/>
        <v>2016</v>
      </c>
      <c r="G1975">
        <f t="shared" si="214"/>
        <v>4</v>
      </c>
      <c r="H1975">
        <f t="shared" si="215"/>
        <v>21</v>
      </c>
      <c r="I1975" t="str">
        <f t="shared" si="216"/>
        <v>16</v>
      </c>
    </row>
    <row r="1976" spans="1:9" x14ac:dyDescent="0.25">
      <c r="A1976" s="19">
        <v>41458</v>
      </c>
      <c r="B1976" s="20">
        <v>2.7777777777777776E-2</v>
      </c>
      <c r="C1976" t="str">
        <f t="shared" si="210"/>
        <v>13</v>
      </c>
      <c r="D1976" t="str">
        <f t="shared" si="211"/>
        <v>07</v>
      </c>
      <c r="E1976" t="str">
        <f t="shared" si="212"/>
        <v>03</v>
      </c>
      <c r="F1976">
        <f t="shared" si="213"/>
        <v>2013</v>
      </c>
      <c r="G1976">
        <f t="shared" si="214"/>
        <v>7</v>
      </c>
      <c r="H1976">
        <f t="shared" si="215"/>
        <v>3</v>
      </c>
      <c r="I1976" t="str">
        <f t="shared" si="216"/>
        <v>13</v>
      </c>
    </row>
    <row r="1977" spans="1:9" x14ac:dyDescent="0.25">
      <c r="A1977" s="19">
        <v>41721</v>
      </c>
      <c r="B1977" s="20">
        <v>3.7499999999999999E-2</v>
      </c>
      <c r="C1977" t="str">
        <f t="shared" si="210"/>
        <v>14</v>
      </c>
      <c r="D1977" t="str">
        <f t="shared" si="211"/>
        <v>03</v>
      </c>
      <c r="E1977" t="str">
        <f t="shared" si="212"/>
        <v>23</v>
      </c>
      <c r="F1977">
        <f t="shared" si="213"/>
        <v>2014</v>
      </c>
      <c r="G1977">
        <f t="shared" si="214"/>
        <v>3</v>
      </c>
      <c r="H1977">
        <f t="shared" si="215"/>
        <v>23</v>
      </c>
      <c r="I1977" t="str">
        <f t="shared" si="216"/>
        <v>14</v>
      </c>
    </row>
    <row r="1978" spans="1:9" x14ac:dyDescent="0.25">
      <c r="A1978" s="19">
        <v>41680</v>
      </c>
      <c r="B1978" s="20">
        <v>0.98124999999999996</v>
      </c>
      <c r="C1978" t="str">
        <f t="shared" si="210"/>
        <v>14</v>
      </c>
      <c r="D1978" t="str">
        <f t="shared" si="211"/>
        <v>02</v>
      </c>
      <c r="E1978" t="str">
        <f t="shared" si="212"/>
        <v>10</v>
      </c>
      <c r="F1978">
        <f t="shared" si="213"/>
        <v>2014</v>
      </c>
      <c r="G1978">
        <f t="shared" si="214"/>
        <v>2</v>
      </c>
      <c r="H1978">
        <f t="shared" si="215"/>
        <v>10</v>
      </c>
      <c r="I1978" t="str">
        <f t="shared" si="216"/>
        <v>14</v>
      </c>
    </row>
    <row r="1979" spans="1:9" x14ac:dyDescent="0.25">
      <c r="A1979" s="19">
        <v>41642</v>
      </c>
      <c r="B1979" s="20">
        <v>0.98124999999999996</v>
      </c>
      <c r="C1979" t="str">
        <f t="shared" si="210"/>
        <v>14</v>
      </c>
      <c r="D1979" t="str">
        <f t="shared" si="211"/>
        <v>01</v>
      </c>
      <c r="E1979" t="str">
        <f t="shared" si="212"/>
        <v>03</v>
      </c>
      <c r="F1979">
        <f t="shared" si="213"/>
        <v>2014</v>
      </c>
      <c r="G1979">
        <f t="shared" si="214"/>
        <v>1</v>
      </c>
      <c r="H1979">
        <f t="shared" si="215"/>
        <v>3</v>
      </c>
      <c r="I1979" t="str">
        <f t="shared" si="216"/>
        <v>14</v>
      </c>
    </row>
    <row r="1980" spans="1:9" x14ac:dyDescent="0.25">
      <c r="A1980" s="19">
        <v>41281</v>
      </c>
      <c r="B1980" s="20">
        <v>3.3333333333333333E-2</v>
      </c>
      <c r="C1980" t="str">
        <f t="shared" si="210"/>
        <v>13</v>
      </c>
      <c r="D1980" t="str">
        <f t="shared" si="211"/>
        <v>01</v>
      </c>
      <c r="E1980" t="str">
        <f t="shared" si="212"/>
        <v>07</v>
      </c>
      <c r="F1980">
        <f t="shared" si="213"/>
        <v>2013</v>
      </c>
      <c r="G1980">
        <f t="shared" si="214"/>
        <v>1</v>
      </c>
      <c r="H1980">
        <f t="shared" si="215"/>
        <v>7</v>
      </c>
      <c r="I1980" t="str">
        <f t="shared" si="216"/>
        <v>13</v>
      </c>
    </row>
    <row r="1981" spans="1:9" x14ac:dyDescent="0.25">
      <c r="A1981" s="19">
        <v>41617</v>
      </c>
      <c r="B1981" s="20">
        <v>2.6388888888888889E-2</v>
      </c>
      <c r="C1981" t="str">
        <f t="shared" si="210"/>
        <v>13</v>
      </c>
      <c r="D1981" t="str">
        <f t="shared" si="211"/>
        <v>12</v>
      </c>
      <c r="E1981" t="str">
        <f t="shared" si="212"/>
        <v>09</v>
      </c>
      <c r="F1981">
        <f t="shared" si="213"/>
        <v>2013</v>
      </c>
      <c r="G1981">
        <f t="shared" si="214"/>
        <v>12</v>
      </c>
      <c r="H1981">
        <f t="shared" si="215"/>
        <v>9</v>
      </c>
      <c r="I1981" t="str">
        <f t="shared" si="216"/>
        <v>13</v>
      </c>
    </row>
    <row r="1982" spans="1:9" x14ac:dyDescent="0.25">
      <c r="A1982" s="19">
        <v>41543</v>
      </c>
      <c r="B1982" s="20">
        <v>2.9166666666666667E-2</v>
      </c>
      <c r="C1982" t="str">
        <f t="shared" si="210"/>
        <v>13</v>
      </c>
      <c r="D1982" t="str">
        <f t="shared" si="211"/>
        <v>09</v>
      </c>
      <c r="E1982" t="str">
        <f t="shared" si="212"/>
        <v>26</v>
      </c>
      <c r="F1982">
        <f t="shared" si="213"/>
        <v>2013</v>
      </c>
      <c r="G1982">
        <f t="shared" si="214"/>
        <v>9</v>
      </c>
      <c r="H1982">
        <f t="shared" si="215"/>
        <v>26</v>
      </c>
      <c r="I1982" t="str">
        <f t="shared" si="216"/>
        <v>13</v>
      </c>
    </row>
    <row r="1983" spans="1:9" x14ac:dyDescent="0.25">
      <c r="A1983" s="19">
        <v>41111</v>
      </c>
      <c r="B1983" s="20">
        <v>2.5694444444444443E-2</v>
      </c>
      <c r="C1983" t="str">
        <f t="shared" si="210"/>
        <v>12</v>
      </c>
      <c r="D1983" t="str">
        <f t="shared" si="211"/>
        <v>07</v>
      </c>
      <c r="E1983" t="str">
        <f t="shared" si="212"/>
        <v>21</v>
      </c>
      <c r="F1983">
        <f t="shared" si="213"/>
        <v>2012</v>
      </c>
      <c r="G1983">
        <f t="shared" si="214"/>
        <v>7</v>
      </c>
      <c r="H1983">
        <f t="shared" si="215"/>
        <v>21</v>
      </c>
      <c r="I1983" t="str">
        <f t="shared" si="216"/>
        <v>12</v>
      </c>
    </row>
    <row r="1984" spans="1:9" x14ac:dyDescent="0.25">
      <c r="A1984" s="19">
        <v>41672</v>
      </c>
      <c r="B1984" s="20">
        <v>3.7499999999999999E-2</v>
      </c>
      <c r="C1984" t="str">
        <f t="shared" si="210"/>
        <v>14</v>
      </c>
      <c r="D1984" t="str">
        <f t="shared" si="211"/>
        <v>02</v>
      </c>
      <c r="E1984" t="str">
        <f t="shared" si="212"/>
        <v>02</v>
      </c>
      <c r="F1984">
        <f t="shared" si="213"/>
        <v>2014</v>
      </c>
      <c r="G1984">
        <f t="shared" si="214"/>
        <v>2</v>
      </c>
      <c r="H1984">
        <f t="shared" si="215"/>
        <v>2</v>
      </c>
      <c r="I1984" t="str">
        <f t="shared" si="216"/>
        <v>14</v>
      </c>
    </row>
    <row r="1985" spans="1:9" x14ac:dyDescent="0.25">
      <c r="A1985" s="19">
        <v>42722</v>
      </c>
      <c r="B1985" s="20">
        <v>0.97638888888888886</v>
      </c>
      <c r="C1985" t="str">
        <f t="shared" si="210"/>
        <v>16</v>
      </c>
      <c r="D1985" t="str">
        <f t="shared" si="211"/>
        <v>12</v>
      </c>
      <c r="E1985" t="str">
        <f t="shared" si="212"/>
        <v>18</v>
      </c>
      <c r="F1985">
        <f t="shared" si="213"/>
        <v>2016</v>
      </c>
      <c r="G1985">
        <f t="shared" si="214"/>
        <v>12</v>
      </c>
      <c r="H1985">
        <f t="shared" si="215"/>
        <v>18</v>
      </c>
      <c r="I1985" t="str">
        <f t="shared" si="216"/>
        <v>16</v>
      </c>
    </row>
    <row r="1986" spans="1:9" x14ac:dyDescent="0.25">
      <c r="A1986" s="19">
        <v>41624</v>
      </c>
      <c r="B1986" s="20">
        <v>1.8055555555555554E-2</v>
      </c>
      <c r="C1986" t="str">
        <f t="shared" si="210"/>
        <v>13</v>
      </c>
      <c r="D1986" t="str">
        <f t="shared" si="211"/>
        <v>12</v>
      </c>
      <c r="E1986" t="str">
        <f t="shared" si="212"/>
        <v>16</v>
      </c>
      <c r="F1986">
        <f t="shared" si="213"/>
        <v>2013</v>
      </c>
      <c r="G1986">
        <f t="shared" si="214"/>
        <v>12</v>
      </c>
      <c r="H1986">
        <f t="shared" si="215"/>
        <v>16</v>
      </c>
      <c r="I1986" t="str">
        <f t="shared" si="216"/>
        <v>13</v>
      </c>
    </row>
    <row r="1987" spans="1:9" x14ac:dyDescent="0.25">
      <c r="A1987" s="19">
        <v>42472</v>
      </c>
      <c r="B1987" s="20">
        <v>0.98541666666666672</v>
      </c>
      <c r="C1987" t="str">
        <f t="shared" ref="C1987:C2050" si="217">TEXT(A1987,"YY")</f>
        <v>16</v>
      </c>
      <c r="D1987" t="str">
        <f t="shared" ref="D1987:D2050" si="218">TEXT(A1987,"mm")</f>
        <v>04</v>
      </c>
      <c r="E1987" t="str">
        <f t="shared" ref="E1987:E2050" si="219">TEXT(A1987,"dd")</f>
        <v>12</v>
      </c>
      <c r="F1987">
        <f t="shared" ref="F1987:F2050" si="220">YEAR($A1987)</f>
        <v>2016</v>
      </c>
      <c r="G1987">
        <f t="shared" ref="G1987:G2050" si="221">MONTH($A1987)</f>
        <v>4</v>
      </c>
      <c r="H1987">
        <f t="shared" ref="H1987:H2050" si="222">DAY($A1987)</f>
        <v>12</v>
      </c>
      <c r="I1987" t="str">
        <f t="shared" ref="I1987:I2050" si="223">TEXT($A1987,"YY")</f>
        <v>16</v>
      </c>
    </row>
    <row r="1988" spans="1:9" x14ac:dyDescent="0.25">
      <c r="A1988" s="19">
        <v>41510</v>
      </c>
      <c r="B1988" s="20">
        <v>1.2500000000000001E-2</v>
      </c>
      <c r="C1988" t="str">
        <f t="shared" si="217"/>
        <v>13</v>
      </c>
      <c r="D1988" t="str">
        <f t="shared" si="218"/>
        <v>08</v>
      </c>
      <c r="E1988" t="str">
        <f t="shared" si="219"/>
        <v>24</v>
      </c>
      <c r="F1988">
        <f t="shared" si="220"/>
        <v>2013</v>
      </c>
      <c r="G1988">
        <f t="shared" si="221"/>
        <v>8</v>
      </c>
      <c r="H1988">
        <f t="shared" si="222"/>
        <v>24</v>
      </c>
      <c r="I1988" t="str">
        <f t="shared" si="223"/>
        <v>13</v>
      </c>
    </row>
    <row r="1989" spans="1:9" x14ac:dyDescent="0.25">
      <c r="A1989" s="19">
        <v>41381</v>
      </c>
      <c r="B1989" s="20">
        <v>0.9868055555555556</v>
      </c>
      <c r="C1989" t="str">
        <f t="shared" si="217"/>
        <v>13</v>
      </c>
      <c r="D1989" t="str">
        <f t="shared" si="218"/>
        <v>04</v>
      </c>
      <c r="E1989" t="str">
        <f t="shared" si="219"/>
        <v>17</v>
      </c>
      <c r="F1989">
        <f t="shared" si="220"/>
        <v>2013</v>
      </c>
      <c r="G1989">
        <f t="shared" si="221"/>
        <v>4</v>
      </c>
      <c r="H1989">
        <f t="shared" si="222"/>
        <v>17</v>
      </c>
      <c r="I1989" t="str">
        <f t="shared" si="223"/>
        <v>13</v>
      </c>
    </row>
    <row r="1990" spans="1:9" x14ac:dyDescent="0.25">
      <c r="A1990" s="19">
        <v>41676</v>
      </c>
      <c r="B1990" s="20">
        <v>0.96527777777777779</v>
      </c>
      <c r="C1990" t="str">
        <f t="shared" si="217"/>
        <v>14</v>
      </c>
      <c r="D1990" t="str">
        <f t="shared" si="218"/>
        <v>02</v>
      </c>
      <c r="E1990" t="str">
        <f t="shared" si="219"/>
        <v>06</v>
      </c>
      <c r="F1990">
        <f t="shared" si="220"/>
        <v>2014</v>
      </c>
      <c r="G1990">
        <f t="shared" si="221"/>
        <v>2</v>
      </c>
      <c r="H1990">
        <f t="shared" si="222"/>
        <v>6</v>
      </c>
      <c r="I1990" t="str">
        <f t="shared" si="223"/>
        <v>14</v>
      </c>
    </row>
    <row r="1991" spans="1:9" x14ac:dyDescent="0.25">
      <c r="A1991" s="19">
        <v>42777</v>
      </c>
      <c r="B1991" s="20">
        <v>1.0416666666666666E-2</v>
      </c>
      <c r="C1991" t="str">
        <f t="shared" si="217"/>
        <v>17</v>
      </c>
      <c r="D1991" t="str">
        <f t="shared" si="218"/>
        <v>02</v>
      </c>
      <c r="E1991" t="str">
        <f t="shared" si="219"/>
        <v>11</v>
      </c>
      <c r="F1991">
        <f t="shared" si="220"/>
        <v>2017</v>
      </c>
      <c r="G1991">
        <f t="shared" si="221"/>
        <v>2</v>
      </c>
      <c r="H1991">
        <f t="shared" si="222"/>
        <v>11</v>
      </c>
      <c r="I1991" t="str">
        <f t="shared" si="223"/>
        <v>17</v>
      </c>
    </row>
    <row r="1992" spans="1:9" x14ac:dyDescent="0.25">
      <c r="A1992" s="19">
        <v>42059</v>
      </c>
      <c r="B1992" s="20">
        <v>1.0416666666666666E-2</v>
      </c>
      <c r="C1992" t="str">
        <f t="shared" si="217"/>
        <v>15</v>
      </c>
      <c r="D1992" t="str">
        <f t="shared" si="218"/>
        <v>02</v>
      </c>
      <c r="E1992" t="str">
        <f t="shared" si="219"/>
        <v>24</v>
      </c>
      <c r="F1992">
        <f t="shared" si="220"/>
        <v>2015</v>
      </c>
      <c r="G1992">
        <f t="shared" si="221"/>
        <v>2</v>
      </c>
      <c r="H1992">
        <f t="shared" si="222"/>
        <v>24</v>
      </c>
      <c r="I1992" t="str">
        <f t="shared" si="223"/>
        <v>15</v>
      </c>
    </row>
    <row r="1993" spans="1:9" x14ac:dyDescent="0.25">
      <c r="A1993" s="19">
        <v>42636</v>
      </c>
      <c r="B1993" s="20">
        <v>5.5555555555555552E-2</v>
      </c>
      <c r="C1993" t="str">
        <f t="shared" si="217"/>
        <v>16</v>
      </c>
      <c r="D1993" t="str">
        <f t="shared" si="218"/>
        <v>09</v>
      </c>
      <c r="E1993" t="str">
        <f t="shared" si="219"/>
        <v>23</v>
      </c>
      <c r="F1993">
        <f t="shared" si="220"/>
        <v>2016</v>
      </c>
      <c r="G1993">
        <f t="shared" si="221"/>
        <v>9</v>
      </c>
      <c r="H1993">
        <f t="shared" si="222"/>
        <v>23</v>
      </c>
      <c r="I1993" t="str">
        <f t="shared" si="223"/>
        <v>16</v>
      </c>
    </row>
    <row r="1994" spans="1:9" x14ac:dyDescent="0.25">
      <c r="A1994" s="19">
        <v>41976</v>
      </c>
      <c r="B1994" s="20">
        <v>5.347222222222222E-2</v>
      </c>
      <c r="C1994" t="str">
        <f t="shared" si="217"/>
        <v>14</v>
      </c>
      <c r="D1994" t="str">
        <f t="shared" si="218"/>
        <v>12</v>
      </c>
      <c r="E1994" t="str">
        <f t="shared" si="219"/>
        <v>03</v>
      </c>
      <c r="F1994">
        <f t="shared" si="220"/>
        <v>2014</v>
      </c>
      <c r="G1994">
        <f t="shared" si="221"/>
        <v>12</v>
      </c>
      <c r="H1994">
        <f t="shared" si="222"/>
        <v>3</v>
      </c>
      <c r="I1994" t="str">
        <f t="shared" si="223"/>
        <v>14</v>
      </c>
    </row>
    <row r="1995" spans="1:9" x14ac:dyDescent="0.25">
      <c r="A1995" s="19">
        <v>42312</v>
      </c>
      <c r="B1995" s="20">
        <v>0.95972222222222225</v>
      </c>
      <c r="C1995" t="str">
        <f t="shared" si="217"/>
        <v>15</v>
      </c>
      <c r="D1995" t="str">
        <f t="shared" si="218"/>
        <v>11</v>
      </c>
      <c r="E1995" t="str">
        <f t="shared" si="219"/>
        <v>04</v>
      </c>
      <c r="F1995">
        <f t="shared" si="220"/>
        <v>2015</v>
      </c>
      <c r="G1995">
        <f t="shared" si="221"/>
        <v>11</v>
      </c>
      <c r="H1995">
        <f t="shared" si="222"/>
        <v>4</v>
      </c>
      <c r="I1995" t="str">
        <f t="shared" si="223"/>
        <v>15</v>
      </c>
    </row>
    <row r="1996" spans="1:9" x14ac:dyDescent="0.25">
      <c r="A1996" s="19">
        <v>41750</v>
      </c>
      <c r="B1996" s="20">
        <v>6.9444444444444447E-4</v>
      </c>
      <c r="C1996" t="str">
        <f t="shared" si="217"/>
        <v>14</v>
      </c>
      <c r="D1996" t="str">
        <f t="shared" si="218"/>
        <v>04</v>
      </c>
      <c r="E1996" t="str">
        <f t="shared" si="219"/>
        <v>21</v>
      </c>
      <c r="F1996">
        <f t="shared" si="220"/>
        <v>2014</v>
      </c>
      <c r="G1996">
        <f t="shared" si="221"/>
        <v>4</v>
      </c>
      <c r="H1996">
        <f t="shared" si="222"/>
        <v>21</v>
      </c>
      <c r="I1996" t="str">
        <f t="shared" si="223"/>
        <v>14</v>
      </c>
    </row>
    <row r="1997" spans="1:9" x14ac:dyDescent="0.25">
      <c r="A1997" s="19">
        <v>40999</v>
      </c>
      <c r="B1997" s="20">
        <v>3.4722222222222224E-2</v>
      </c>
      <c r="C1997" t="str">
        <f t="shared" si="217"/>
        <v>12</v>
      </c>
      <c r="D1997" t="str">
        <f t="shared" si="218"/>
        <v>03</v>
      </c>
      <c r="E1997" t="str">
        <f t="shared" si="219"/>
        <v>31</v>
      </c>
      <c r="F1997">
        <f t="shared" si="220"/>
        <v>2012</v>
      </c>
      <c r="G1997">
        <f t="shared" si="221"/>
        <v>3</v>
      </c>
      <c r="H1997">
        <f t="shared" si="222"/>
        <v>31</v>
      </c>
      <c r="I1997" t="str">
        <f t="shared" si="223"/>
        <v>12</v>
      </c>
    </row>
    <row r="1998" spans="1:9" x14ac:dyDescent="0.25">
      <c r="A1998" s="19">
        <v>41860</v>
      </c>
      <c r="B1998" s="20">
        <v>0.96805555555555556</v>
      </c>
      <c r="C1998" t="str">
        <f t="shared" si="217"/>
        <v>14</v>
      </c>
      <c r="D1998" t="str">
        <f t="shared" si="218"/>
        <v>08</v>
      </c>
      <c r="E1998" t="str">
        <f t="shared" si="219"/>
        <v>09</v>
      </c>
      <c r="F1998">
        <f t="shared" si="220"/>
        <v>2014</v>
      </c>
      <c r="G1998">
        <f t="shared" si="221"/>
        <v>8</v>
      </c>
      <c r="H1998">
        <f t="shared" si="222"/>
        <v>9</v>
      </c>
      <c r="I1998" t="str">
        <f t="shared" si="223"/>
        <v>14</v>
      </c>
    </row>
    <row r="1999" spans="1:9" x14ac:dyDescent="0.25">
      <c r="A1999" s="19">
        <v>41320</v>
      </c>
      <c r="B1999" s="20">
        <v>0.98402777777777772</v>
      </c>
      <c r="C1999" t="str">
        <f t="shared" si="217"/>
        <v>13</v>
      </c>
      <c r="D1999" t="str">
        <f t="shared" si="218"/>
        <v>02</v>
      </c>
      <c r="E1999" t="str">
        <f t="shared" si="219"/>
        <v>15</v>
      </c>
      <c r="F1999">
        <f t="shared" si="220"/>
        <v>2013</v>
      </c>
      <c r="G1999">
        <f t="shared" si="221"/>
        <v>2</v>
      </c>
      <c r="H1999">
        <f t="shared" si="222"/>
        <v>15</v>
      </c>
      <c r="I1999" t="str">
        <f t="shared" si="223"/>
        <v>13</v>
      </c>
    </row>
    <row r="2000" spans="1:9" x14ac:dyDescent="0.25">
      <c r="A2000" s="19">
        <v>41176</v>
      </c>
      <c r="B2000" s="20">
        <v>0.9819444444444444</v>
      </c>
      <c r="C2000" t="str">
        <f t="shared" si="217"/>
        <v>12</v>
      </c>
      <c r="D2000" t="str">
        <f t="shared" si="218"/>
        <v>09</v>
      </c>
      <c r="E2000" t="str">
        <f t="shared" si="219"/>
        <v>24</v>
      </c>
      <c r="F2000">
        <f t="shared" si="220"/>
        <v>2012</v>
      </c>
      <c r="G2000">
        <f t="shared" si="221"/>
        <v>9</v>
      </c>
      <c r="H2000">
        <f t="shared" si="222"/>
        <v>24</v>
      </c>
      <c r="I2000" t="str">
        <f t="shared" si="223"/>
        <v>12</v>
      </c>
    </row>
    <row r="2001" spans="1:9" x14ac:dyDescent="0.25">
      <c r="A2001" s="19">
        <v>41874</v>
      </c>
      <c r="B2001" s="20">
        <v>0.97569444444444442</v>
      </c>
      <c r="C2001" t="str">
        <f t="shared" si="217"/>
        <v>14</v>
      </c>
      <c r="D2001" t="str">
        <f t="shared" si="218"/>
        <v>08</v>
      </c>
      <c r="E2001" t="str">
        <f t="shared" si="219"/>
        <v>23</v>
      </c>
      <c r="F2001">
        <f t="shared" si="220"/>
        <v>2014</v>
      </c>
      <c r="G2001">
        <f t="shared" si="221"/>
        <v>8</v>
      </c>
      <c r="H2001">
        <f t="shared" si="222"/>
        <v>23</v>
      </c>
      <c r="I2001" t="str">
        <f t="shared" si="223"/>
        <v>14</v>
      </c>
    </row>
    <row r="2002" spans="1:9" x14ac:dyDescent="0.25">
      <c r="A2002" s="19">
        <v>41802</v>
      </c>
      <c r="B2002" s="20">
        <v>3.4722222222222224E-2</v>
      </c>
      <c r="C2002" t="str">
        <f t="shared" si="217"/>
        <v>14</v>
      </c>
      <c r="D2002" t="str">
        <f t="shared" si="218"/>
        <v>06</v>
      </c>
      <c r="E2002" t="str">
        <f t="shared" si="219"/>
        <v>12</v>
      </c>
      <c r="F2002">
        <f t="shared" si="220"/>
        <v>2014</v>
      </c>
      <c r="G2002">
        <f t="shared" si="221"/>
        <v>6</v>
      </c>
      <c r="H2002">
        <f t="shared" si="222"/>
        <v>12</v>
      </c>
      <c r="I2002" t="str">
        <f t="shared" si="223"/>
        <v>14</v>
      </c>
    </row>
    <row r="2003" spans="1:9" x14ac:dyDescent="0.25">
      <c r="A2003" s="19">
        <v>41987</v>
      </c>
      <c r="B2003" s="20">
        <v>0.98611111111111116</v>
      </c>
      <c r="C2003" t="str">
        <f t="shared" si="217"/>
        <v>14</v>
      </c>
      <c r="D2003" t="str">
        <f t="shared" si="218"/>
        <v>12</v>
      </c>
      <c r="E2003" t="str">
        <f t="shared" si="219"/>
        <v>14</v>
      </c>
      <c r="F2003">
        <f t="shared" si="220"/>
        <v>2014</v>
      </c>
      <c r="G2003">
        <f t="shared" si="221"/>
        <v>12</v>
      </c>
      <c r="H2003">
        <f t="shared" si="222"/>
        <v>14</v>
      </c>
      <c r="I2003" t="str">
        <f t="shared" si="223"/>
        <v>14</v>
      </c>
    </row>
    <row r="2004" spans="1:9" x14ac:dyDescent="0.25">
      <c r="A2004" s="19">
        <v>41321</v>
      </c>
      <c r="B2004" s="20">
        <v>1.4583333333333334E-2</v>
      </c>
      <c r="C2004" t="str">
        <f t="shared" si="217"/>
        <v>13</v>
      </c>
      <c r="D2004" t="str">
        <f t="shared" si="218"/>
        <v>02</v>
      </c>
      <c r="E2004" t="str">
        <f t="shared" si="219"/>
        <v>16</v>
      </c>
      <c r="F2004">
        <f t="shared" si="220"/>
        <v>2013</v>
      </c>
      <c r="G2004">
        <f t="shared" si="221"/>
        <v>2</v>
      </c>
      <c r="H2004">
        <f t="shared" si="222"/>
        <v>16</v>
      </c>
      <c r="I2004" t="str">
        <f t="shared" si="223"/>
        <v>13</v>
      </c>
    </row>
    <row r="2005" spans="1:9" x14ac:dyDescent="0.25">
      <c r="A2005" s="19">
        <v>42029</v>
      </c>
      <c r="B2005" s="20">
        <v>2.1527777777777778E-2</v>
      </c>
      <c r="C2005" t="str">
        <f t="shared" si="217"/>
        <v>15</v>
      </c>
      <c r="D2005" t="str">
        <f t="shared" si="218"/>
        <v>01</v>
      </c>
      <c r="E2005" t="str">
        <f t="shared" si="219"/>
        <v>25</v>
      </c>
      <c r="F2005">
        <f t="shared" si="220"/>
        <v>2015</v>
      </c>
      <c r="G2005">
        <f t="shared" si="221"/>
        <v>1</v>
      </c>
      <c r="H2005">
        <f t="shared" si="222"/>
        <v>25</v>
      </c>
      <c r="I2005" t="str">
        <f t="shared" si="223"/>
        <v>15</v>
      </c>
    </row>
    <row r="2006" spans="1:9" x14ac:dyDescent="0.25">
      <c r="A2006" s="19">
        <v>41740</v>
      </c>
      <c r="B2006" s="20">
        <v>0.96597222222222223</v>
      </c>
      <c r="C2006" t="str">
        <f t="shared" si="217"/>
        <v>14</v>
      </c>
      <c r="D2006" t="str">
        <f t="shared" si="218"/>
        <v>04</v>
      </c>
      <c r="E2006" t="str">
        <f t="shared" si="219"/>
        <v>11</v>
      </c>
      <c r="F2006">
        <f t="shared" si="220"/>
        <v>2014</v>
      </c>
      <c r="G2006">
        <f t="shared" si="221"/>
        <v>4</v>
      </c>
      <c r="H2006">
        <f t="shared" si="222"/>
        <v>11</v>
      </c>
      <c r="I2006" t="str">
        <f t="shared" si="223"/>
        <v>14</v>
      </c>
    </row>
    <row r="2007" spans="1:9" x14ac:dyDescent="0.25">
      <c r="A2007" s="19">
        <v>42552</v>
      </c>
      <c r="B2007" s="20">
        <v>0.95277777777777772</v>
      </c>
      <c r="C2007" t="str">
        <f t="shared" si="217"/>
        <v>16</v>
      </c>
      <c r="D2007" t="str">
        <f t="shared" si="218"/>
        <v>07</v>
      </c>
      <c r="E2007" t="str">
        <f t="shared" si="219"/>
        <v>01</v>
      </c>
      <c r="F2007">
        <f t="shared" si="220"/>
        <v>2016</v>
      </c>
      <c r="G2007">
        <f t="shared" si="221"/>
        <v>7</v>
      </c>
      <c r="H2007">
        <f t="shared" si="222"/>
        <v>1</v>
      </c>
      <c r="I2007" t="str">
        <f t="shared" si="223"/>
        <v>16</v>
      </c>
    </row>
    <row r="2008" spans="1:9" x14ac:dyDescent="0.25">
      <c r="A2008" s="19">
        <v>41808</v>
      </c>
      <c r="B2008" s="20">
        <v>1.5972222222222221E-2</v>
      </c>
      <c r="C2008" t="str">
        <f t="shared" si="217"/>
        <v>14</v>
      </c>
      <c r="D2008" t="str">
        <f t="shared" si="218"/>
        <v>06</v>
      </c>
      <c r="E2008" t="str">
        <f t="shared" si="219"/>
        <v>18</v>
      </c>
      <c r="F2008">
        <f t="shared" si="220"/>
        <v>2014</v>
      </c>
      <c r="G2008">
        <f t="shared" si="221"/>
        <v>6</v>
      </c>
      <c r="H2008">
        <f t="shared" si="222"/>
        <v>18</v>
      </c>
      <c r="I2008" t="str">
        <f t="shared" si="223"/>
        <v>14</v>
      </c>
    </row>
    <row r="2009" spans="1:9" x14ac:dyDescent="0.25">
      <c r="A2009" s="19">
        <v>41402</v>
      </c>
      <c r="B2009" s="20">
        <v>4.8611111111111112E-2</v>
      </c>
      <c r="C2009" t="str">
        <f t="shared" si="217"/>
        <v>13</v>
      </c>
      <c r="D2009" t="str">
        <f t="shared" si="218"/>
        <v>05</v>
      </c>
      <c r="E2009" t="str">
        <f t="shared" si="219"/>
        <v>08</v>
      </c>
      <c r="F2009">
        <f t="shared" si="220"/>
        <v>2013</v>
      </c>
      <c r="G2009">
        <f t="shared" si="221"/>
        <v>5</v>
      </c>
      <c r="H2009">
        <f t="shared" si="222"/>
        <v>8</v>
      </c>
      <c r="I2009" t="str">
        <f t="shared" si="223"/>
        <v>13</v>
      </c>
    </row>
    <row r="2010" spans="1:9" x14ac:dyDescent="0.25">
      <c r="A2010" s="19">
        <v>42213</v>
      </c>
      <c r="B2010" s="20">
        <v>5.5555555555555552E-2</v>
      </c>
      <c r="C2010" t="str">
        <f t="shared" si="217"/>
        <v>15</v>
      </c>
      <c r="D2010" t="str">
        <f t="shared" si="218"/>
        <v>07</v>
      </c>
      <c r="E2010" t="str">
        <f t="shared" si="219"/>
        <v>28</v>
      </c>
      <c r="F2010">
        <f t="shared" si="220"/>
        <v>2015</v>
      </c>
      <c r="G2010">
        <f t="shared" si="221"/>
        <v>7</v>
      </c>
      <c r="H2010">
        <f t="shared" si="222"/>
        <v>28</v>
      </c>
      <c r="I2010" t="str">
        <f t="shared" si="223"/>
        <v>15</v>
      </c>
    </row>
    <row r="2011" spans="1:9" x14ac:dyDescent="0.25">
      <c r="A2011" s="19">
        <v>41308</v>
      </c>
      <c r="B2011" s="20">
        <v>0.99027777777777781</v>
      </c>
      <c r="C2011" t="str">
        <f t="shared" si="217"/>
        <v>13</v>
      </c>
      <c r="D2011" t="str">
        <f t="shared" si="218"/>
        <v>02</v>
      </c>
      <c r="E2011" t="str">
        <f t="shared" si="219"/>
        <v>03</v>
      </c>
      <c r="F2011">
        <f t="shared" si="220"/>
        <v>2013</v>
      </c>
      <c r="G2011">
        <f t="shared" si="221"/>
        <v>2</v>
      </c>
      <c r="H2011">
        <f t="shared" si="222"/>
        <v>3</v>
      </c>
      <c r="I2011" t="str">
        <f t="shared" si="223"/>
        <v>13</v>
      </c>
    </row>
    <row r="2012" spans="1:9" x14ac:dyDescent="0.25">
      <c r="A2012" s="19">
        <v>41586</v>
      </c>
      <c r="B2012" s="20">
        <v>7.6388888888888886E-3</v>
      </c>
      <c r="C2012" t="str">
        <f t="shared" si="217"/>
        <v>13</v>
      </c>
      <c r="D2012" t="str">
        <f t="shared" si="218"/>
        <v>11</v>
      </c>
      <c r="E2012" t="str">
        <f t="shared" si="219"/>
        <v>08</v>
      </c>
      <c r="F2012">
        <f t="shared" si="220"/>
        <v>2013</v>
      </c>
      <c r="G2012">
        <f t="shared" si="221"/>
        <v>11</v>
      </c>
      <c r="H2012">
        <f t="shared" si="222"/>
        <v>8</v>
      </c>
      <c r="I2012" t="str">
        <f t="shared" si="223"/>
        <v>13</v>
      </c>
    </row>
    <row r="2013" spans="1:9" x14ac:dyDescent="0.25">
      <c r="A2013" s="19">
        <v>41690</v>
      </c>
      <c r="B2013" s="20">
        <v>2.7083333333333334E-2</v>
      </c>
      <c r="C2013" t="str">
        <f t="shared" si="217"/>
        <v>14</v>
      </c>
      <c r="D2013" t="str">
        <f t="shared" si="218"/>
        <v>02</v>
      </c>
      <c r="E2013" t="str">
        <f t="shared" si="219"/>
        <v>20</v>
      </c>
      <c r="F2013">
        <f t="shared" si="220"/>
        <v>2014</v>
      </c>
      <c r="G2013">
        <f t="shared" si="221"/>
        <v>2</v>
      </c>
      <c r="H2013">
        <f t="shared" si="222"/>
        <v>20</v>
      </c>
      <c r="I2013" t="str">
        <f t="shared" si="223"/>
        <v>14</v>
      </c>
    </row>
    <row r="2014" spans="1:9" x14ac:dyDescent="0.25">
      <c r="A2014" s="19">
        <v>41550</v>
      </c>
      <c r="B2014" s="20">
        <v>4.5138888888888888E-2</v>
      </c>
      <c r="C2014" t="str">
        <f t="shared" si="217"/>
        <v>13</v>
      </c>
      <c r="D2014" t="str">
        <f t="shared" si="218"/>
        <v>10</v>
      </c>
      <c r="E2014" t="str">
        <f t="shared" si="219"/>
        <v>03</v>
      </c>
      <c r="F2014">
        <f t="shared" si="220"/>
        <v>2013</v>
      </c>
      <c r="G2014">
        <f t="shared" si="221"/>
        <v>10</v>
      </c>
      <c r="H2014">
        <f t="shared" si="222"/>
        <v>3</v>
      </c>
      <c r="I2014" t="str">
        <f t="shared" si="223"/>
        <v>13</v>
      </c>
    </row>
    <row r="2015" spans="1:9" x14ac:dyDescent="0.25">
      <c r="A2015" s="19">
        <v>42805</v>
      </c>
      <c r="B2015" s="20">
        <v>0.93680555555555556</v>
      </c>
      <c r="C2015" t="str">
        <f t="shared" si="217"/>
        <v>17</v>
      </c>
      <c r="D2015" t="str">
        <f t="shared" si="218"/>
        <v>03</v>
      </c>
      <c r="E2015" t="str">
        <f t="shared" si="219"/>
        <v>11</v>
      </c>
      <c r="F2015">
        <f t="shared" si="220"/>
        <v>2017</v>
      </c>
      <c r="G2015">
        <f t="shared" si="221"/>
        <v>3</v>
      </c>
      <c r="H2015">
        <f t="shared" si="222"/>
        <v>11</v>
      </c>
      <c r="I2015" t="str">
        <f t="shared" si="223"/>
        <v>17</v>
      </c>
    </row>
    <row r="2016" spans="1:9" x14ac:dyDescent="0.25">
      <c r="A2016" s="19">
        <v>42352</v>
      </c>
      <c r="B2016" s="20">
        <v>7.0833333333333331E-2</v>
      </c>
      <c r="C2016" t="str">
        <f t="shared" si="217"/>
        <v>15</v>
      </c>
      <c r="D2016" t="str">
        <f t="shared" si="218"/>
        <v>12</v>
      </c>
      <c r="E2016" t="str">
        <f t="shared" si="219"/>
        <v>14</v>
      </c>
      <c r="F2016">
        <f t="shared" si="220"/>
        <v>2015</v>
      </c>
      <c r="G2016">
        <f t="shared" si="221"/>
        <v>12</v>
      </c>
      <c r="H2016">
        <f t="shared" si="222"/>
        <v>14</v>
      </c>
      <c r="I2016" t="str">
        <f t="shared" si="223"/>
        <v>15</v>
      </c>
    </row>
    <row r="2017" spans="1:9" x14ac:dyDescent="0.25">
      <c r="A2017" s="19">
        <v>41349</v>
      </c>
      <c r="B2017" s="20">
        <v>0.96736111111111112</v>
      </c>
      <c r="C2017" t="str">
        <f t="shared" si="217"/>
        <v>13</v>
      </c>
      <c r="D2017" t="str">
        <f t="shared" si="218"/>
        <v>03</v>
      </c>
      <c r="E2017" t="str">
        <f t="shared" si="219"/>
        <v>16</v>
      </c>
      <c r="F2017">
        <f t="shared" si="220"/>
        <v>2013</v>
      </c>
      <c r="G2017">
        <f t="shared" si="221"/>
        <v>3</v>
      </c>
      <c r="H2017">
        <f t="shared" si="222"/>
        <v>16</v>
      </c>
      <c r="I2017" t="str">
        <f t="shared" si="223"/>
        <v>13</v>
      </c>
    </row>
    <row r="2018" spans="1:9" x14ac:dyDescent="0.25">
      <c r="A2018" s="19">
        <v>42331</v>
      </c>
      <c r="B2018" s="20">
        <v>0.95277777777777772</v>
      </c>
      <c r="C2018" t="str">
        <f t="shared" si="217"/>
        <v>15</v>
      </c>
      <c r="D2018" t="str">
        <f t="shared" si="218"/>
        <v>11</v>
      </c>
      <c r="E2018" t="str">
        <f t="shared" si="219"/>
        <v>23</v>
      </c>
      <c r="F2018">
        <f t="shared" si="220"/>
        <v>2015</v>
      </c>
      <c r="G2018">
        <f t="shared" si="221"/>
        <v>11</v>
      </c>
      <c r="H2018">
        <f t="shared" si="222"/>
        <v>23</v>
      </c>
      <c r="I2018" t="str">
        <f t="shared" si="223"/>
        <v>15</v>
      </c>
    </row>
    <row r="2019" spans="1:9" x14ac:dyDescent="0.25">
      <c r="A2019" s="19">
        <v>41724</v>
      </c>
      <c r="B2019" s="20">
        <v>4.2361111111111113E-2</v>
      </c>
      <c r="C2019" t="str">
        <f t="shared" si="217"/>
        <v>14</v>
      </c>
      <c r="D2019" t="str">
        <f t="shared" si="218"/>
        <v>03</v>
      </c>
      <c r="E2019" t="str">
        <f t="shared" si="219"/>
        <v>26</v>
      </c>
      <c r="F2019">
        <f t="shared" si="220"/>
        <v>2014</v>
      </c>
      <c r="G2019">
        <f t="shared" si="221"/>
        <v>3</v>
      </c>
      <c r="H2019">
        <f t="shared" si="222"/>
        <v>26</v>
      </c>
      <c r="I2019" t="str">
        <f t="shared" si="223"/>
        <v>14</v>
      </c>
    </row>
    <row r="2020" spans="1:9" x14ac:dyDescent="0.25">
      <c r="A2020" s="19">
        <v>42584</v>
      </c>
      <c r="B2020" s="20">
        <v>0.93958333333333333</v>
      </c>
      <c r="C2020" t="str">
        <f t="shared" si="217"/>
        <v>16</v>
      </c>
      <c r="D2020" t="str">
        <f t="shared" si="218"/>
        <v>08</v>
      </c>
      <c r="E2020" t="str">
        <f t="shared" si="219"/>
        <v>02</v>
      </c>
      <c r="F2020">
        <f t="shared" si="220"/>
        <v>2016</v>
      </c>
      <c r="G2020">
        <f t="shared" si="221"/>
        <v>8</v>
      </c>
      <c r="H2020">
        <f t="shared" si="222"/>
        <v>2</v>
      </c>
      <c r="I2020" t="str">
        <f t="shared" si="223"/>
        <v>16</v>
      </c>
    </row>
    <row r="2021" spans="1:9" x14ac:dyDescent="0.25">
      <c r="A2021" s="19">
        <v>41836</v>
      </c>
      <c r="B2021" s="20">
        <v>0.96944444444444444</v>
      </c>
      <c r="C2021" t="str">
        <f t="shared" si="217"/>
        <v>14</v>
      </c>
      <c r="D2021" t="str">
        <f t="shared" si="218"/>
        <v>07</v>
      </c>
      <c r="E2021" t="str">
        <f t="shared" si="219"/>
        <v>16</v>
      </c>
      <c r="F2021">
        <f t="shared" si="220"/>
        <v>2014</v>
      </c>
      <c r="G2021">
        <f t="shared" si="221"/>
        <v>7</v>
      </c>
      <c r="H2021">
        <f t="shared" si="222"/>
        <v>16</v>
      </c>
      <c r="I2021" t="str">
        <f t="shared" si="223"/>
        <v>14</v>
      </c>
    </row>
    <row r="2022" spans="1:9" x14ac:dyDescent="0.25">
      <c r="A2022" s="19">
        <v>41901</v>
      </c>
      <c r="B2022" s="20">
        <v>8.3333333333333332E-3</v>
      </c>
      <c r="C2022" t="str">
        <f t="shared" si="217"/>
        <v>14</v>
      </c>
      <c r="D2022" t="str">
        <f t="shared" si="218"/>
        <v>09</v>
      </c>
      <c r="E2022" t="str">
        <f t="shared" si="219"/>
        <v>19</v>
      </c>
      <c r="F2022">
        <f t="shared" si="220"/>
        <v>2014</v>
      </c>
      <c r="G2022">
        <f t="shared" si="221"/>
        <v>9</v>
      </c>
      <c r="H2022">
        <f t="shared" si="222"/>
        <v>19</v>
      </c>
      <c r="I2022" t="str">
        <f t="shared" si="223"/>
        <v>14</v>
      </c>
    </row>
    <row r="2023" spans="1:9" x14ac:dyDescent="0.25">
      <c r="A2023" s="19">
        <v>41844</v>
      </c>
      <c r="B2023" s="20">
        <v>1.1805555555555555E-2</v>
      </c>
      <c r="C2023" t="str">
        <f t="shared" si="217"/>
        <v>14</v>
      </c>
      <c r="D2023" t="str">
        <f t="shared" si="218"/>
        <v>07</v>
      </c>
      <c r="E2023" t="str">
        <f t="shared" si="219"/>
        <v>24</v>
      </c>
      <c r="F2023">
        <f t="shared" si="220"/>
        <v>2014</v>
      </c>
      <c r="G2023">
        <f t="shared" si="221"/>
        <v>7</v>
      </c>
      <c r="H2023">
        <f t="shared" si="222"/>
        <v>24</v>
      </c>
      <c r="I2023" t="str">
        <f t="shared" si="223"/>
        <v>14</v>
      </c>
    </row>
    <row r="2024" spans="1:9" x14ac:dyDescent="0.25">
      <c r="A2024" s="19">
        <v>42157</v>
      </c>
      <c r="B2024" s="20">
        <v>2.361111111111111E-2</v>
      </c>
      <c r="C2024" t="str">
        <f t="shared" si="217"/>
        <v>15</v>
      </c>
      <c r="D2024" t="str">
        <f t="shared" si="218"/>
        <v>06</v>
      </c>
      <c r="E2024" t="str">
        <f t="shared" si="219"/>
        <v>02</v>
      </c>
      <c r="F2024">
        <f t="shared" si="220"/>
        <v>2015</v>
      </c>
      <c r="G2024">
        <f t="shared" si="221"/>
        <v>6</v>
      </c>
      <c r="H2024">
        <f t="shared" si="222"/>
        <v>2</v>
      </c>
      <c r="I2024" t="str">
        <f t="shared" si="223"/>
        <v>15</v>
      </c>
    </row>
    <row r="2025" spans="1:9" x14ac:dyDescent="0.25">
      <c r="A2025" s="19">
        <v>41755</v>
      </c>
      <c r="B2025" s="20">
        <v>4.1666666666666666E-3</v>
      </c>
      <c r="C2025" t="str">
        <f t="shared" si="217"/>
        <v>14</v>
      </c>
      <c r="D2025" t="str">
        <f t="shared" si="218"/>
        <v>04</v>
      </c>
      <c r="E2025" t="str">
        <f t="shared" si="219"/>
        <v>26</v>
      </c>
      <c r="F2025">
        <f t="shared" si="220"/>
        <v>2014</v>
      </c>
      <c r="G2025">
        <f t="shared" si="221"/>
        <v>4</v>
      </c>
      <c r="H2025">
        <f t="shared" si="222"/>
        <v>26</v>
      </c>
      <c r="I2025" t="str">
        <f t="shared" si="223"/>
        <v>14</v>
      </c>
    </row>
    <row r="2026" spans="1:9" x14ac:dyDescent="0.25">
      <c r="A2026" s="19">
        <v>41399</v>
      </c>
      <c r="B2026" s="20">
        <v>8.3333333333333329E-2</v>
      </c>
      <c r="C2026" t="str">
        <f t="shared" si="217"/>
        <v>13</v>
      </c>
      <c r="D2026" t="str">
        <f t="shared" si="218"/>
        <v>05</v>
      </c>
      <c r="E2026" t="str">
        <f t="shared" si="219"/>
        <v>05</v>
      </c>
      <c r="F2026">
        <f t="shared" si="220"/>
        <v>2013</v>
      </c>
      <c r="G2026">
        <f t="shared" si="221"/>
        <v>5</v>
      </c>
      <c r="H2026">
        <f t="shared" si="222"/>
        <v>5</v>
      </c>
      <c r="I2026" t="str">
        <f t="shared" si="223"/>
        <v>13</v>
      </c>
    </row>
    <row r="2027" spans="1:9" x14ac:dyDescent="0.25">
      <c r="A2027" s="19">
        <v>42009</v>
      </c>
      <c r="B2027" s="20">
        <v>4.2361111111111113E-2</v>
      </c>
      <c r="C2027" t="str">
        <f t="shared" si="217"/>
        <v>15</v>
      </c>
      <c r="D2027" t="str">
        <f t="shared" si="218"/>
        <v>01</v>
      </c>
      <c r="E2027" t="str">
        <f t="shared" si="219"/>
        <v>05</v>
      </c>
      <c r="F2027">
        <f t="shared" si="220"/>
        <v>2015</v>
      </c>
      <c r="G2027">
        <f t="shared" si="221"/>
        <v>1</v>
      </c>
      <c r="H2027">
        <f t="shared" si="222"/>
        <v>5</v>
      </c>
      <c r="I2027" t="str">
        <f t="shared" si="223"/>
        <v>15</v>
      </c>
    </row>
    <row r="2028" spans="1:9" x14ac:dyDescent="0.25">
      <c r="A2028" s="19">
        <v>42728</v>
      </c>
      <c r="B2028" s="20">
        <v>0.97152777777777777</v>
      </c>
      <c r="C2028" t="str">
        <f t="shared" si="217"/>
        <v>16</v>
      </c>
      <c r="D2028" t="str">
        <f t="shared" si="218"/>
        <v>12</v>
      </c>
      <c r="E2028" t="str">
        <f t="shared" si="219"/>
        <v>24</v>
      </c>
      <c r="F2028">
        <f t="shared" si="220"/>
        <v>2016</v>
      </c>
      <c r="G2028">
        <f t="shared" si="221"/>
        <v>12</v>
      </c>
      <c r="H2028">
        <f t="shared" si="222"/>
        <v>24</v>
      </c>
      <c r="I2028" t="str">
        <f t="shared" si="223"/>
        <v>16</v>
      </c>
    </row>
    <row r="2029" spans="1:9" x14ac:dyDescent="0.25">
      <c r="A2029" s="19">
        <v>42027</v>
      </c>
      <c r="B2029" s="20">
        <v>0.95763888888888893</v>
      </c>
      <c r="C2029" t="str">
        <f t="shared" si="217"/>
        <v>15</v>
      </c>
      <c r="D2029" t="str">
        <f t="shared" si="218"/>
        <v>01</v>
      </c>
      <c r="E2029" t="str">
        <f t="shared" si="219"/>
        <v>23</v>
      </c>
      <c r="F2029">
        <f t="shared" si="220"/>
        <v>2015</v>
      </c>
      <c r="G2029">
        <f t="shared" si="221"/>
        <v>1</v>
      </c>
      <c r="H2029">
        <f t="shared" si="222"/>
        <v>23</v>
      </c>
      <c r="I2029" t="str">
        <f t="shared" si="223"/>
        <v>15</v>
      </c>
    </row>
    <row r="2030" spans="1:9" x14ac:dyDescent="0.25">
      <c r="A2030" s="19">
        <v>42808</v>
      </c>
      <c r="B2030" s="20">
        <v>1.1805555555555555E-2</v>
      </c>
      <c r="C2030" t="str">
        <f t="shared" si="217"/>
        <v>17</v>
      </c>
      <c r="D2030" t="str">
        <f t="shared" si="218"/>
        <v>03</v>
      </c>
      <c r="E2030" t="str">
        <f t="shared" si="219"/>
        <v>14</v>
      </c>
      <c r="F2030">
        <f t="shared" si="220"/>
        <v>2017</v>
      </c>
      <c r="G2030">
        <f t="shared" si="221"/>
        <v>3</v>
      </c>
      <c r="H2030">
        <f t="shared" si="222"/>
        <v>14</v>
      </c>
      <c r="I2030" t="str">
        <f t="shared" si="223"/>
        <v>17</v>
      </c>
    </row>
    <row r="2031" spans="1:9" x14ac:dyDescent="0.25">
      <c r="A2031" s="19">
        <v>41930</v>
      </c>
      <c r="B2031" s="20">
        <v>0.9555555555555556</v>
      </c>
      <c r="C2031" t="str">
        <f t="shared" si="217"/>
        <v>14</v>
      </c>
      <c r="D2031" t="str">
        <f t="shared" si="218"/>
        <v>10</v>
      </c>
      <c r="E2031" t="str">
        <f t="shared" si="219"/>
        <v>18</v>
      </c>
      <c r="F2031">
        <f t="shared" si="220"/>
        <v>2014</v>
      </c>
      <c r="G2031">
        <f t="shared" si="221"/>
        <v>10</v>
      </c>
      <c r="H2031">
        <f t="shared" si="222"/>
        <v>18</v>
      </c>
      <c r="I2031" t="str">
        <f t="shared" si="223"/>
        <v>14</v>
      </c>
    </row>
    <row r="2032" spans="1:9" x14ac:dyDescent="0.25">
      <c r="A2032" s="19">
        <v>41496</v>
      </c>
      <c r="B2032" s="20">
        <v>0.97222222222222221</v>
      </c>
      <c r="C2032" t="str">
        <f t="shared" si="217"/>
        <v>13</v>
      </c>
      <c r="D2032" t="str">
        <f t="shared" si="218"/>
        <v>08</v>
      </c>
      <c r="E2032" t="str">
        <f t="shared" si="219"/>
        <v>10</v>
      </c>
      <c r="F2032">
        <f t="shared" si="220"/>
        <v>2013</v>
      </c>
      <c r="G2032">
        <f t="shared" si="221"/>
        <v>8</v>
      </c>
      <c r="H2032">
        <f t="shared" si="222"/>
        <v>10</v>
      </c>
      <c r="I2032" t="str">
        <f t="shared" si="223"/>
        <v>13</v>
      </c>
    </row>
    <row r="2033" spans="1:9" x14ac:dyDescent="0.25">
      <c r="A2033" s="19">
        <v>41438</v>
      </c>
      <c r="B2033" s="20">
        <v>4.027777777777778E-2</v>
      </c>
      <c r="C2033" t="str">
        <f t="shared" si="217"/>
        <v>13</v>
      </c>
      <c r="D2033" t="str">
        <f t="shared" si="218"/>
        <v>06</v>
      </c>
      <c r="E2033" t="str">
        <f t="shared" si="219"/>
        <v>13</v>
      </c>
      <c r="F2033">
        <f t="shared" si="220"/>
        <v>2013</v>
      </c>
      <c r="G2033">
        <f t="shared" si="221"/>
        <v>6</v>
      </c>
      <c r="H2033">
        <f t="shared" si="222"/>
        <v>13</v>
      </c>
      <c r="I2033" t="str">
        <f t="shared" si="223"/>
        <v>13</v>
      </c>
    </row>
    <row r="2034" spans="1:9" x14ac:dyDescent="0.25">
      <c r="A2034" s="19">
        <v>41151</v>
      </c>
      <c r="B2034" s="20">
        <v>0.98611111111111116</v>
      </c>
      <c r="C2034" t="str">
        <f t="shared" si="217"/>
        <v>12</v>
      </c>
      <c r="D2034" t="str">
        <f t="shared" si="218"/>
        <v>08</v>
      </c>
      <c r="E2034" t="str">
        <f t="shared" si="219"/>
        <v>30</v>
      </c>
      <c r="F2034">
        <f t="shared" si="220"/>
        <v>2012</v>
      </c>
      <c r="G2034">
        <f t="shared" si="221"/>
        <v>8</v>
      </c>
      <c r="H2034">
        <f t="shared" si="222"/>
        <v>30</v>
      </c>
      <c r="I2034" t="str">
        <f t="shared" si="223"/>
        <v>12</v>
      </c>
    </row>
    <row r="2035" spans="1:9" x14ac:dyDescent="0.25">
      <c r="A2035" s="19">
        <v>42449</v>
      </c>
      <c r="B2035" s="20">
        <v>3.125E-2</v>
      </c>
      <c r="C2035" t="str">
        <f t="shared" si="217"/>
        <v>16</v>
      </c>
      <c r="D2035" t="str">
        <f t="shared" si="218"/>
        <v>03</v>
      </c>
      <c r="E2035" t="str">
        <f t="shared" si="219"/>
        <v>20</v>
      </c>
      <c r="F2035">
        <f t="shared" si="220"/>
        <v>2016</v>
      </c>
      <c r="G2035">
        <f t="shared" si="221"/>
        <v>3</v>
      </c>
      <c r="H2035">
        <f t="shared" si="222"/>
        <v>20</v>
      </c>
      <c r="I2035" t="str">
        <f t="shared" si="223"/>
        <v>16</v>
      </c>
    </row>
    <row r="2036" spans="1:9" x14ac:dyDescent="0.25">
      <c r="A2036" s="19">
        <v>42330</v>
      </c>
      <c r="B2036" s="20">
        <v>3.6111111111111108E-2</v>
      </c>
      <c r="C2036" t="str">
        <f t="shared" si="217"/>
        <v>15</v>
      </c>
      <c r="D2036" t="str">
        <f t="shared" si="218"/>
        <v>11</v>
      </c>
      <c r="E2036" t="str">
        <f t="shared" si="219"/>
        <v>22</v>
      </c>
      <c r="F2036">
        <f t="shared" si="220"/>
        <v>2015</v>
      </c>
      <c r="G2036">
        <f t="shared" si="221"/>
        <v>11</v>
      </c>
      <c r="H2036">
        <f t="shared" si="222"/>
        <v>22</v>
      </c>
      <c r="I2036" t="str">
        <f t="shared" si="223"/>
        <v>15</v>
      </c>
    </row>
    <row r="2037" spans="1:9" x14ac:dyDescent="0.25">
      <c r="A2037" s="19">
        <v>42407</v>
      </c>
      <c r="B2037" s="20">
        <v>4.6527777777777779E-2</v>
      </c>
      <c r="C2037" t="str">
        <f t="shared" si="217"/>
        <v>16</v>
      </c>
      <c r="D2037" t="str">
        <f t="shared" si="218"/>
        <v>02</v>
      </c>
      <c r="E2037" t="str">
        <f t="shared" si="219"/>
        <v>07</v>
      </c>
      <c r="F2037">
        <f t="shared" si="220"/>
        <v>2016</v>
      </c>
      <c r="G2037">
        <f t="shared" si="221"/>
        <v>2</v>
      </c>
      <c r="H2037">
        <f t="shared" si="222"/>
        <v>7</v>
      </c>
      <c r="I2037" t="str">
        <f t="shared" si="223"/>
        <v>16</v>
      </c>
    </row>
    <row r="2038" spans="1:9" x14ac:dyDescent="0.25">
      <c r="A2038" s="19">
        <v>41991</v>
      </c>
      <c r="B2038" s="20">
        <v>5.0694444444444445E-2</v>
      </c>
      <c r="C2038" t="str">
        <f t="shared" si="217"/>
        <v>14</v>
      </c>
      <c r="D2038" t="str">
        <f t="shared" si="218"/>
        <v>12</v>
      </c>
      <c r="E2038" t="str">
        <f t="shared" si="219"/>
        <v>18</v>
      </c>
      <c r="F2038">
        <f t="shared" si="220"/>
        <v>2014</v>
      </c>
      <c r="G2038">
        <f t="shared" si="221"/>
        <v>12</v>
      </c>
      <c r="H2038">
        <f t="shared" si="222"/>
        <v>18</v>
      </c>
      <c r="I2038" t="str">
        <f t="shared" si="223"/>
        <v>14</v>
      </c>
    </row>
    <row r="2039" spans="1:9" x14ac:dyDescent="0.25">
      <c r="A2039" s="19">
        <v>41752</v>
      </c>
      <c r="B2039" s="20">
        <v>7.5694444444444439E-2</v>
      </c>
      <c r="C2039" t="str">
        <f t="shared" si="217"/>
        <v>14</v>
      </c>
      <c r="D2039" t="str">
        <f t="shared" si="218"/>
        <v>04</v>
      </c>
      <c r="E2039" t="str">
        <f t="shared" si="219"/>
        <v>23</v>
      </c>
      <c r="F2039">
        <f t="shared" si="220"/>
        <v>2014</v>
      </c>
      <c r="G2039">
        <f t="shared" si="221"/>
        <v>4</v>
      </c>
      <c r="H2039">
        <f t="shared" si="222"/>
        <v>23</v>
      </c>
      <c r="I2039" t="str">
        <f t="shared" si="223"/>
        <v>14</v>
      </c>
    </row>
    <row r="2040" spans="1:9" x14ac:dyDescent="0.25">
      <c r="A2040" s="19">
        <v>41726</v>
      </c>
      <c r="B2040" s="20">
        <v>8.3333333333333332E-3</v>
      </c>
      <c r="C2040" t="str">
        <f t="shared" si="217"/>
        <v>14</v>
      </c>
      <c r="D2040" t="str">
        <f t="shared" si="218"/>
        <v>03</v>
      </c>
      <c r="E2040" t="str">
        <f t="shared" si="219"/>
        <v>28</v>
      </c>
      <c r="F2040">
        <f t="shared" si="220"/>
        <v>2014</v>
      </c>
      <c r="G2040">
        <f t="shared" si="221"/>
        <v>3</v>
      </c>
      <c r="H2040">
        <f t="shared" si="222"/>
        <v>28</v>
      </c>
      <c r="I2040" t="str">
        <f t="shared" si="223"/>
        <v>14</v>
      </c>
    </row>
    <row r="2041" spans="1:9" x14ac:dyDescent="0.25">
      <c r="A2041" s="19">
        <v>42661</v>
      </c>
      <c r="B2041" s="20">
        <v>4.8611111111111112E-3</v>
      </c>
      <c r="C2041" t="str">
        <f t="shared" si="217"/>
        <v>16</v>
      </c>
      <c r="D2041" t="str">
        <f t="shared" si="218"/>
        <v>10</v>
      </c>
      <c r="E2041" t="str">
        <f t="shared" si="219"/>
        <v>18</v>
      </c>
      <c r="F2041">
        <f t="shared" si="220"/>
        <v>2016</v>
      </c>
      <c r="G2041">
        <f t="shared" si="221"/>
        <v>10</v>
      </c>
      <c r="H2041">
        <f t="shared" si="222"/>
        <v>18</v>
      </c>
      <c r="I2041" t="str">
        <f t="shared" si="223"/>
        <v>16</v>
      </c>
    </row>
    <row r="2042" spans="1:9" x14ac:dyDescent="0.25">
      <c r="A2042" s="19">
        <v>41115</v>
      </c>
      <c r="B2042" s="20">
        <v>3.4027777777777775E-2</v>
      </c>
      <c r="C2042" t="str">
        <f t="shared" si="217"/>
        <v>12</v>
      </c>
      <c r="D2042" t="str">
        <f t="shared" si="218"/>
        <v>07</v>
      </c>
      <c r="E2042" t="str">
        <f t="shared" si="219"/>
        <v>25</v>
      </c>
      <c r="F2042">
        <f t="shared" si="220"/>
        <v>2012</v>
      </c>
      <c r="G2042">
        <f t="shared" si="221"/>
        <v>7</v>
      </c>
      <c r="H2042">
        <f t="shared" si="222"/>
        <v>25</v>
      </c>
      <c r="I2042" t="str">
        <f t="shared" si="223"/>
        <v>12</v>
      </c>
    </row>
    <row r="2043" spans="1:9" x14ac:dyDescent="0.25">
      <c r="A2043" s="19">
        <v>41449</v>
      </c>
      <c r="B2043" s="20">
        <v>3.6805555555555557E-2</v>
      </c>
      <c r="C2043" t="str">
        <f t="shared" si="217"/>
        <v>13</v>
      </c>
      <c r="D2043" t="str">
        <f t="shared" si="218"/>
        <v>06</v>
      </c>
      <c r="E2043" t="str">
        <f t="shared" si="219"/>
        <v>24</v>
      </c>
      <c r="F2043">
        <f t="shared" si="220"/>
        <v>2013</v>
      </c>
      <c r="G2043">
        <f t="shared" si="221"/>
        <v>6</v>
      </c>
      <c r="H2043">
        <f t="shared" si="222"/>
        <v>24</v>
      </c>
      <c r="I2043" t="str">
        <f t="shared" si="223"/>
        <v>13</v>
      </c>
    </row>
    <row r="2044" spans="1:9" x14ac:dyDescent="0.25">
      <c r="A2044" s="19">
        <v>41319</v>
      </c>
      <c r="B2044" s="20">
        <v>4.7222222222222221E-2</v>
      </c>
      <c r="C2044" t="str">
        <f t="shared" si="217"/>
        <v>13</v>
      </c>
      <c r="D2044" t="str">
        <f t="shared" si="218"/>
        <v>02</v>
      </c>
      <c r="E2044" t="str">
        <f t="shared" si="219"/>
        <v>14</v>
      </c>
      <c r="F2044">
        <f t="shared" si="220"/>
        <v>2013</v>
      </c>
      <c r="G2044">
        <f t="shared" si="221"/>
        <v>2</v>
      </c>
      <c r="H2044">
        <f t="shared" si="222"/>
        <v>14</v>
      </c>
      <c r="I2044" t="str">
        <f t="shared" si="223"/>
        <v>13</v>
      </c>
    </row>
    <row r="2045" spans="1:9" x14ac:dyDescent="0.25">
      <c r="A2045" s="19">
        <v>41683</v>
      </c>
      <c r="B2045" s="20">
        <v>0.99027777777777781</v>
      </c>
      <c r="C2045" t="str">
        <f t="shared" si="217"/>
        <v>14</v>
      </c>
      <c r="D2045" t="str">
        <f t="shared" si="218"/>
        <v>02</v>
      </c>
      <c r="E2045" t="str">
        <f t="shared" si="219"/>
        <v>13</v>
      </c>
      <c r="F2045">
        <f t="shared" si="220"/>
        <v>2014</v>
      </c>
      <c r="G2045">
        <f t="shared" si="221"/>
        <v>2</v>
      </c>
      <c r="H2045">
        <f t="shared" si="222"/>
        <v>13</v>
      </c>
      <c r="I2045" t="str">
        <f t="shared" si="223"/>
        <v>14</v>
      </c>
    </row>
    <row r="2046" spans="1:9" x14ac:dyDescent="0.25">
      <c r="A2046" s="19">
        <v>42623</v>
      </c>
      <c r="B2046" s="20">
        <v>0.98750000000000004</v>
      </c>
      <c r="C2046" t="str">
        <f t="shared" si="217"/>
        <v>16</v>
      </c>
      <c r="D2046" t="str">
        <f t="shared" si="218"/>
        <v>09</v>
      </c>
      <c r="E2046" t="str">
        <f t="shared" si="219"/>
        <v>10</v>
      </c>
      <c r="F2046">
        <f t="shared" si="220"/>
        <v>2016</v>
      </c>
      <c r="G2046">
        <f t="shared" si="221"/>
        <v>9</v>
      </c>
      <c r="H2046">
        <f t="shared" si="222"/>
        <v>10</v>
      </c>
      <c r="I2046" t="str">
        <f t="shared" si="223"/>
        <v>16</v>
      </c>
    </row>
    <row r="2047" spans="1:9" x14ac:dyDescent="0.25">
      <c r="A2047" s="19">
        <v>41218</v>
      </c>
      <c r="B2047" s="20">
        <v>1.9444444444444445E-2</v>
      </c>
      <c r="C2047" t="str">
        <f t="shared" si="217"/>
        <v>12</v>
      </c>
      <c r="D2047" t="str">
        <f t="shared" si="218"/>
        <v>11</v>
      </c>
      <c r="E2047" t="str">
        <f t="shared" si="219"/>
        <v>05</v>
      </c>
      <c r="F2047">
        <f t="shared" si="220"/>
        <v>2012</v>
      </c>
      <c r="G2047">
        <f t="shared" si="221"/>
        <v>11</v>
      </c>
      <c r="H2047">
        <f t="shared" si="222"/>
        <v>5</v>
      </c>
      <c r="I2047" t="str">
        <f t="shared" si="223"/>
        <v>12</v>
      </c>
    </row>
    <row r="2048" spans="1:9" x14ac:dyDescent="0.25">
      <c r="A2048" s="19">
        <v>41322</v>
      </c>
      <c r="B2048" s="20">
        <v>0.99027777777777781</v>
      </c>
      <c r="C2048" t="str">
        <f t="shared" si="217"/>
        <v>13</v>
      </c>
      <c r="D2048" t="str">
        <f t="shared" si="218"/>
        <v>02</v>
      </c>
      <c r="E2048" t="str">
        <f t="shared" si="219"/>
        <v>17</v>
      </c>
      <c r="F2048">
        <f t="shared" si="220"/>
        <v>2013</v>
      </c>
      <c r="G2048">
        <f t="shared" si="221"/>
        <v>2</v>
      </c>
      <c r="H2048">
        <f t="shared" si="222"/>
        <v>17</v>
      </c>
      <c r="I2048" t="str">
        <f t="shared" si="223"/>
        <v>13</v>
      </c>
    </row>
    <row r="2049" spans="1:9" x14ac:dyDescent="0.25">
      <c r="A2049" s="19">
        <v>41893</v>
      </c>
      <c r="B2049" s="20">
        <v>2.1527777777777778E-2</v>
      </c>
      <c r="C2049" t="str">
        <f t="shared" si="217"/>
        <v>14</v>
      </c>
      <c r="D2049" t="str">
        <f t="shared" si="218"/>
        <v>09</v>
      </c>
      <c r="E2049" t="str">
        <f t="shared" si="219"/>
        <v>11</v>
      </c>
      <c r="F2049">
        <f t="shared" si="220"/>
        <v>2014</v>
      </c>
      <c r="G2049">
        <f t="shared" si="221"/>
        <v>9</v>
      </c>
      <c r="H2049">
        <f t="shared" si="222"/>
        <v>11</v>
      </c>
      <c r="I2049" t="str">
        <f t="shared" si="223"/>
        <v>14</v>
      </c>
    </row>
    <row r="2050" spans="1:9" x14ac:dyDescent="0.25">
      <c r="A2050" s="19">
        <v>41524</v>
      </c>
      <c r="B2050" s="20">
        <v>0.96319444444444446</v>
      </c>
      <c r="C2050" t="str">
        <f t="shared" si="217"/>
        <v>13</v>
      </c>
      <c r="D2050" t="str">
        <f t="shared" si="218"/>
        <v>09</v>
      </c>
      <c r="E2050" t="str">
        <f t="shared" si="219"/>
        <v>07</v>
      </c>
      <c r="F2050">
        <f t="shared" si="220"/>
        <v>2013</v>
      </c>
      <c r="G2050">
        <f t="shared" si="221"/>
        <v>9</v>
      </c>
      <c r="H2050">
        <f t="shared" si="222"/>
        <v>7</v>
      </c>
      <c r="I2050" t="str">
        <f t="shared" si="223"/>
        <v>13</v>
      </c>
    </row>
    <row r="2051" spans="1:9" x14ac:dyDescent="0.25">
      <c r="A2051" s="19">
        <v>42069</v>
      </c>
      <c r="B2051" s="20">
        <v>0.98611111111111116</v>
      </c>
      <c r="C2051" t="str">
        <f t="shared" ref="C2051:C2114" si="224">TEXT(A2051,"YY")</f>
        <v>15</v>
      </c>
      <c r="D2051" t="str">
        <f t="shared" ref="D2051:D2114" si="225">TEXT(A2051,"mm")</f>
        <v>03</v>
      </c>
      <c r="E2051" t="str">
        <f t="shared" ref="E2051:E2114" si="226">TEXT(A2051,"dd")</f>
        <v>06</v>
      </c>
      <c r="F2051">
        <f t="shared" ref="F2051:F2114" si="227">YEAR($A2051)</f>
        <v>2015</v>
      </c>
      <c r="G2051">
        <f t="shared" ref="G2051:G2114" si="228">MONTH($A2051)</f>
        <v>3</v>
      </c>
      <c r="H2051">
        <f t="shared" ref="H2051:H2114" si="229">DAY($A2051)</f>
        <v>6</v>
      </c>
      <c r="I2051" t="str">
        <f t="shared" ref="I2051:I2114" si="230">TEXT($A2051,"YY")</f>
        <v>15</v>
      </c>
    </row>
    <row r="2052" spans="1:9" x14ac:dyDescent="0.25">
      <c r="A2052" s="19">
        <v>41115</v>
      </c>
      <c r="B2052" s="20">
        <v>9.8611111111111108E-2</v>
      </c>
      <c r="C2052" t="str">
        <f t="shared" si="224"/>
        <v>12</v>
      </c>
      <c r="D2052" t="str">
        <f t="shared" si="225"/>
        <v>07</v>
      </c>
      <c r="E2052" t="str">
        <f t="shared" si="226"/>
        <v>25</v>
      </c>
      <c r="F2052">
        <f t="shared" si="227"/>
        <v>2012</v>
      </c>
      <c r="G2052">
        <f t="shared" si="228"/>
        <v>7</v>
      </c>
      <c r="H2052">
        <f t="shared" si="229"/>
        <v>25</v>
      </c>
      <c r="I2052" t="str">
        <f t="shared" si="230"/>
        <v>12</v>
      </c>
    </row>
    <row r="2053" spans="1:9" x14ac:dyDescent="0.25">
      <c r="A2053" s="19">
        <v>42352</v>
      </c>
      <c r="B2053" s="20">
        <v>3.9583333333333331E-2</v>
      </c>
      <c r="C2053" t="str">
        <f t="shared" si="224"/>
        <v>15</v>
      </c>
      <c r="D2053" t="str">
        <f t="shared" si="225"/>
        <v>12</v>
      </c>
      <c r="E2053" t="str">
        <f t="shared" si="226"/>
        <v>14</v>
      </c>
      <c r="F2053">
        <f t="shared" si="227"/>
        <v>2015</v>
      </c>
      <c r="G2053">
        <f t="shared" si="228"/>
        <v>12</v>
      </c>
      <c r="H2053">
        <f t="shared" si="229"/>
        <v>14</v>
      </c>
      <c r="I2053" t="str">
        <f t="shared" si="230"/>
        <v>15</v>
      </c>
    </row>
    <row r="2054" spans="1:9" x14ac:dyDescent="0.25">
      <c r="A2054" s="19">
        <v>41847</v>
      </c>
      <c r="B2054" s="20">
        <v>0.99236111111111114</v>
      </c>
      <c r="C2054" t="str">
        <f t="shared" si="224"/>
        <v>14</v>
      </c>
      <c r="D2054" t="str">
        <f t="shared" si="225"/>
        <v>07</v>
      </c>
      <c r="E2054" t="str">
        <f t="shared" si="226"/>
        <v>27</v>
      </c>
      <c r="F2054">
        <f t="shared" si="227"/>
        <v>2014</v>
      </c>
      <c r="G2054">
        <f t="shared" si="228"/>
        <v>7</v>
      </c>
      <c r="H2054">
        <f t="shared" si="229"/>
        <v>27</v>
      </c>
      <c r="I2054" t="str">
        <f t="shared" si="230"/>
        <v>14</v>
      </c>
    </row>
    <row r="2055" spans="1:9" x14ac:dyDescent="0.25">
      <c r="A2055" s="19">
        <v>41003</v>
      </c>
      <c r="B2055" s="20">
        <v>3.8194444444444448E-2</v>
      </c>
      <c r="C2055" t="str">
        <f t="shared" si="224"/>
        <v>12</v>
      </c>
      <c r="D2055" t="str">
        <f t="shared" si="225"/>
        <v>04</v>
      </c>
      <c r="E2055" t="str">
        <f t="shared" si="226"/>
        <v>04</v>
      </c>
      <c r="F2055">
        <f t="shared" si="227"/>
        <v>2012</v>
      </c>
      <c r="G2055">
        <f t="shared" si="228"/>
        <v>4</v>
      </c>
      <c r="H2055">
        <f t="shared" si="229"/>
        <v>4</v>
      </c>
      <c r="I2055" t="str">
        <f t="shared" si="230"/>
        <v>12</v>
      </c>
    </row>
    <row r="2056" spans="1:9" x14ac:dyDescent="0.25">
      <c r="A2056" s="19">
        <v>41319</v>
      </c>
      <c r="B2056" s="20">
        <v>7.6388888888888895E-2</v>
      </c>
      <c r="C2056" t="str">
        <f t="shared" si="224"/>
        <v>13</v>
      </c>
      <c r="D2056" t="str">
        <f t="shared" si="225"/>
        <v>02</v>
      </c>
      <c r="E2056" t="str">
        <f t="shared" si="226"/>
        <v>14</v>
      </c>
      <c r="F2056">
        <f t="shared" si="227"/>
        <v>2013</v>
      </c>
      <c r="G2056">
        <f t="shared" si="228"/>
        <v>2</v>
      </c>
      <c r="H2056">
        <f t="shared" si="229"/>
        <v>14</v>
      </c>
      <c r="I2056" t="str">
        <f t="shared" si="230"/>
        <v>13</v>
      </c>
    </row>
    <row r="2057" spans="1:9" x14ac:dyDescent="0.25">
      <c r="A2057" s="19">
        <v>41234</v>
      </c>
      <c r="B2057" s="20">
        <v>7.4999999999999997E-2</v>
      </c>
      <c r="C2057" t="str">
        <f t="shared" si="224"/>
        <v>12</v>
      </c>
      <c r="D2057" t="str">
        <f t="shared" si="225"/>
        <v>11</v>
      </c>
      <c r="E2057" t="str">
        <f t="shared" si="226"/>
        <v>21</v>
      </c>
      <c r="F2057">
        <f t="shared" si="227"/>
        <v>2012</v>
      </c>
      <c r="G2057">
        <f t="shared" si="228"/>
        <v>11</v>
      </c>
      <c r="H2057">
        <f t="shared" si="229"/>
        <v>21</v>
      </c>
      <c r="I2057" t="str">
        <f t="shared" si="230"/>
        <v>12</v>
      </c>
    </row>
    <row r="2058" spans="1:9" x14ac:dyDescent="0.25">
      <c r="A2058" s="19">
        <v>41109</v>
      </c>
      <c r="B2058" s="20">
        <v>6.458333333333334E-2</v>
      </c>
      <c r="C2058" t="str">
        <f t="shared" si="224"/>
        <v>12</v>
      </c>
      <c r="D2058" t="str">
        <f t="shared" si="225"/>
        <v>07</v>
      </c>
      <c r="E2058" t="str">
        <f t="shared" si="226"/>
        <v>19</v>
      </c>
      <c r="F2058">
        <f t="shared" si="227"/>
        <v>2012</v>
      </c>
      <c r="G2058">
        <f t="shared" si="228"/>
        <v>7</v>
      </c>
      <c r="H2058">
        <f t="shared" si="229"/>
        <v>19</v>
      </c>
      <c r="I2058" t="str">
        <f t="shared" si="230"/>
        <v>12</v>
      </c>
    </row>
    <row r="2059" spans="1:9" x14ac:dyDescent="0.25">
      <c r="A2059" s="19">
        <v>42871</v>
      </c>
      <c r="B2059" s="20">
        <v>3.472222222222222E-3</v>
      </c>
      <c r="C2059" t="str">
        <f t="shared" si="224"/>
        <v>17</v>
      </c>
      <c r="D2059" t="str">
        <f t="shared" si="225"/>
        <v>05</v>
      </c>
      <c r="E2059" t="str">
        <f t="shared" si="226"/>
        <v>16</v>
      </c>
      <c r="F2059">
        <f t="shared" si="227"/>
        <v>2017</v>
      </c>
      <c r="G2059">
        <f t="shared" si="228"/>
        <v>5</v>
      </c>
      <c r="H2059">
        <f t="shared" si="229"/>
        <v>16</v>
      </c>
      <c r="I2059" t="str">
        <f t="shared" si="230"/>
        <v>17</v>
      </c>
    </row>
    <row r="2060" spans="1:9" x14ac:dyDescent="0.25">
      <c r="A2060" s="19">
        <v>41671</v>
      </c>
      <c r="B2060" s="20">
        <v>6.1111111111111109E-2</v>
      </c>
      <c r="C2060" t="str">
        <f t="shared" si="224"/>
        <v>14</v>
      </c>
      <c r="D2060" t="str">
        <f t="shared" si="225"/>
        <v>02</v>
      </c>
      <c r="E2060" t="str">
        <f t="shared" si="226"/>
        <v>01</v>
      </c>
      <c r="F2060">
        <f t="shared" si="227"/>
        <v>2014</v>
      </c>
      <c r="G2060">
        <f t="shared" si="228"/>
        <v>2</v>
      </c>
      <c r="H2060">
        <f t="shared" si="229"/>
        <v>1</v>
      </c>
      <c r="I2060" t="str">
        <f t="shared" si="230"/>
        <v>14</v>
      </c>
    </row>
    <row r="2061" spans="1:9" x14ac:dyDescent="0.25">
      <c r="A2061" s="19">
        <v>42148</v>
      </c>
      <c r="B2061" s="20">
        <v>2.013888888888889E-2</v>
      </c>
      <c r="C2061" t="str">
        <f t="shared" si="224"/>
        <v>15</v>
      </c>
      <c r="D2061" t="str">
        <f t="shared" si="225"/>
        <v>05</v>
      </c>
      <c r="E2061" t="str">
        <f t="shared" si="226"/>
        <v>24</v>
      </c>
      <c r="F2061">
        <f t="shared" si="227"/>
        <v>2015</v>
      </c>
      <c r="G2061">
        <f t="shared" si="228"/>
        <v>5</v>
      </c>
      <c r="H2061">
        <f t="shared" si="229"/>
        <v>24</v>
      </c>
      <c r="I2061" t="str">
        <f t="shared" si="230"/>
        <v>15</v>
      </c>
    </row>
    <row r="2062" spans="1:9" x14ac:dyDescent="0.25">
      <c r="A2062" s="19">
        <v>42104</v>
      </c>
      <c r="B2062" s="20">
        <v>2.7777777777777776E-2</v>
      </c>
      <c r="C2062" t="str">
        <f t="shared" si="224"/>
        <v>15</v>
      </c>
      <c r="D2062" t="str">
        <f t="shared" si="225"/>
        <v>04</v>
      </c>
      <c r="E2062" t="str">
        <f t="shared" si="226"/>
        <v>10</v>
      </c>
      <c r="F2062">
        <f t="shared" si="227"/>
        <v>2015</v>
      </c>
      <c r="G2062">
        <f t="shared" si="228"/>
        <v>4</v>
      </c>
      <c r="H2062">
        <f t="shared" si="229"/>
        <v>10</v>
      </c>
      <c r="I2062" t="str">
        <f t="shared" si="230"/>
        <v>15</v>
      </c>
    </row>
    <row r="2063" spans="1:9" x14ac:dyDescent="0.25">
      <c r="A2063" s="19">
        <v>42512</v>
      </c>
      <c r="B2063" s="20">
        <v>0.05</v>
      </c>
      <c r="C2063" t="str">
        <f t="shared" si="224"/>
        <v>16</v>
      </c>
      <c r="D2063" t="str">
        <f t="shared" si="225"/>
        <v>05</v>
      </c>
      <c r="E2063" t="str">
        <f t="shared" si="226"/>
        <v>22</v>
      </c>
      <c r="F2063">
        <f t="shared" si="227"/>
        <v>2016</v>
      </c>
      <c r="G2063">
        <f t="shared" si="228"/>
        <v>5</v>
      </c>
      <c r="H2063">
        <f t="shared" si="229"/>
        <v>22</v>
      </c>
      <c r="I2063" t="str">
        <f t="shared" si="230"/>
        <v>16</v>
      </c>
    </row>
    <row r="2064" spans="1:9" x14ac:dyDescent="0.25">
      <c r="A2064" s="19">
        <v>41219</v>
      </c>
      <c r="B2064" s="20">
        <v>2.2916666666666665E-2</v>
      </c>
      <c r="C2064" t="str">
        <f t="shared" si="224"/>
        <v>12</v>
      </c>
      <c r="D2064" t="str">
        <f t="shared" si="225"/>
        <v>11</v>
      </c>
      <c r="E2064" t="str">
        <f t="shared" si="226"/>
        <v>06</v>
      </c>
      <c r="F2064">
        <f t="shared" si="227"/>
        <v>2012</v>
      </c>
      <c r="G2064">
        <f t="shared" si="228"/>
        <v>11</v>
      </c>
      <c r="H2064">
        <f t="shared" si="229"/>
        <v>6</v>
      </c>
      <c r="I2064" t="str">
        <f t="shared" si="230"/>
        <v>12</v>
      </c>
    </row>
    <row r="2065" spans="1:9" x14ac:dyDescent="0.25">
      <c r="A2065" s="19">
        <v>41649</v>
      </c>
      <c r="B2065" s="20">
        <v>1.5277777777777777E-2</v>
      </c>
      <c r="C2065" t="str">
        <f t="shared" si="224"/>
        <v>14</v>
      </c>
      <c r="D2065" t="str">
        <f t="shared" si="225"/>
        <v>01</v>
      </c>
      <c r="E2065" t="str">
        <f t="shared" si="226"/>
        <v>10</v>
      </c>
      <c r="F2065">
        <f t="shared" si="227"/>
        <v>2014</v>
      </c>
      <c r="G2065">
        <f t="shared" si="228"/>
        <v>1</v>
      </c>
      <c r="H2065">
        <f t="shared" si="229"/>
        <v>10</v>
      </c>
      <c r="I2065" t="str">
        <f t="shared" si="230"/>
        <v>14</v>
      </c>
    </row>
    <row r="2066" spans="1:9" x14ac:dyDescent="0.25">
      <c r="A2066" s="19">
        <v>41959</v>
      </c>
      <c r="B2066" s="20">
        <v>0.94097222222222221</v>
      </c>
      <c r="C2066" t="str">
        <f t="shared" si="224"/>
        <v>14</v>
      </c>
      <c r="D2066" t="str">
        <f t="shared" si="225"/>
        <v>11</v>
      </c>
      <c r="E2066" t="str">
        <f t="shared" si="226"/>
        <v>16</v>
      </c>
      <c r="F2066">
        <f t="shared" si="227"/>
        <v>2014</v>
      </c>
      <c r="G2066">
        <f t="shared" si="228"/>
        <v>11</v>
      </c>
      <c r="H2066">
        <f t="shared" si="229"/>
        <v>16</v>
      </c>
      <c r="I2066" t="str">
        <f t="shared" si="230"/>
        <v>14</v>
      </c>
    </row>
    <row r="2067" spans="1:9" x14ac:dyDescent="0.25">
      <c r="A2067" s="19">
        <v>41830</v>
      </c>
      <c r="B2067" s="20">
        <v>0.97499999999999998</v>
      </c>
      <c r="C2067" t="str">
        <f t="shared" si="224"/>
        <v>14</v>
      </c>
      <c r="D2067" t="str">
        <f t="shared" si="225"/>
        <v>07</v>
      </c>
      <c r="E2067" t="str">
        <f t="shared" si="226"/>
        <v>10</v>
      </c>
      <c r="F2067">
        <f t="shared" si="227"/>
        <v>2014</v>
      </c>
      <c r="G2067">
        <f t="shared" si="228"/>
        <v>7</v>
      </c>
      <c r="H2067">
        <f t="shared" si="229"/>
        <v>10</v>
      </c>
      <c r="I2067" t="str">
        <f t="shared" si="230"/>
        <v>14</v>
      </c>
    </row>
    <row r="2068" spans="1:9" x14ac:dyDescent="0.25">
      <c r="A2068" s="19">
        <v>41850</v>
      </c>
      <c r="B2068" s="20">
        <v>0.97986111111111107</v>
      </c>
      <c r="C2068" t="str">
        <f t="shared" si="224"/>
        <v>14</v>
      </c>
      <c r="D2068" t="str">
        <f t="shared" si="225"/>
        <v>07</v>
      </c>
      <c r="E2068" t="str">
        <f t="shared" si="226"/>
        <v>30</v>
      </c>
      <c r="F2068">
        <f t="shared" si="227"/>
        <v>2014</v>
      </c>
      <c r="G2068">
        <f t="shared" si="228"/>
        <v>7</v>
      </c>
      <c r="H2068">
        <f t="shared" si="229"/>
        <v>30</v>
      </c>
      <c r="I2068" t="str">
        <f t="shared" si="230"/>
        <v>14</v>
      </c>
    </row>
    <row r="2069" spans="1:9" x14ac:dyDescent="0.25">
      <c r="A2069" s="19">
        <v>41734</v>
      </c>
      <c r="B2069" s="20">
        <v>2.2222222222222223E-2</v>
      </c>
      <c r="C2069" t="str">
        <f t="shared" si="224"/>
        <v>14</v>
      </c>
      <c r="D2069" t="str">
        <f t="shared" si="225"/>
        <v>04</v>
      </c>
      <c r="E2069" t="str">
        <f t="shared" si="226"/>
        <v>05</v>
      </c>
      <c r="F2069">
        <f t="shared" si="227"/>
        <v>2014</v>
      </c>
      <c r="G2069">
        <f t="shared" si="228"/>
        <v>4</v>
      </c>
      <c r="H2069">
        <f t="shared" si="229"/>
        <v>5</v>
      </c>
      <c r="I2069" t="str">
        <f t="shared" si="230"/>
        <v>14</v>
      </c>
    </row>
    <row r="2070" spans="1:9" x14ac:dyDescent="0.25">
      <c r="A2070" s="19">
        <v>41097</v>
      </c>
      <c r="B2070" s="20">
        <v>7.2916666666666671E-2</v>
      </c>
      <c r="C2070" t="str">
        <f t="shared" si="224"/>
        <v>12</v>
      </c>
      <c r="D2070" t="str">
        <f t="shared" si="225"/>
        <v>07</v>
      </c>
      <c r="E2070" t="str">
        <f t="shared" si="226"/>
        <v>07</v>
      </c>
      <c r="F2070">
        <f t="shared" si="227"/>
        <v>2012</v>
      </c>
      <c r="G2070">
        <f t="shared" si="228"/>
        <v>7</v>
      </c>
      <c r="H2070">
        <f t="shared" si="229"/>
        <v>7</v>
      </c>
      <c r="I2070" t="str">
        <f t="shared" si="230"/>
        <v>12</v>
      </c>
    </row>
    <row r="2071" spans="1:9" x14ac:dyDescent="0.25">
      <c r="A2071" s="19">
        <v>41133</v>
      </c>
      <c r="B2071" s="20">
        <v>2.8472222222222222E-2</v>
      </c>
      <c r="C2071" t="str">
        <f t="shared" si="224"/>
        <v>12</v>
      </c>
      <c r="D2071" t="str">
        <f t="shared" si="225"/>
        <v>08</v>
      </c>
      <c r="E2071" t="str">
        <f t="shared" si="226"/>
        <v>12</v>
      </c>
      <c r="F2071">
        <f t="shared" si="227"/>
        <v>2012</v>
      </c>
      <c r="G2071">
        <f t="shared" si="228"/>
        <v>8</v>
      </c>
      <c r="H2071">
        <f t="shared" si="229"/>
        <v>12</v>
      </c>
      <c r="I2071" t="str">
        <f t="shared" si="230"/>
        <v>12</v>
      </c>
    </row>
    <row r="2072" spans="1:9" x14ac:dyDescent="0.25">
      <c r="A2072" s="19">
        <v>41418</v>
      </c>
      <c r="B2072" s="20">
        <v>1.1111111111111112E-2</v>
      </c>
      <c r="C2072" t="str">
        <f t="shared" si="224"/>
        <v>13</v>
      </c>
      <c r="D2072" t="str">
        <f t="shared" si="225"/>
        <v>05</v>
      </c>
      <c r="E2072" t="str">
        <f t="shared" si="226"/>
        <v>24</v>
      </c>
      <c r="F2072">
        <f t="shared" si="227"/>
        <v>2013</v>
      </c>
      <c r="G2072">
        <f t="shared" si="228"/>
        <v>5</v>
      </c>
      <c r="H2072">
        <f t="shared" si="229"/>
        <v>24</v>
      </c>
      <c r="I2072" t="str">
        <f t="shared" si="230"/>
        <v>13</v>
      </c>
    </row>
    <row r="2073" spans="1:9" x14ac:dyDescent="0.25">
      <c r="A2073" s="19">
        <v>41995</v>
      </c>
      <c r="B2073" s="20">
        <v>0.98124999999999996</v>
      </c>
      <c r="C2073" t="str">
        <f t="shared" si="224"/>
        <v>14</v>
      </c>
      <c r="D2073" t="str">
        <f t="shared" si="225"/>
        <v>12</v>
      </c>
      <c r="E2073" t="str">
        <f t="shared" si="226"/>
        <v>22</v>
      </c>
      <c r="F2073">
        <f t="shared" si="227"/>
        <v>2014</v>
      </c>
      <c r="G2073">
        <f t="shared" si="228"/>
        <v>12</v>
      </c>
      <c r="H2073">
        <f t="shared" si="229"/>
        <v>22</v>
      </c>
      <c r="I2073" t="str">
        <f t="shared" si="230"/>
        <v>14</v>
      </c>
    </row>
    <row r="2074" spans="1:9" x14ac:dyDescent="0.25">
      <c r="A2074" s="19">
        <v>41255</v>
      </c>
      <c r="B2074" s="20">
        <v>2.2916666666666665E-2</v>
      </c>
      <c r="C2074" t="str">
        <f t="shared" si="224"/>
        <v>12</v>
      </c>
      <c r="D2074" t="str">
        <f t="shared" si="225"/>
        <v>12</v>
      </c>
      <c r="E2074" t="str">
        <f t="shared" si="226"/>
        <v>12</v>
      </c>
      <c r="F2074">
        <f t="shared" si="227"/>
        <v>2012</v>
      </c>
      <c r="G2074">
        <f t="shared" si="228"/>
        <v>12</v>
      </c>
      <c r="H2074">
        <f t="shared" si="229"/>
        <v>12</v>
      </c>
      <c r="I2074" t="str">
        <f t="shared" si="230"/>
        <v>12</v>
      </c>
    </row>
    <row r="2075" spans="1:9" x14ac:dyDescent="0.25">
      <c r="A2075" s="19">
        <v>41972</v>
      </c>
      <c r="B2075" s="20">
        <v>6.9444444444444447E-4</v>
      </c>
      <c r="C2075" t="str">
        <f t="shared" si="224"/>
        <v>14</v>
      </c>
      <c r="D2075" t="str">
        <f t="shared" si="225"/>
        <v>11</v>
      </c>
      <c r="E2075" t="str">
        <f t="shared" si="226"/>
        <v>29</v>
      </c>
      <c r="F2075">
        <f t="shared" si="227"/>
        <v>2014</v>
      </c>
      <c r="G2075">
        <f t="shared" si="228"/>
        <v>11</v>
      </c>
      <c r="H2075">
        <f t="shared" si="229"/>
        <v>29</v>
      </c>
      <c r="I2075" t="str">
        <f t="shared" si="230"/>
        <v>14</v>
      </c>
    </row>
    <row r="2076" spans="1:9" x14ac:dyDescent="0.25">
      <c r="A2076" s="19">
        <v>41277</v>
      </c>
      <c r="B2076" s="20">
        <v>2.7777777777777779E-3</v>
      </c>
      <c r="C2076" t="str">
        <f t="shared" si="224"/>
        <v>13</v>
      </c>
      <c r="D2076" t="str">
        <f t="shared" si="225"/>
        <v>01</v>
      </c>
      <c r="E2076" t="str">
        <f t="shared" si="226"/>
        <v>03</v>
      </c>
      <c r="F2076">
        <f t="shared" si="227"/>
        <v>2013</v>
      </c>
      <c r="G2076">
        <f t="shared" si="228"/>
        <v>1</v>
      </c>
      <c r="H2076">
        <f t="shared" si="229"/>
        <v>3</v>
      </c>
      <c r="I2076" t="str">
        <f t="shared" si="230"/>
        <v>13</v>
      </c>
    </row>
    <row r="2077" spans="1:9" x14ac:dyDescent="0.25">
      <c r="A2077" s="19">
        <v>41536</v>
      </c>
      <c r="B2077" s="20">
        <v>5.9722222222222225E-2</v>
      </c>
      <c r="C2077" t="str">
        <f t="shared" si="224"/>
        <v>13</v>
      </c>
      <c r="D2077" t="str">
        <f t="shared" si="225"/>
        <v>09</v>
      </c>
      <c r="E2077" t="str">
        <f t="shared" si="226"/>
        <v>19</v>
      </c>
      <c r="F2077">
        <f t="shared" si="227"/>
        <v>2013</v>
      </c>
      <c r="G2077">
        <f t="shared" si="228"/>
        <v>9</v>
      </c>
      <c r="H2077">
        <f t="shared" si="229"/>
        <v>19</v>
      </c>
      <c r="I2077" t="str">
        <f t="shared" si="230"/>
        <v>13</v>
      </c>
    </row>
    <row r="2078" spans="1:9" x14ac:dyDescent="0.25">
      <c r="A2078" s="19">
        <v>42603</v>
      </c>
      <c r="B2078" s="20">
        <v>0.96388888888888891</v>
      </c>
      <c r="C2078" t="str">
        <f t="shared" si="224"/>
        <v>16</v>
      </c>
      <c r="D2078" t="str">
        <f t="shared" si="225"/>
        <v>08</v>
      </c>
      <c r="E2078" t="str">
        <f t="shared" si="226"/>
        <v>21</v>
      </c>
      <c r="F2078">
        <f t="shared" si="227"/>
        <v>2016</v>
      </c>
      <c r="G2078">
        <f t="shared" si="228"/>
        <v>8</v>
      </c>
      <c r="H2078">
        <f t="shared" si="229"/>
        <v>21</v>
      </c>
      <c r="I2078" t="str">
        <f t="shared" si="230"/>
        <v>16</v>
      </c>
    </row>
    <row r="2079" spans="1:9" x14ac:dyDescent="0.25">
      <c r="A2079" s="19">
        <v>41865</v>
      </c>
      <c r="B2079" s="20">
        <v>2.4305555555555556E-2</v>
      </c>
      <c r="C2079" t="str">
        <f t="shared" si="224"/>
        <v>14</v>
      </c>
      <c r="D2079" t="str">
        <f t="shared" si="225"/>
        <v>08</v>
      </c>
      <c r="E2079" t="str">
        <f t="shared" si="226"/>
        <v>14</v>
      </c>
      <c r="F2079">
        <f t="shared" si="227"/>
        <v>2014</v>
      </c>
      <c r="G2079">
        <f t="shared" si="228"/>
        <v>8</v>
      </c>
      <c r="H2079">
        <f t="shared" si="229"/>
        <v>14</v>
      </c>
      <c r="I2079" t="str">
        <f t="shared" si="230"/>
        <v>14</v>
      </c>
    </row>
    <row r="2080" spans="1:9" x14ac:dyDescent="0.25">
      <c r="A2080" s="19">
        <v>41693</v>
      </c>
      <c r="B2080" s="20">
        <v>1.3888888888888888E-2</v>
      </c>
      <c r="C2080" t="str">
        <f t="shared" si="224"/>
        <v>14</v>
      </c>
      <c r="D2080" t="str">
        <f t="shared" si="225"/>
        <v>02</v>
      </c>
      <c r="E2080" t="str">
        <f t="shared" si="226"/>
        <v>23</v>
      </c>
      <c r="F2080">
        <f t="shared" si="227"/>
        <v>2014</v>
      </c>
      <c r="G2080">
        <f t="shared" si="228"/>
        <v>2</v>
      </c>
      <c r="H2080">
        <f t="shared" si="229"/>
        <v>23</v>
      </c>
      <c r="I2080" t="str">
        <f t="shared" si="230"/>
        <v>14</v>
      </c>
    </row>
    <row r="2081" spans="1:9" x14ac:dyDescent="0.25">
      <c r="A2081" s="19">
        <v>41991</v>
      </c>
      <c r="B2081" s="20">
        <v>3.8194444444444448E-2</v>
      </c>
      <c r="C2081" t="str">
        <f t="shared" si="224"/>
        <v>14</v>
      </c>
      <c r="D2081" t="str">
        <f t="shared" si="225"/>
        <v>12</v>
      </c>
      <c r="E2081" t="str">
        <f t="shared" si="226"/>
        <v>18</v>
      </c>
      <c r="F2081">
        <f t="shared" si="227"/>
        <v>2014</v>
      </c>
      <c r="G2081">
        <f t="shared" si="228"/>
        <v>12</v>
      </c>
      <c r="H2081">
        <f t="shared" si="229"/>
        <v>18</v>
      </c>
      <c r="I2081" t="str">
        <f t="shared" si="230"/>
        <v>14</v>
      </c>
    </row>
    <row r="2082" spans="1:9" x14ac:dyDescent="0.25">
      <c r="A2082" s="19">
        <v>41098</v>
      </c>
      <c r="B2082" s="20">
        <v>6.1111111111111109E-2</v>
      </c>
      <c r="C2082" t="str">
        <f t="shared" si="224"/>
        <v>12</v>
      </c>
      <c r="D2082" t="str">
        <f t="shared" si="225"/>
        <v>07</v>
      </c>
      <c r="E2082" t="str">
        <f t="shared" si="226"/>
        <v>08</v>
      </c>
      <c r="F2082">
        <f t="shared" si="227"/>
        <v>2012</v>
      </c>
      <c r="G2082">
        <f t="shared" si="228"/>
        <v>7</v>
      </c>
      <c r="H2082">
        <f t="shared" si="229"/>
        <v>8</v>
      </c>
      <c r="I2082" t="str">
        <f t="shared" si="230"/>
        <v>12</v>
      </c>
    </row>
    <row r="2083" spans="1:9" x14ac:dyDescent="0.25">
      <c r="A2083" s="19">
        <v>41788</v>
      </c>
      <c r="B2083" s="20">
        <v>3.6805555555555557E-2</v>
      </c>
      <c r="C2083" t="str">
        <f t="shared" si="224"/>
        <v>14</v>
      </c>
      <c r="D2083" t="str">
        <f t="shared" si="225"/>
        <v>05</v>
      </c>
      <c r="E2083" t="str">
        <f t="shared" si="226"/>
        <v>29</v>
      </c>
      <c r="F2083">
        <f t="shared" si="227"/>
        <v>2014</v>
      </c>
      <c r="G2083">
        <f t="shared" si="228"/>
        <v>5</v>
      </c>
      <c r="H2083">
        <f t="shared" si="229"/>
        <v>29</v>
      </c>
      <c r="I2083" t="str">
        <f t="shared" si="230"/>
        <v>14</v>
      </c>
    </row>
    <row r="2084" spans="1:9" x14ac:dyDescent="0.25">
      <c r="A2084" s="19">
        <v>42096</v>
      </c>
      <c r="B2084" s="20">
        <v>0.97291666666666665</v>
      </c>
      <c r="C2084" t="str">
        <f t="shared" si="224"/>
        <v>15</v>
      </c>
      <c r="D2084" t="str">
        <f t="shared" si="225"/>
        <v>04</v>
      </c>
      <c r="E2084" t="str">
        <f t="shared" si="226"/>
        <v>02</v>
      </c>
      <c r="F2084">
        <f t="shared" si="227"/>
        <v>2015</v>
      </c>
      <c r="G2084">
        <f t="shared" si="228"/>
        <v>4</v>
      </c>
      <c r="H2084">
        <f t="shared" si="229"/>
        <v>2</v>
      </c>
      <c r="I2084" t="str">
        <f t="shared" si="230"/>
        <v>15</v>
      </c>
    </row>
    <row r="2085" spans="1:9" x14ac:dyDescent="0.25">
      <c r="A2085" s="19">
        <v>41754</v>
      </c>
      <c r="B2085" s="20">
        <v>0.96805555555555556</v>
      </c>
      <c r="C2085" t="str">
        <f t="shared" si="224"/>
        <v>14</v>
      </c>
      <c r="D2085" t="str">
        <f t="shared" si="225"/>
        <v>04</v>
      </c>
      <c r="E2085" t="str">
        <f t="shared" si="226"/>
        <v>25</v>
      </c>
      <c r="F2085">
        <f t="shared" si="227"/>
        <v>2014</v>
      </c>
      <c r="G2085">
        <f t="shared" si="228"/>
        <v>4</v>
      </c>
      <c r="H2085">
        <f t="shared" si="229"/>
        <v>25</v>
      </c>
      <c r="I2085" t="str">
        <f t="shared" si="230"/>
        <v>14</v>
      </c>
    </row>
    <row r="2086" spans="1:9" x14ac:dyDescent="0.25">
      <c r="A2086" s="19">
        <v>42828</v>
      </c>
      <c r="B2086" s="20">
        <v>0.97847222222222219</v>
      </c>
      <c r="C2086" t="str">
        <f t="shared" si="224"/>
        <v>17</v>
      </c>
      <c r="D2086" t="str">
        <f t="shared" si="225"/>
        <v>04</v>
      </c>
      <c r="E2086" t="str">
        <f t="shared" si="226"/>
        <v>03</v>
      </c>
      <c r="F2086">
        <f t="shared" si="227"/>
        <v>2017</v>
      </c>
      <c r="G2086">
        <f t="shared" si="228"/>
        <v>4</v>
      </c>
      <c r="H2086">
        <f t="shared" si="229"/>
        <v>3</v>
      </c>
      <c r="I2086" t="str">
        <f t="shared" si="230"/>
        <v>17</v>
      </c>
    </row>
    <row r="2087" spans="1:9" x14ac:dyDescent="0.25">
      <c r="A2087" s="19">
        <v>41415</v>
      </c>
      <c r="B2087" s="20">
        <v>1.5277777777777777E-2</v>
      </c>
      <c r="C2087" t="str">
        <f t="shared" si="224"/>
        <v>13</v>
      </c>
      <c r="D2087" t="str">
        <f t="shared" si="225"/>
        <v>05</v>
      </c>
      <c r="E2087" t="str">
        <f t="shared" si="226"/>
        <v>21</v>
      </c>
      <c r="F2087">
        <f t="shared" si="227"/>
        <v>2013</v>
      </c>
      <c r="G2087">
        <f t="shared" si="228"/>
        <v>5</v>
      </c>
      <c r="H2087">
        <f t="shared" si="229"/>
        <v>21</v>
      </c>
      <c r="I2087" t="str">
        <f t="shared" si="230"/>
        <v>13</v>
      </c>
    </row>
    <row r="2088" spans="1:9" x14ac:dyDescent="0.25">
      <c r="A2088" s="19">
        <v>41477</v>
      </c>
      <c r="B2088" s="20">
        <v>2.0833333333333333E-3</v>
      </c>
      <c r="C2088" t="str">
        <f t="shared" si="224"/>
        <v>13</v>
      </c>
      <c r="D2088" t="str">
        <f t="shared" si="225"/>
        <v>07</v>
      </c>
      <c r="E2088" t="str">
        <f t="shared" si="226"/>
        <v>22</v>
      </c>
      <c r="F2088">
        <f t="shared" si="227"/>
        <v>2013</v>
      </c>
      <c r="G2088">
        <f t="shared" si="228"/>
        <v>7</v>
      </c>
      <c r="H2088">
        <f t="shared" si="229"/>
        <v>22</v>
      </c>
      <c r="I2088" t="str">
        <f t="shared" si="230"/>
        <v>13</v>
      </c>
    </row>
    <row r="2089" spans="1:9" x14ac:dyDescent="0.25">
      <c r="A2089" s="19">
        <v>41002</v>
      </c>
      <c r="B2089" s="20">
        <v>3.7499999999999999E-2</v>
      </c>
      <c r="C2089" t="str">
        <f t="shared" si="224"/>
        <v>12</v>
      </c>
      <c r="D2089" t="str">
        <f t="shared" si="225"/>
        <v>04</v>
      </c>
      <c r="E2089" t="str">
        <f t="shared" si="226"/>
        <v>03</v>
      </c>
      <c r="F2089">
        <f t="shared" si="227"/>
        <v>2012</v>
      </c>
      <c r="G2089">
        <f t="shared" si="228"/>
        <v>4</v>
      </c>
      <c r="H2089">
        <f t="shared" si="229"/>
        <v>3</v>
      </c>
      <c r="I2089" t="str">
        <f t="shared" si="230"/>
        <v>12</v>
      </c>
    </row>
    <row r="2090" spans="1:9" x14ac:dyDescent="0.25">
      <c r="A2090" s="19">
        <v>42901</v>
      </c>
      <c r="B2090" s="20">
        <v>2.7777777777777779E-3</v>
      </c>
      <c r="C2090" t="str">
        <f t="shared" si="224"/>
        <v>17</v>
      </c>
      <c r="D2090" t="str">
        <f t="shared" si="225"/>
        <v>06</v>
      </c>
      <c r="E2090" t="str">
        <f t="shared" si="226"/>
        <v>15</v>
      </c>
      <c r="F2090">
        <f t="shared" si="227"/>
        <v>2017</v>
      </c>
      <c r="G2090">
        <f t="shared" si="228"/>
        <v>6</v>
      </c>
      <c r="H2090">
        <f t="shared" si="229"/>
        <v>15</v>
      </c>
      <c r="I2090" t="str">
        <f t="shared" si="230"/>
        <v>17</v>
      </c>
    </row>
    <row r="2091" spans="1:9" x14ac:dyDescent="0.25">
      <c r="A2091" s="19">
        <v>41723</v>
      </c>
      <c r="B2091" s="20">
        <v>0.98263888888888884</v>
      </c>
      <c r="C2091" t="str">
        <f t="shared" si="224"/>
        <v>14</v>
      </c>
      <c r="D2091" t="str">
        <f t="shared" si="225"/>
        <v>03</v>
      </c>
      <c r="E2091" t="str">
        <f t="shared" si="226"/>
        <v>25</v>
      </c>
      <c r="F2091">
        <f t="shared" si="227"/>
        <v>2014</v>
      </c>
      <c r="G2091">
        <f t="shared" si="228"/>
        <v>3</v>
      </c>
      <c r="H2091">
        <f t="shared" si="229"/>
        <v>25</v>
      </c>
      <c r="I2091" t="str">
        <f t="shared" si="230"/>
        <v>14</v>
      </c>
    </row>
    <row r="2092" spans="1:9" x14ac:dyDescent="0.25">
      <c r="A2092" s="19">
        <v>41524</v>
      </c>
      <c r="B2092" s="20">
        <v>7.6388888888888886E-3</v>
      </c>
      <c r="C2092" t="str">
        <f t="shared" si="224"/>
        <v>13</v>
      </c>
      <c r="D2092" t="str">
        <f t="shared" si="225"/>
        <v>09</v>
      </c>
      <c r="E2092" t="str">
        <f t="shared" si="226"/>
        <v>07</v>
      </c>
      <c r="F2092">
        <f t="shared" si="227"/>
        <v>2013</v>
      </c>
      <c r="G2092">
        <f t="shared" si="228"/>
        <v>9</v>
      </c>
      <c r="H2092">
        <f t="shared" si="229"/>
        <v>7</v>
      </c>
      <c r="I2092" t="str">
        <f t="shared" si="230"/>
        <v>13</v>
      </c>
    </row>
    <row r="2093" spans="1:9" x14ac:dyDescent="0.25">
      <c r="A2093" s="19">
        <v>42083</v>
      </c>
      <c r="B2093" s="20">
        <v>4.5138888888888888E-2</v>
      </c>
      <c r="C2093" t="str">
        <f t="shared" si="224"/>
        <v>15</v>
      </c>
      <c r="D2093" t="str">
        <f t="shared" si="225"/>
        <v>03</v>
      </c>
      <c r="E2093" t="str">
        <f t="shared" si="226"/>
        <v>20</v>
      </c>
      <c r="F2093">
        <f t="shared" si="227"/>
        <v>2015</v>
      </c>
      <c r="G2093">
        <f t="shared" si="228"/>
        <v>3</v>
      </c>
      <c r="H2093">
        <f t="shared" si="229"/>
        <v>20</v>
      </c>
      <c r="I2093" t="str">
        <f t="shared" si="230"/>
        <v>15</v>
      </c>
    </row>
    <row r="2094" spans="1:9" x14ac:dyDescent="0.25">
      <c r="A2094" s="19">
        <v>42182</v>
      </c>
      <c r="B2094" s="20">
        <v>4.8611111111111112E-3</v>
      </c>
      <c r="C2094" t="str">
        <f t="shared" si="224"/>
        <v>15</v>
      </c>
      <c r="D2094" t="str">
        <f t="shared" si="225"/>
        <v>06</v>
      </c>
      <c r="E2094" t="str">
        <f t="shared" si="226"/>
        <v>27</v>
      </c>
      <c r="F2094">
        <f t="shared" si="227"/>
        <v>2015</v>
      </c>
      <c r="G2094">
        <f t="shared" si="228"/>
        <v>6</v>
      </c>
      <c r="H2094">
        <f t="shared" si="229"/>
        <v>27</v>
      </c>
      <c r="I2094" t="str">
        <f t="shared" si="230"/>
        <v>15</v>
      </c>
    </row>
    <row r="2095" spans="1:9" x14ac:dyDescent="0.25">
      <c r="A2095" s="19">
        <v>42142</v>
      </c>
      <c r="B2095" s="20">
        <v>3.2638888888888891E-2</v>
      </c>
      <c r="C2095" t="str">
        <f t="shared" si="224"/>
        <v>15</v>
      </c>
      <c r="D2095" t="str">
        <f t="shared" si="225"/>
        <v>05</v>
      </c>
      <c r="E2095" t="str">
        <f t="shared" si="226"/>
        <v>18</v>
      </c>
      <c r="F2095">
        <f t="shared" si="227"/>
        <v>2015</v>
      </c>
      <c r="G2095">
        <f t="shared" si="228"/>
        <v>5</v>
      </c>
      <c r="H2095">
        <f t="shared" si="229"/>
        <v>18</v>
      </c>
      <c r="I2095" t="str">
        <f t="shared" si="230"/>
        <v>15</v>
      </c>
    </row>
    <row r="2096" spans="1:9" x14ac:dyDescent="0.25">
      <c r="A2096" s="19">
        <v>41762</v>
      </c>
      <c r="B2096" s="20">
        <v>6.9444444444444448E-2</v>
      </c>
      <c r="C2096" t="str">
        <f t="shared" si="224"/>
        <v>14</v>
      </c>
      <c r="D2096" t="str">
        <f t="shared" si="225"/>
        <v>05</v>
      </c>
      <c r="E2096" t="str">
        <f t="shared" si="226"/>
        <v>03</v>
      </c>
      <c r="F2096">
        <f t="shared" si="227"/>
        <v>2014</v>
      </c>
      <c r="G2096">
        <f t="shared" si="228"/>
        <v>5</v>
      </c>
      <c r="H2096">
        <f t="shared" si="229"/>
        <v>3</v>
      </c>
      <c r="I2096" t="str">
        <f t="shared" si="230"/>
        <v>14</v>
      </c>
    </row>
    <row r="2097" spans="1:9" x14ac:dyDescent="0.25">
      <c r="A2097" s="19">
        <v>42228</v>
      </c>
      <c r="B2097" s="20">
        <v>3.1944444444444442E-2</v>
      </c>
      <c r="C2097" t="str">
        <f t="shared" si="224"/>
        <v>15</v>
      </c>
      <c r="D2097" t="str">
        <f t="shared" si="225"/>
        <v>08</v>
      </c>
      <c r="E2097" t="str">
        <f t="shared" si="226"/>
        <v>12</v>
      </c>
      <c r="F2097">
        <f t="shared" si="227"/>
        <v>2015</v>
      </c>
      <c r="G2097">
        <f t="shared" si="228"/>
        <v>8</v>
      </c>
      <c r="H2097">
        <f t="shared" si="229"/>
        <v>12</v>
      </c>
      <c r="I2097" t="str">
        <f t="shared" si="230"/>
        <v>15</v>
      </c>
    </row>
    <row r="2098" spans="1:9" x14ac:dyDescent="0.25">
      <c r="A2098" s="19">
        <v>41355</v>
      </c>
      <c r="B2098" s="20">
        <v>2.2222222222222223E-2</v>
      </c>
      <c r="C2098" t="str">
        <f t="shared" si="224"/>
        <v>13</v>
      </c>
      <c r="D2098" t="str">
        <f t="shared" si="225"/>
        <v>03</v>
      </c>
      <c r="E2098" t="str">
        <f t="shared" si="226"/>
        <v>22</v>
      </c>
      <c r="F2098">
        <f t="shared" si="227"/>
        <v>2013</v>
      </c>
      <c r="G2098">
        <f t="shared" si="228"/>
        <v>3</v>
      </c>
      <c r="H2098">
        <f t="shared" si="229"/>
        <v>22</v>
      </c>
      <c r="I2098" t="str">
        <f t="shared" si="230"/>
        <v>13</v>
      </c>
    </row>
    <row r="2099" spans="1:9" x14ac:dyDescent="0.25">
      <c r="A2099" s="19">
        <v>41373</v>
      </c>
      <c r="B2099" s="20">
        <v>0.98402777777777772</v>
      </c>
      <c r="C2099" t="str">
        <f t="shared" si="224"/>
        <v>13</v>
      </c>
      <c r="D2099" t="str">
        <f t="shared" si="225"/>
        <v>04</v>
      </c>
      <c r="E2099" t="str">
        <f t="shared" si="226"/>
        <v>09</v>
      </c>
      <c r="F2099">
        <f t="shared" si="227"/>
        <v>2013</v>
      </c>
      <c r="G2099">
        <f t="shared" si="228"/>
        <v>4</v>
      </c>
      <c r="H2099">
        <f t="shared" si="229"/>
        <v>9</v>
      </c>
      <c r="I2099" t="str">
        <f t="shared" si="230"/>
        <v>13</v>
      </c>
    </row>
    <row r="2100" spans="1:9" x14ac:dyDescent="0.25">
      <c r="A2100" s="19">
        <v>41553</v>
      </c>
      <c r="B2100" s="20">
        <v>0.9770833333333333</v>
      </c>
      <c r="C2100" t="str">
        <f t="shared" si="224"/>
        <v>13</v>
      </c>
      <c r="D2100" t="str">
        <f t="shared" si="225"/>
        <v>10</v>
      </c>
      <c r="E2100" t="str">
        <f t="shared" si="226"/>
        <v>06</v>
      </c>
      <c r="F2100">
        <f t="shared" si="227"/>
        <v>2013</v>
      </c>
      <c r="G2100">
        <f t="shared" si="228"/>
        <v>10</v>
      </c>
      <c r="H2100">
        <f t="shared" si="229"/>
        <v>6</v>
      </c>
      <c r="I2100" t="str">
        <f t="shared" si="230"/>
        <v>13</v>
      </c>
    </row>
    <row r="2101" spans="1:9" x14ac:dyDescent="0.25">
      <c r="A2101" s="19">
        <v>41891</v>
      </c>
      <c r="B2101" s="20">
        <v>0.98472222222222228</v>
      </c>
      <c r="C2101" t="str">
        <f t="shared" si="224"/>
        <v>14</v>
      </c>
      <c r="D2101" t="str">
        <f t="shared" si="225"/>
        <v>09</v>
      </c>
      <c r="E2101" t="str">
        <f t="shared" si="226"/>
        <v>09</v>
      </c>
      <c r="F2101">
        <f t="shared" si="227"/>
        <v>2014</v>
      </c>
      <c r="G2101">
        <f t="shared" si="228"/>
        <v>9</v>
      </c>
      <c r="H2101">
        <f t="shared" si="229"/>
        <v>9</v>
      </c>
      <c r="I2101" t="str">
        <f t="shared" si="230"/>
        <v>14</v>
      </c>
    </row>
    <row r="2102" spans="1:9" x14ac:dyDescent="0.25">
      <c r="A2102" s="19">
        <v>41584</v>
      </c>
      <c r="B2102" s="20">
        <v>7.6388888888888886E-3</v>
      </c>
      <c r="C2102" t="str">
        <f t="shared" si="224"/>
        <v>13</v>
      </c>
      <c r="D2102" t="str">
        <f t="shared" si="225"/>
        <v>11</v>
      </c>
      <c r="E2102" t="str">
        <f t="shared" si="226"/>
        <v>06</v>
      </c>
      <c r="F2102">
        <f t="shared" si="227"/>
        <v>2013</v>
      </c>
      <c r="G2102">
        <f t="shared" si="228"/>
        <v>11</v>
      </c>
      <c r="H2102">
        <f t="shared" si="229"/>
        <v>6</v>
      </c>
      <c r="I2102" t="str">
        <f t="shared" si="230"/>
        <v>13</v>
      </c>
    </row>
    <row r="2103" spans="1:9" x14ac:dyDescent="0.25">
      <c r="A2103" s="19">
        <v>41574</v>
      </c>
      <c r="B2103" s="20">
        <v>2.7777777777777779E-3</v>
      </c>
      <c r="C2103" t="str">
        <f t="shared" si="224"/>
        <v>13</v>
      </c>
      <c r="D2103" t="str">
        <f t="shared" si="225"/>
        <v>10</v>
      </c>
      <c r="E2103" t="str">
        <f t="shared" si="226"/>
        <v>27</v>
      </c>
      <c r="F2103">
        <f t="shared" si="227"/>
        <v>2013</v>
      </c>
      <c r="G2103">
        <f t="shared" si="228"/>
        <v>10</v>
      </c>
      <c r="H2103">
        <f t="shared" si="229"/>
        <v>27</v>
      </c>
      <c r="I2103" t="str">
        <f t="shared" si="230"/>
        <v>13</v>
      </c>
    </row>
    <row r="2104" spans="1:9" x14ac:dyDescent="0.25">
      <c r="A2104" s="19">
        <v>42396</v>
      </c>
      <c r="B2104" s="20">
        <v>4.027777777777778E-2</v>
      </c>
      <c r="C2104" t="str">
        <f t="shared" si="224"/>
        <v>16</v>
      </c>
      <c r="D2104" t="str">
        <f t="shared" si="225"/>
        <v>01</v>
      </c>
      <c r="E2104" t="str">
        <f t="shared" si="226"/>
        <v>27</v>
      </c>
      <c r="F2104">
        <f t="shared" si="227"/>
        <v>2016</v>
      </c>
      <c r="G2104">
        <f t="shared" si="228"/>
        <v>1</v>
      </c>
      <c r="H2104">
        <f t="shared" si="229"/>
        <v>27</v>
      </c>
      <c r="I2104" t="str">
        <f t="shared" si="230"/>
        <v>16</v>
      </c>
    </row>
    <row r="2105" spans="1:9" x14ac:dyDescent="0.25">
      <c r="A2105" s="19">
        <v>41487</v>
      </c>
      <c r="B2105" s="20">
        <v>6.2500000000000003E-3</v>
      </c>
      <c r="C2105" t="str">
        <f t="shared" si="224"/>
        <v>13</v>
      </c>
      <c r="D2105" t="str">
        <f t="shared" si="225"/>
        <v>08</v>
      </c>
      <c r="E2105" t="str">
        <f t="shared" si="226"/>
        <v>01</v>
      </c>
      <c r="F2105">
        <f t="shared" si="227"/>
        <v>2013</v>
      </c>
      <c r="G2105">
        <f t="shared" si="228"/>
        <v>8</v>
      </c>
      <c r="H2105">
        <f t="shared" si="229"/>
        <v>1</v>
      </c>
      <c r="I2105" t="str">
        <f t="shared" si="230"/>
        <v>13</v>
      </c>
    </row>
    <row r="2106" spans="1:9" x14ac:dyDescent="0.25">
      <c r="A2106" s="19">
        <v>42468</v>
      </c>
      <c r="B2106" s="20">
        <v>0.95763888888888893</v>
      </c>
      <c r="C2106" t="str">
        <f t="shared" si="224"/>
        <v>16</v>
      </c>
      <c r="D2106" t="str">
        <f t="shared" si="225"/>
        <v>04</v>
      </c>
      <c r="E2106" t="str">
        <f t="shared" si="226"/>
        <v>08</v>
      </c>
      <c r="F2106">
        <f t="shared" si="227"/>
        <v>2016</v>
      </c>
      <c r="G2106">
        <f t="shared" si="228"/>
        <v>4</v>
      </c>
      <c r="H2106">
        <f t="shared" si="229"/>
        <v>8</v>
      </c>
      <c r="I2106" t="str">
        <f t="shared" si="230"/>
        <v>16</v>
      </c>
    </row>
    <row r="2107" spans="1:9" x14ac:dyDescent="0.25">
      <c r="A2107" s="19">
        <v>41247</v>
      </c>
      <c r="B2107" s="20">
        <v>3.472222222222222E-3</v>
      </c>
      <c r="C2107" t="str">
        <f t="shared" si="224"/>
        <v>12</v>
      </c>
      <c r="D2107" t="str">
        <f t="shared" si="225"/>
        <v>12</v>
      </c>
      <c r="E2107" t="str">
        <f t="shared" si="226"/>
        <v>04</v>
      </c>
      <c r="F2107">
        <f t="shared" si="227"/>
        <v>2012</v>
      </c>
      <c r="G2107">
        <f t="shared" si="228"/>
        <v>12</v>
      </c>
      <c r="H2107">
        <f t="shared" si="229"/>
        <v>4</v>
      </c>
      <c r="I2107" t="str">
        <f t="shared" si="230"/>
        <v>12</v>
      </c>
    </row>
    <row r="2108" spans="1:9" x14ac:dyDescent="0.25">
      <c r="A2108" s="19">
        <v>42148</v>
      </c>
      <c r="B2108" s="20">
        <v>4.8611111111111112E-3</v>
      </c>
      <c r="C2108" t="str">
        <f t="shared" si="224"/>
        <v>15</v>
      </c>
      <c r="D2108" t="str">
        <f t="shared" si="225"/>
        <v>05</v>
      </c>
      <c r="E2108" t="str">
        <f t="shared" si="226"/>
        <v>24</v>
      </c>
      <c r="F2108">
        <f t="shared" si="227"/>
        <v>2015</v>
      </c>
      <c r="G2108">
        <f t="shared" si="228"/>
        <v>5</v>
      </c>
      <c r="H2108">
        <f t="shared" si="229"/>
        <v>24</v>
      </c>
      <c r="I2108" t="str">
        <f t="shared" si="230"/>
        <v>15</v>
      </c>
    </row>
    <row r="2109" spans="1:9" x14ac:dyDescent="0.25">
      <c r="A2109" s="19">
        <v>41264</v>
      </c>
      <c r="B2109" s="20">
        <v>2.361111111111111E-2</v>
      </c>
      <c r="C2109" t="str">
        <f t="shared" si="224"/>
        <v>12</v>
      </c>
      <c r="D2109" t="str">
        <f t="shared" si="225"/>
        <v>12</v>
      </c>
      <c r="E2109" t="str">
        <f t="shared" si="226"/>
        <v>21</v>
      </c>
      <c r="F2109">
        <f t="shared" si="227"/>
        <v>2012</v>
      </c>
      <c r="G2109">
        <f t="shared" si="228"/>
        <v>12</v>
      </c>
      <c r="H2109">
        <f t="shared" si="229"/>
        <v>21</v>
      </c>
      <c r="I2109" t="str">
        <f t="shared" si="230"/>
        <v>12</v>
      </c>
    </row>
    <row r="2110" spans="1:9" x14ac:dyDescent="0.25">
      <c r="A2110" s="19">
        <v>41299</v>
      </c>
      <c r="B2110" s="20">
        <v>9.166666666666666E-2</v>
      </c>
      <c r="C2110" t="str">
        <f t="shared" si="224"/>
        <v>13</v>
      </c>
      <c r="D2110" t="str">
        <f t="shared" si="225"/>
        <v>01</v>
      </c>
      <c r="E2110" t="str">
        <f t="shared" si="226"/>
        <v>25</v>
      </c>
      <c r="F2110">
        <f t="shared" si="227"/>
        <v>2013</v>
      </c>
      <c r="G2110">
        <f t="shared" si="228"/>
        <v>1</v>
      </c>
      <c r="H2110">
        <f t="shared" si="229"/>
        <v>25</v>
      </c>
      <c r="I2110" t="str">
        <f t="shared" si="230"/>
        <v>13</v>
      </c>
    </row>
    <row r="2111" spans="1:9" x14ac:dyDescent="0.25">
      <c r="A2111" s="19">
        <v>42144</v>
      </c>
      <c r="B2111" s="20">
        <v>3.8194444444444448E-2</v>
      </c>
      <c r="C2111" t="str">
        <f t="shared" si="224"/>
        <v>15</v>
      </c>
      <c r="D2111" t="str">
        <f t="shared" si="225"/>
        <v>05</v>
      </c>
      <c r="E2111" t="str">
        <f t="shared" si="226"/>
        <v>20</v>
      </c>
      <c r="F2111">
        <f t="shared" si="227"/>
        <v>2015</v>
      </c>
      <c r="G2111">
        <f t="shared" si="228"/>
        <v>5</v>
      </c>
      <c r="H2111">
        <f t="shared" si="229"/>
        <v>20</v>
      </c>
      <c r="I2111" t="str">
        <f t="shared" si="230"/>
        <v>15</v>
      </c>
    </row>
    <row r="2112" spans="1:9" x14ac:dyDescent="0.25">
      <c r="A2112" s="19">
        <v>41392</v>
      </c>
      <c r="B2112" s="20">
        <v>5.7638888888888892E-2</v>
      </c>
      <c r="C2112" t="str">
        <f t="shared" si="224"/>
        <v>13</v>
      </c>
      <c r="D2112" t="str">
        <f t="shared" si="225"/>
        <v>04</v>
      </c>
      <c r="E2112" t="str">
        <f t="shared" si="226"/>
        <v>28</v>
      </c>
      <c r="F2112">
        <f t="shared" si="227"/>
        <v>2013</v>
      </c>
      <c r="G2112">
        <f t="shared" si="228"/>
        <v>4</v>
      </c>
      <c r="H2112">
        <f t="shared" si="229"/>
        <v>28</v>
      </c>
      <c r="I2112" t="str">
        <f t="shared" si="230"/>
        <v>13</v>
      </c>
    </row>
    <row r="2113" spans="1:9" x14ac:dyDescent="0.25">
      <c r="A2113" s="19">
        <v>42342</v>
      </c>
      <c r="B2113" s="20">
        <v>5.2777777777777778E-2</v>
      </c>
      <c r="C2113" t="str">
        <f t="shared" si="224"/>
        <v>15</v>
      </c>
      <c r="D2113" t="str">
        <f t="shared" si="225"/>
        <v>12</v>
      </c>
      <c r="E2113" t="str">
        <f t="shared" si="226"/>
        <v>04</v>
      </c>
      <c r="F2113">
        <f t="shared" si="227"/>
        <v>2015</v>
      </c>
      <c r="G2113">
        <f t="shared" si="228"/>
        <v>12</v>
      </c>
      <c r="H2113">
        <f t="shared" si="229"/>
        <v>4</v>
      </c>
      <c r="I2113" t="str">
        <f t="shared" si="230"/>
        <v>15</v>
      </c>
    </row>
    <row r="2114" spans="1:9" x14ac:dyDescent="0.25">
      <c r="A2114" s="19">
        <v>41278</v>
      </c>
      <c r="B2114" s="20">
        <v>3.0555555555555555E-2</v>
      </c>
      <c r="C2114" t="str">
        <f t="shared" si="224"/>
        <v>13</v>
      </c>
      <c r="D2114" t="str">
        <f t="shared" si="225"/>
        <v>01</v>
      </c>
      <c r="E2114" t="str">
        <f t="shared" si="226"/>
        <v>04</v>
      </c>
      <c r="F2114">
        <f t="shared" si="227"/>
        <v>2013</v>
      </c>
      <c r="G2114">
        <f t="shared" si="228"/>
        <v>1</v>
      </c>
      <c r="H2114">
        <f t="shared" si="229"/>
        <v>4</v>
      </c>
      <c r="I2114" t="str">
        <f t="shared" si="230"/>
        <v>13</v>
      </c>
    </row>
    <row r="2115" spans="1:9" x14ac:dyDescent="0.25">
      <c r="A2115" s="19">
        <v>42154</v>
      </c>
      <c r="B2115" s="20">
        <v>1.3888888888888888E-2</v>
      </c>
      <c r="C2115" t="str">
        <f t="shared" ref="C2115:C2178" si="231">TEXT(A2115,"YY")</f>
        <v>15</v>
      </c>
      <c r="D2115" t="str">
        <f t="shared" ref="D2115:D2178" si="232">TEXT(A2115,"mm")</f>
        <v>05</v>
      </c>
      <c r="E2115" t="str">
        <f t="shared" ref="E2115:E2178" si="233">TEXT(A2115,"dd")</f>
        <v>30</v>
      </c>
      <c r="F2115">
        <f t="shared" ref="F2115:F2178" si="234">YEAR($A2115)</f>
        <v>2015</v>
      </c>
      <c r="G2115">
        <f t="shared" ref="G2115:G2178" si="235">MONTH($A2115)</f>
        <v>5</v>
      </c>
      <c r="H2115">
        <f t="shared" ref="H2115:H2178" si="236">DAY($A2115)</f>
        <v>30</v>
      </c>
      <c r="I2115" t="str">
        <f t="shared" ref="I2115:I2178" si="237">TEXT($A2115,"YY")</f>
        <v>15</v>
      </c>
    </row>
    <row r="2116" spans="1:9" x14ac:dyDescent="0.25">
      <c r="A2116" s="19">
        <v>41814</v>
      </c>
      <c r="B2116" s="20">
        <v>7.013888888888889E-2</v>
      </c>
      <c r="C2116" t="str">
        <f t="shared" si="231"/>
        <v>14</v>
      </c>
      <c r="D2116" t="str">
        <f t="shared" si="232"/>
        <v>06</v>
      </c>
      <c r="E2116" t="str">
        <f t="shared" si="233"/>
        <v>24</v>
      </c>
      <c r="F2116">
        <f t="shared" si="234"/>
        <v>2014</v>
      </c>
      <c r="G2116">
        <f t="shared" si="235"/>
        <v>6</v>
      </c>
      <c r="H2116">
        <f t="shared" si="236"/>
        <v>24</v>
      </c>
      <c r="I2116" t="str">
        <f t="shared" si="237"/>
        <v>14</v>
      </c>
    </row>
    <row r="2117" spans="1:9" x14ac:dyDescent="0.25">
      <c r="A2117" s="19">
        <v>41330</v>
      </c>
      <c r="B2117" s="20">
        <v>3.2638888888888891E-2</v>
      </c>
      <c r="C2117" t="str">
        <f t="shared" si="231"/>
        <v>13</v>
      </c>
      <c r="D2117" t="str">
        <f t="shared" si="232"/>
        <v>02</v>
      </c>
      <c r="E2117" t="str">
        <f t="shared" si="233"/>
        <v>25</v>
      </c>
      <c r="F2117">
        <f t="shared" si="234"/>
        <v>2013</v>
      </c>
      <c r="G2117">
        <f t="shared" si="235"/>
        <v>2</v>
      </c>
      <c r="H2117">
        <f t="shared" si="236"/>
        <v>25</v>
      </c>
      <c r="I2117" t="str">
        <f t="shared" si="237"/>
        <v>13</v>
      </c>
    </row>
    <row r="2118" spans="1:9" x14ac:dyDescent="0.25">
      <c r="A2118" s="19">
        <v>41765</v>
      </c>
      <c r="B2118" s="20">
        <v>0.99375000000000002</v>
      </c>
      <c r="C2118" t="str">
        <f t="shared" si="231"/>
        <v>14</v>
      </c>
      <c r="D2118" t="str">
        <f t="shared" si="232"/>
        <v>05</v>
      </c>
      <c r="E2118" t="str">
        <f t="shared" si="233"/>
        <v>06</v>
      </c>
      <c r="F2118">
        <f t="shared" si="234"/>
        <v>2014</v>
      </c>
      <c r="G2118">
        <f t="shared" si="235"/>
        <v>5</v>
      </c>
      <c r="H2118">
        <f t="shared" si="236"/>
        <v>6</v>
      </c>
      <c r="I2118" t="str">
        <f t="shared" si="237"/>
        <v>14</v>
      </c>
    </row>
    <row r="2119" spans="1:9" x14ac:dyDescent="0.25">
      <c r="A2119" s="19">
        <v>42094</v>
      </c>
      <c r="B2119" s="20">
        <v>3.3333333333333333E-2</v>
      </c>
      <c r="C2119" t="str">
        <f t="shared" si="231"/>
        <v>15</v>
      </c>
      <c r="D2119" t="str">
        <f t="shared" si="232"/>
        <v>03</v>
      </c>
      <c r="E2119" t="str">
        <f t="shared" si="233"/>
        <v>31</v>
      </c>
      <c r="F2119">
        <f t="shared" si="234"/>
        <v>2015</v>
      </c>
      <c r="G2119">
        <f t="shared" si="235"/>
        <v>3</v>
      </c>
      <c r="H2119">
        <f t="shared" si="236"/>
        <v>31</v>
      </c>
      <c r="I2119" t="str">
        <f t="shared" si="237"/>
        <v>15</v>
      </c>
    </row>
    <row r="2120" spans="1:9" x14ac:dyDescent="0.25">
      <c r="A2120" s="19">
        <v>42272</v>
      </c>
      <c r="B2120" s="20">
        <v>1.3888888888888889E-3</v>
      </c>
      <c r="C2120" t="str">
        <f t="shared" si="231"/>
        <v>15</v>
      </c>
      <c r="D2120" t="str">
        <f t="shared" si="232"/>
        <v>09</v>
      </c>
      <c r="E2120" t="str">
        <f t="shared" si="233"/>
        <v>25</v>
      </c>
      <c r="F2120">
        <f t="shared" si="234"/>
        <v>2015</v>
      </c>
      <c r="G2120">
        <f t="shared" si="235"/>
        <v>9</v>
      </c>
      <c r="H2120">
        <f t="shared" si="236"/>
        <v>25</v>
      </c>
      <c r="I2120" t="str">
        <f t="shared" si="237"/>
        <v>15</v>
      </c>
    </row>
    <row r="2121" spans="1:9" x14ac:dyDescent="0.25">
      <c r="A2121" s="19">
        <v>42120</v>
      </c>
      <c r="B2121" s="20">
        <v>0.94374999999999998</v>
      </c>
      <c r="C2121" t="str">
        <f t="shared" si="231"/>
        <v>15</v>
      </c>
      <c r="D2121" t="str">
        <f t="shared" si="232"/>
        <v>04</v>
      </c>
      <c r="E2121" t="str">
        <f t="shared" si="233"/>
        <v>26</v>
      </c>
      <c r="F2121">
        <f t="shared" si="234"/>
        <v>2015</v>
      </c>
      <c r="G2121">
        <f t="shared" si="235"/>
        <v>4</v>
      </c>
      <c r="H2121">
        <f t="shared" si="236"/>
        <v>26</v>
      </c>
      <c r="I2121" t="str">
        <f t="shared" si="237"/>
        <v>15</v>
      </c>
    </row>
    <row r="2122" spans="1:9" x14ac:dyDescent="0.25">
      <c r="A2122" s="19">
        <v>41494</v>
      </c>
      <c r="B2122" s="20">
        <v>0.98055555555555551</v>
      </c>
      <c r="C2122" t="str">
        <f t="shared" si="231"/>
        <v>13</v>
      </c>
      <c r="D2122" t="str">
        <f t="shared" si="232"/>
        <v>08</v>
      </c>
      <c r="E2122" t="str">
        <f t="shared" si="233"/>
        <v>08</v>
      </c>
      <c r="F2122">
        <f t="shared" si="234"/>
        <v>2013</v>
      </c>
      <c r="G2122">
        <f t="shared" si="235"/>
        <v>8</v>
      </c>
      <c r="H2122">
        <f t="shared" si="236"/>
        <v>8</v>
      </c>
      <c r="I2122" t="str">
        <f t="shared" si="237"/>
        <v>13</v>
      </c>
    </row>
    <row r="2123" spans="1:9" x14ac:dyDescent="0.25">
      <c r="A2123" s="19">
        <v>41644</v>
      </c>
      <c r="B2123" s="20">
        <v>4.791666666666667E-2</v>
      </c>
      <c r="C2123" t="str">
        <f t="shared" si="231"/>
        <v>14</v>
      </c>
      <c r="D2123" t="str">
        <f t="shared" si="232"/>
        <v>01</v>
      </c>
      <c r="E2123" t="str">
        <f t="shared" si="233"/>
        <v>05</v>
      </c>
      <c r="F2123">
        <f t="shared" si="234"/>
        <v>2014</v>
      </c>
      <c r="G2123">
        <f t="shared" si="235"/>
        <v>1</v>
      </c>
      <c r="H2123">
        <f t="shared" si="236"/>
        <v>5</v>
      </c>
      <c r="I2123" t="str">
        <f t="shared" si="237"/>
        <v>14</v>
      </c>
    </row>
    <row r="2124" spans="1:9" x14ac:dyDescent="0.25">
      <c r="A2124" s="19">
        <v>41601</v>
      </c>
      <c r="B2124" s="20">
        <v>1.9444444444444445E-2</v>
      </c>
      <c r="C2124" t="str">
        <f t="shared" si="231"/>
        <v>13</v>
      </c>
      <c r="D2124" t="str">
        <f t="shared" si="232"/>
        <v>11</v>
      </c>
      <c r="E2124" t="str">
        <f t="shared" si="233"/>
        <v>23</v>
      </c>
      <c r="F2124">
        <f t="shared" si="234"/>
        <v>2013</v>
      </c>
      <c r="G2124">
        <f t="shared" si="235"/>
        <v>11</v>
      </c>
      <c r="H2124">
        <f t="shared" si="236"/>
        <v>23</v>
      </c>
      <c r="I2124" t="str">
        <f t="shared" si="237"/>
        <v>13</v>
      </c>
    </row>
    <row r="2125" spans="1:9" x14ac:dyDescent="0.25">
      <c r="A2125" s="19">
        <v>41196</v>
      </c>
      <c r="B2125" s="20">
        <v>2.7083333333333334E-2</v>
      </c>
      <c r="C2125" t="str">
        <f t="shared" si="231"/>
        <v>12</v>
      </c>
      <c r="D2125" t="str">
        <f t="shared" si="232"/>
        <v>10</v>
      </c>
      <c r="E2125" t="str">
        <f t="shared" si="233"/>
        <v>14</v>
      </c>
      <c r="F2125">
        <f t="shared" si="234"/>
        <v>2012</v>
      </c>
      <c r="G2125">
        <f t="shared" si="235"/>
        <v>10</v>
      </c>
      <c r="H2125">
        <f t="shared" si="236"/>
        <v>14</v>
      </c>
      <c r="I2125" t="str">
        <f t="shared" si="237"/>
        <v>12</v>
      </c>
    </row>
    <row r="2126" spans="1:9" x14ac:dyDescent="0.25">
      <c r="A2126" s="19">
        <v>42507</v>
      </c>
      <c r="B2126" s="20">
        <v>3.5416666666666666E-2</v>
      </c>
      <c r="C2126" t="str">
        <f t="shared" si="231"/>
        <v>16</v>
      </c>
      <c r="D2126" t="str">
        <f t="shared" si="232"/>
        <v>05</v>
      </c>
      <c r="E2126" t="str">
        <f t="shared" si="233"/>
        <v>17</v>
      </c>
      <c r="F2126">
        <f t="shared" si="234"/>
        <v>2016</v>
      </c>
      <c r="G2126">
        <f t="shared" si="235"/>
        <v>5</v>
      </c>
      <c r="H2126">
        <f t="shared" si="236"/>
        <v>17</v>
      </c>
      <c r="I2126" t="str">
        <f t="shared" si="237"/>
        <v>16</v>
      </c>
    </row>
    <row r="2127" spans="1:9" x14ac:dyDescent="0.25">
      <c r="A2127" s="19">
        <v>41400</v>
      </c>
      <c r="B2127" s="20">
        <v>0.99444444444444446</v>
      </c>
      <c r="C2127" t="str">
        <f t="shared" si="231"/>
        <v>13</v>
      </c>
      <c r="D2127" t="str">
        <f t="shared" si="232"/>
        <v>05</v>
      </c>
      <c r="E2127" t="str">
        <f t="shared" si="233"/>
        <v>06</v>
      </c>
      <c r="F2127">
        <f t="shared" si="234"/>
        <v>2013</v>
      </c>
      <c r="G2127">
        <f t="shared" si="235"/>
        <v>5</v>
      </c>
      <c r="H2127">
        <f t="shared" si="236"/>
        <v>6</v>
      </c>
      <c r="I2127" t="str">
        <f t="shared" si="237"/>
        <v>13</v>
      </c>
    </row>
    <row r="2128" spans="1:9" x14ac:dyDescent="0.25">
      <c r="A2128" s="19">
        <v>42209</v>
      </c>
      <c r="B2128" s="20">
        <v>5.486111111111111E-2</v>
      </c>
      <c r="C2128" t="str">
        <f t="shared" si="231"/>
        <v>15</v>
      </c>
      <c r="D2128" t="str">
        <f t="shared" si="232"/>
        <v>07</v>
      </c>
      <c r="E2128" t="str">
        <f t="shared" si="233"/>
        <v>24</v>
      </c>
      <c r="F2128">
        <f t="shared" si="234"/>
        <v>2015</v>
      </c>
      <c r="G2128">
        <f t="shared" si="235"/>
        <v>7</v>
      </c>
      <c r="H2128">
        <f t="shared" si="236"/>
        <v>24</v>
      </c>
      <c r="I2128" t="str">
        <f t="shared" si="237"/>
        <v>15</v>
      </c>
    </row>
    <row r="2129" spans="1:9" x14ac:dyDescent="0.25">
      <c r="A2129" s="19">
        <v>42030</v>
      </c>
      <c r="B2129" s="20">
        <v>0.99861111111111112</v>
      </c>
      <c r="C2129" t="str">
        <f t="shared" si="231"/>
        <v>15</v>
      </c>
      <c r="D2129" t="str">
        <f t="shared" si="232"/>
        <v>01</v>
      </c>
      <c r="E2129" t="str">
        <f t="shared" si="233"/>
        <v>26</v>
      </c>
      <c r="F2129">
        <f t="shared" si="234"/>
        <v>2015</v>
      </c>
      <c r="G2129">
        <f t="shared" si="235"/>
        <v>1</v>
      </c>
      <c r="H2129">
        <f t="shared" si="236"/>
        <v>26</v>
      </c>
      <c r="I2129" t="str">
        <f t="shared" si="237"/>
        <v>15</v>
      </c>
    </row>
    <row r="2130" spans="1:9" x14ac:dyDescent="0.25">
      <c r="A2130" s="19">
        <v>41257</v>
      </c>
      <c r="B2130" s="20">
        <v>2.7777777777777776E-2</v>
      </c>
      <c r="C2130" t="str">
        <f t="shared" si="231"/>
        <v>12</v>
      </c>
      <c r="D2130" t="str">
        <f t="shared" si="232"/>
        <v>12</v>
      </c>
      <c r="E2130" t="str">
        <f t="shared" si="233"/>
        <v>14</v>
      </c>
      <c r="F2130">
        <f t="shared" si="234"/>
        <v>2012</v>
      </c>
      <c r="G2130">
        <f t="shared" si="235"/>
        <v>12</v>
      </c>
      <c r="H2130">
        <f t="shared" si="236"/>
        <v>14</v>
      </c>
      <c r="I2130" t="str">
        <f t="shared" si="237"/>
        <v>12</v>
      </c>
    </row>
    <row r="2131" spans="1:9" x14ac:dyDescent="0.25">
      <c r="A2131" s="19">
        <v>41169</v>
      </c>
      <c r="B2131" s="20">
        <v>9.0277777777777769E-3</v>
      </c>
      <c r="C2131" t="str">
        <f t="shared" si="231"/>
        <v>12</v>
      </c>
      <c r="D2131" t="str">
        <f t="shared" si="232"/>
        <v>09</v>
      </c>
      <c r="E2131" t="str">
        <f t="shared" si="233"/>
        <v>17</v>
      </c>
      <c r="F2131">
        <f t="shared" si="234"/>
        <v>2012</v>
      </c>
      <c r="G2131">
        <f t="shared" si="235"/>
        <v>9</v>
      </c>
      <c r="H2131">
        <f t="shared" si="236"/>
        <v>17</v>
      </c>
      <c r="I2131" t="str">
        <f t="shared" si="237"/>
        <v>12</v>
      </c>
    </row>
    <row r="2132" spans="1:9" x14ac:dyDescent="0.25">
      <c r="A2132" s="19">
        <v>42486</v>
      </c>
      <c r="B2132" s="20">
        <v>4.7222222222222221E-2</v>
      </c>
      <c r="C2132" t="str">
        <f t="shared" si="231"/>
        <v>16</v>
      </c>
      <c r="D2132" t="str">
        <f t="shared" si="232"/>
        <v>04</v>
      </c>
      <c r="E2132" t="str">
        <f t="shared" si="233"/>
        <v>26</v>
      </c>
      <c r="F2132">
        <f t="shared" si="234"/>
        <v>2016</v>
      </c>
      <c r="G2132">
        <f t="shared" si="235"/>
        <v>4</v>
      </c>
      <c r="H2132">
        <f t="shared" si="236"/>
        <v>26</v>
      </c>
      <c r="I2132" t="str">
        <f t="shared" si="237"/>
        <v>16</v>
      </c>
    </row>
    <row r="2133" spans="1:9" x14ac:dyDescent="0.25">
      <c r="A2133" s="19">
        <v>41113</v>
      </c>
      <c r="B2133" s="20">
        <v>9.4444444444444442E-2</v>
      </c>
      <c r="C2133" t="str">
        <f t="shared" si="231"/>
        <v>12</v>
      </c>
      <c r="D2133" t="str">
        <f t="shared" si="232"/>
        <v>07</v>
      </c>
      <c r="E2133" t="str">
        <f t="shared" si="233"/>
        <v>23</v>
      </c>
      <c r="F2133">
        <f t="shared" si="234"/>
        <v>2012</v>
      </c>
      <c r="G2133">
        <f t="shared" si="235"/>
        <v>7</v>
      </c>
      <c r="H2133">
        <f t="shared" si="236"/>
        <v>23</v>
      </c>
      <c r="I2133" t="str">
        <f t="shared" si="237"/>
        <v>12</v>
      </c>
    </row>
    <row r="2134" spans="1:9" x14ac:dyDescent="0.25">
      <c r="A2134" s="19">
        <v>41639</v>
      </c>
      <c r="B2134" s="20">
        <v>0.9819444444444444</v>
      </c>
      <c r="C2134" t="str">
        <f t="shared" si="231"/>
        <v>13</v>
      </c>
      <c r="D2134" t="str">
        <f t="shared" si="232"/>
        <v>12</v>
      </c>
      <c r="E2134" t="str">
        <f t="shared" si="233"/>
        <v>31</v>
      </c>
      <c r="F2134">
        <f t="shared" si="234"/>
        <v>2013</v>
      </c>
      <c r="G2134">
        <f t="shared" si="235"/>
        <v>12</v>
      </c>
      <c r="H2134">
        <f t="shared" si="236"/>
        <v>31</v>
      </c>
      <c r="I2134" t="str">
        <f t="shared" si="237"/>
        <v>13</v>
      </c>
    </row>
    <row r="2135" spans="1:9" x14ac:dyDescent="0.25">
      <c r="A2135" s="19">
        <v>41041</v>
      </c>
      <c r="B2135" s="20">
        <v>0.99097222222222225</v>
      </c>
      <c r="C2135" t="str">
        <f t="shared" si="231"/>
        <v>12</v>
      </c>
      <c r="D2135" t="str">
        <f t="shared" si="232"/>
        <v>05</v>
      </c>
      <c r="E2135" t="str">
        <f t="shared" si="233"/>
        <v>12</v>
      </c>
      <c r="F2135">
        <f t="shared" si="234"/>
        <v>2012</v>
      </c>
      <c r="G2135">
        <f t="shared" si="235"/>
        <v>5</v>
      </c>
      <c r="H2135">
        <f t="shared" si="236"/>
        <v>12</v>
      </c>
      <c r="I2135" t="str">
        <f t="shared" si="237"/>
        <v>12</v>
      </c>
    </row>
    <row r="2136" spans="1:9" x14ac:dyDescent="0.25">
      <c r="A2136" s="19">
        <v>41051</v>
      </c>
      <c r="B2136" s="20">
        <v>0.98541666666666672</v>
      </c>
      <c r="C2136" t="str">
        <f t="shared" si="231"/>
        <v>12</v>
      </c>
      <c r="D2136" t="str">
        <f t="shared" si="232"/>
        <v>05</v>
      </c>
      <c r="E2136" t="str">
        <f t="shared" si="233"/>
        <v>22</v>
      </c>
      <c r="F2136">
        <f t="shared" si="234"/>
        <v>2012</v>
      </c>
      <c r="G2136">
        <f t="shared" si="235"/>
        <v>5</v>
      </c>
      <c r="H2136">
        <f t="shared" si="236"/>
        <v>22</v>
      </c>
      <c r="I2136" t="str">
        <f t="shared" si="237"/>
        <v>12</v>
      </c>
    </row>
    <row r="2137" spans="1:9" x14ac:dyDescent="0.25">
      <c r="A2137" s="19">
        <v>41664</v>
      </c>
      <c r="B2137" s="20">
        <v>7.8472222222222221E-2</v>
      </c>
      <c r="C2137" t="str">
        <f t="shared" si="231"/>
        <v>14</v>
      </c>
      <c r="D2137" t="str">
        <f t="shared" si="232"/>
        <v>01</v>
      </c>
      <c r="E2137" t="str">
        <f t="shared" si="233"/>
        <v>25</v>
      </c>
      <c r="F2137">
        <f t="shared" si="234"/>
        <v>2014</v>
      </c>
      <c r="G2137">
        <f t="shared" si="235"/>
        <v>1</v>
      </c>
      <c r="H2137">
        <f t="shared" si="236"/>
        <v>25</v>
      </c>
      <c r="I2137" t="str">
        <f t="shared" si="237"/>
        <v>14</v>
      </c>
    </row>
    <row r="2138" spans="1:9" x14ac:dyDescent="0.25">
      <c r="A2138" s="19">
        <v>41451</v>
      </c>
      <c r="B2138" s="20">
        <v>6.1805555555555558E-2</v>
      </c>
      <c r="C2138" t="str">
        <f t="shared" si="231"/>
        <v>13</v>
      </c>
      <c r="D2138" t="str">
        <f t="shared" si="232"/>
        <v>06</v>
      </c>
      <c r="E2138" t="str">
        <f t="shared" si="233"/>
        <v>26</v>
      </c>
      <c r="F2138">
        <f t="shared" si="234"/>
        <v>2013</v>
      </c>
      <c r="G2138">
        <f t="shared" si="235"/>
        <v>6</v>
      </c>
      <c r="H2138">
        <f t="shared" si="236"/>
        <v>26</v>
      </c>
      <c r="I2138" t="str">
        <f t="shared" si="237"/>
        <v>13</v>
      </c>
    </row>
    <row r="2139" spans="1:9" x14ac:dyDescent="0.25">
      <c r="A2139" s="19">
        <v>41710</v>
      </c>
      <c r="B2139" s="20">
        <v>4.6527777777777779E-2</v>
      </c>
      <c r="C2139" t="str">
        <f t="shared" si="231"/>
        <v>14</v>
      </c>
      <c r="D2139" t="str">
        <f t="shared" si="232"/>
        <v>03</v>
      </c>
      <c r="E2139" t="str">
        <f t="shared" si="233"/>
        <v>12</v>
      </c>
      <c r="F2139">
        <f t="shared" si="234"/>
        <v>2014</v>
      </c>
      <c r="G2139">
        <f t="shared" si="235"/>
        <v>3</v>
      </c>
      <c r="H2139">
        <f t="shared" si="236"/>
        <v>12</v>
      </c>
      <c r="I2139" t="str">
        <f t="shared" si="237"/>
        <v>14</v>
      </c>
    </row>
    <row r="2140" spans="1:9" x14ac:dyDescent="0.25">
      <c r="A2140" s="19">
        <v>42337</v>
      </c>
      <c r="B2140" s="20">
        <v>0.98611111111111116</v>
      </c>
      <c r="C2140" t="str">
        <f t="shared" si="231"/>
        <v>15</v>
      </c>
      <c r="D2140" t="str">
        <f t="shared" si="232"/>
        <v>11</v>
      </c>
      <c r="E2140" t="str">
        <f t="shared" si="233"/>
        <v>29</v>
      </c>
      <c r="F2140">
        <f t="shared" si="234"/>
        <v>2015</v>
      </c>
      <c r="G2140">
        <f t="shared" si="235"/>
        <v>11</v>
      </c>
      <c r="H2140">
        <f t="shared" si="236"/>
        <v>29</v>
      </c>
      <c r="I2140" t="str">
        <f t="shared" si="237"/>
        <v>15</v>
      </c>
    </row>
    <row r="2141" spans="1:9" x14ac:dyDescent="0.25">
      <c r="A2141" s="19">
        <v>41355</v>
      </c>
      <c r="B2141" s="20">
        <v>7.7083333333333337E-2</v>
      </c>
      <c r="C2141" t="str">
        <f t="shared" si="231"/>
        <v>13</v>
      </c>
      <c r="D2141" t="str">
        <f t="shared" si="232"/>
        <v>03</v>
      </c>
      <c r="E2141" t="str">
        <f t="shared" si="233"/>
        <v>22</v>
      </c>
      <c r="F2141">
        <f t="shared" si="234"/>
        <v>2013</v>
      </c>
      <c r="G2141">
        <f t="shared" si="235"/>
        <v>3</v>
      </c>
      <c r="H2141">
        <f t="shared" si="236"/>
        <v>22</v>
      </c>
      <c r="I2141" t="str">
        <f t="shared" si="237"/>
        <v>13</v>
      </c>
    </row>
    <row r="2142" spans="1:9" x14ac:dyDescent="0.25">
      <c r="A2142" s="19">
        <v>42277</v>
      </c>
      <c r="B2142" s="20">
        <v>5.9722222222222225E-2</v>
      </c>
      <c r="C2142" t="str">
        <f t="shared" si="231"/>
        <v>15</v>
      </c>
      <c r="D2142" t="str">
        <f t="shared" si="232"/>
        <v>09</v>
      </c>
      <c r="E2142" t="str">
        <f t="shared" si="233"/>
        <v>30</v>
      </c>
      <c r="F2142">
        <f t="shared" si="234"/>
        <v>2015</v>
      </c>
      <c r="G2142">
        <f t="shared" si="235"/>
        <v>9</v>
      </c>
      <c r="H2142">
        <f t="shared" si="236"/>
        <v>30</v>
      </c>
      <c r="I2142" t="str">
        <f t="shared" si="237"/>
        <v>15</v>
      </c>
    </row>
    <row r="2143" spans="1:9" x14ac:dyDescent="0.25">
      <c r="A2143" s="19">
        <v>42818</v>
      </c>
      <c r="B2143" s="20">
        <v>0.95416666666666672</v>
      </c>
      <c r="C2143" t="str">
        <f t="shared" si="231"/>
        <v>17</v>
      </c>
      <c r="D2143" t="str">
        <f t="shared" si="232"/>
        <v>03</v>
      </c>
      <c r="E2143" t="str">
        <f t="shared" si="233"/>
        <v>24</v>
      </c>
      <c r="F2143">
        <f t="shared" si="234"/>
        <v>2017</v>
      </c>
      <c r="G2143">
        <f t="shared" si="235"/>
        <v>3</v>
      </c>
      <c r="H2143">
        <f t="shared" si="236"/>
        <v>24</v>
      </c>
      <c r="I2143" t="str">
        <f t="shared" si="237"/>
        <v>17</v>
      </c>
    </row>
    <row r="2144" spans="1:9" x14ac:dyDescent="0.25">
      <c r="A2144" s="19">
        <v>41419</v>
      </c>
      <c r="B2144" s="20">
        <v>3.4027777777777775E-2</v>
      </c>
      <c r="C2144" t="str">
        <f t="shared" si="231"/>
        <v>13</v>
      </c>
      <c r="D2144" t="str">
        <f t="shared" si="232"/>
        <v>05</v>
      </c>
      <c r="E2144" t="str">
        <f t="shared" si="233"/>
        <v>25</v>
      </c>
      <c r="F2144">
        <f t="shared" si="234"/>
        <v>2013</v>
      </c>
      <c r="G2144">
        <f t="shared" si="235"/>
        <v>5</v>
      </c>
      <c r="H2144">
        <f t="shared" si="236"/>
        <v>25</v>
      </c>
      <c r="I2144" t="str">
        <f t="shared" si="237"/>
        <v>13</v>
      </c>
    </row>
    <row r="2145" spans="1:9" x14ac:dyDescent="0.25">
      <c r="A2145" s="19">
        <v>42019</v>
      </c>
      <c r="B2145" s="20">
        <v>0.94166666666666665</v>
      </c>
      <c r="C2145" t="str">
        <f t="shared" si="231"/>
        <v>15</v>
      </c>
      <c r="D2145" t="str">
        <f t="shared" si="232"/>
        <v>01</v>
      </c>
      <c r="E2145" t="str">
        <f t="shared" si="233"/>
        <v>15</v>
      </c>
      <c r="F2145">
        <f t="shared" si="234"/>
        <v>2015</v>
      </c>
      <c r="G2145">
        <f t="shared" si="235"/>
        <v>1</v>
      </c>
      <c r="H2145">
        <f t="shared" si="236"/>
        <v>15</v>
      </c>
      <c r="I2145" t="str">
        <f t="shared" si="237"/>
        <v>15</v>
      </c>
    </row>
    <row r="2146" spans="1:9" x14ac:dyDescent="0.25">
      <c r="A2146" s="19">
        <v>41598</v>
      </c>
      <c r="B2146" s="20">
        <v>2.7777777777777776E-2</v>
      </c>
      <c r="C2146" t="str">
        <f t="shared" si="231"/>
        <v>13</v>
      </c>
      <c r="D2146" t="str">
        <f t="shared" si="232"/>
        <v>11</v>
      </c>
      <c r="E2146" t="str">
        <f t="shared" si="233"/>
        <v>20</v>
      </c>
      <c r="F2146">
        <f t="shared" si="234"/>
        <v>2013</v>
      </c>
      <c r="G2146">
        <f t="shared" si="235"/>
        <v>11</v>
      </c>
      <c r="H2146">
        <f t="shared" si="236"/>
        <v>20</v>
      </c>
      <c r="I2146" t="str">
        <f t="shared" si="237"/>
        <v>13</v>
      </c>
    </row>
    <row r="2147" spans="1:9" x14ac:dyDescent="0.25">
      <c r="A2147" s="19">
        <v>41439</v>
      </c>
      <c r="B2147" s="20">
        <v>3.5416666666666666E-2</v>
      </c>
      <c r="C2147" t="str">
        <f t="shared" si="231"/>
        <v>13</v>
      </c>
      <c r="D2147" t="str">
        <f t="shared" si="232"/>
        <v>06</v>
      </c>
      <c r="E2147" t="str">
        <f t="shared" si="233"/>
        <v>14</v>
      </c>
      <c r="F2147">
        <f t="shared" si="234"/>
        <v>2013</v>
      </c>
      <c r="G2147">
        <f t="shared" si="235"/>
        <v>6</v>
      </c>
      <c r="H2147">
        <f t="shared" si="236"/>
        <v>14</v>
      </c>
      <c r="I2147" t="str">
        <f t="shared" si="237"/>
        <v>13</v>
      </c>
    </row>
    <row r="2148" spans="1:9" x14ac:dyDescent="0.25">
      <c r="A2148" s="19">
        <v>41178</v>
      </c>
      <c r="B2148" s="20">
        <v>0.98611111111111116</v>
      </c>
      <c r="C2148" t="str">
        <f t="shared" si="231"/>
        <v>12</v>
      </c>
      <c r="D2148" t="str">
        <f t="shared" si="232"/>
        <v>09</v>
      </c>
      <c r="E2148" t="str">
        <f t="shared" si="233"/>
        <v>26</v>
      </c>
      <c r="F2148">
        <f t="shared" si="234"/>
        <v>2012</v>
      </c>
      <c r="G2148">
        <f t="shared" si="235"/>
        <v>9</v>
      </c>
      <c r="H2148">
        <f t="shared" si="236"/>
        <v>26</v>
      </c>
      <c r="I2148" t="str">
        <f t="shared" si="237"/>
        <v>12</v>
      </c>
    </row>
    <row r="2149" spans="1:9" x14ac:dyDescent="0.25">
      <c r="A2149" s="19">
        <v>41249</v>
      </c>
      <c r="B2149" s="20">
        <v>6.9444444444444441E-3</v>
      </c>
      <c r="C2149" t="str">
        <f t="shared" si="231"/>
        <v>12</v>
      </c>
      <c r="D2149" t="str">
        <f t="shared" si="232"/>
        <v>12</v>
      </c>
      <c r="E2149" t="str">
        <f t="shared" si="233"/>
        <v>06</v>
      </c>
      <c r="F2149">
        <f t="shared" si="234"/>
        <v>2012</v>
      </c>
      <c r="G2149">
        <f t="shared" si="235"/>
        <v>12</v>
      </c>
      <c r="H2149">
        <f t="shared" si="236"/>
        <v>6</v>
      </c>
      <c r="I2149" t="str">
        <f t="shared" si="237"/>
        <v>12</v>
      </c>
    </row>
    <row r="2150" spans="1:9" x14ac:dyDescent="0.25">
      <c r="A2150" s="19">
        <v>42191</v>
      </c>
      <c r="B2150" s="20">
        <v>6.9444444444444441E-3</v>
      </c>
      <c r="C2150" t="str">
        <f t="shared" si="231"/>
        <v>15</v>
      </c>
      <c r="D2150" t="str">
        <f t="shared" si="232"/>
        <v>07</v>
      </c>
      <c r="E2150" t="str">
        <f t="shared" si="233"/>
        <v>06</v>
      </c>
      <c r="F2150">
        <f t="shared" si="234"/>
        <v>2015</v>
      </c>
      <c r="G2150">
        <f t="shared" si="235"/>
        <v>7</v>
      </c>
      <c r="H2150">
        <f t="shared" si="236"/>
        <v>6</v>
      </c>
      <c r="I2150" t="str">
        <f t="shared" si="237"/>
        <v>15</v>
      </c>
    </row>
    <row r="2151" spans="1:9" x14ac:dyDescent="0.25">
      <c r="A2151" s="19">
        <v>41530</v>
      </c>
      <c r="B2151" s="20">
        <v>9.0277777777777769E-3</v>
      </c>
      <c r="C2151" t="str">
        <f t="shared" si="231"/>
        <v>13</v>
      </c>
      <c r="D2151" t="str">
        <f t="shared" si="232"/>
        <v>09</v>
      </c>
      <c r="E2151" t="str">
        <f t="shared" si="233"/>
        <v>13</v>
      </c>
      <c r="F2151">
        <f t="shared" si="234"/>
        <v>2013</v>
      </c>
      <c r="G2151">
        <f t="shared" si="235"/>
        <v>9</v>
      </c>
      <c r="H2151">
        <f t="shared" si="236"/>
        <v>13</v>
      </c>
      <c r="I2151" t="str">
        <f t="shared" si="237"/>
        <v>13</v>
      </c>
    </row>
    <row r="2152" spans="1:9" x14ac:dyDescent="0.25">
      <c r="A2152" s="19">
        <v>42176</v>
      </c>
      <c r="B2152" s="20">
        <v>0.97986111111111107</v>
      </c>
      <c r="C2152" t="str">
        <f t="shared" si="231"/>
        <v>15</v>
      </c>
      <c r="D2152" t="str">
        <f t="shared" si="232"/>
        <v>06</v>
      </c>
      <c r="E2152" t="str">
        <f t="shared" si="233"/>
        <v>21</v>
      </c>
      <c r="F2152">
        <f t="shared" si="234"/>
        <v>2015</v>
      </c>
      <c r="G2152">
        <f t="shared" si="235"/>
        <v>6</v>
      </c>
      <c r="H2152">
        <f t="shared" si="236"/>
        <v>21</v>
      </c>
      <c r="I2152" t="str">
        <f t="shared" si="237"/>
        <v>15</v>
      </c>
    </row>
    <row r="2153" spans="1:9" x14ac:dyDescent="0.25">
      <c r="A2153" s="19">
        <v>41823</v>
      </c>
      <c r="B2153" s="20">
        <v>0.05</v>
      </c>
      <c r="C2153" t="str">
        <f t="shared" si="231"/>
        <v>14</v>
      </c>
      <c r="D2153" t="str">
        <f t="shared" si="232"/>
        <v>07</v>
      </c>
      <c r="E2153" t="str">
        <f t="shared" si="233"/>
        <v>03</v>
      </c>
      <c r="F2153">
        <f t="shared" si="234"/>
        <v>2014</v>
      </c>
      <c r="G2153">
        <f t="shared" si="235"/>
        <v>7</v>
      </c>
      <c r="H2153">
        <f t="shared" si="236"/>
        <v>3</v>
      </c>
      <c r="I2153" t="str">
        <f t="shared" si="237"/>
        <v>14</v>
      </c>
    </row>
    <row r="2154" spans="1:9" x14ac:dyDescent="0.25">
      <c r="A2154" s="19">
        <v>42041</v>
      </c>
      <c r="B2154" s="20">
        <v>1.8749999999999999E-2</v>
      </c>
      <c r="C2154" t="str">
        <f t="shared" si="231"/>
        <v>15</v>
      </c>
      <c r="D2154" t="str">
        <f t="shared" si="232"/>
        <v>02</v>
      </c>
      <c r="E2154" t="str">
        <f t="shared" si="233"/>
        <v>06</v>
      </c>
      <c r="F2154">
        <f t="shared" si="234"/>
        <v>2015</v>
      </c>
      <c r="G2154">
        <f t="shared" si="235"/>
        <v>2</v>
      </c>
      <c r="H2154">
        <f t="shared" si="236"/>
        <v>6</v>
      </c>
      <c r="I2154" t="str">
        <f t="shared" si="237"/>
        <v>15</v>
      </c>
    </row>
    <row r="2155" spans="1:9" x14ac:dyDescent="0.25">
      <c r="A2155" s="19">
        <v>41758</v>
      </c>
      <c r="B2155" s="20">
        <v>6.7361111111111108E-2</v>
      </c>
      <c r="C2155" t="str">
        <f t="shared" si="231"/>
        <v>14</v>
      </c>
      <c r="D2155" t="str">
        <f t="shared" si="232"/>
        <v>04</v>
      </c>
      <c r="E2155" t="str">
        <f t="shared" si="233"/>
        <v>29</v>
      </c>
      <c r="F2155">
        <f t="shared" si="234"/>
        <v>2014</v>
      </c>
      <c r="G2155">
        <f t="shared" si="235"/>
        <v>4</v>
      </c>
      <c r="H2155">
        <f t="shared" si="236"/>
        <v>29</v>
      </c>
      <c r="I2155" t="str">
        <f t="shared" si="237"/>
        <v>14</v>
      </c>
    </row>
    <row r="2156" spans="1:9" x14ac:dyDescent="0.25">
      <c r="A2156" s="19">
        <v>42304</v>
      </c>
      <c r="B2156" s="20">
        <v>0.97152777777777777</v>
      </c>
      <c r="C2156" t="str">
        <f t="shared" si="231"/>
        <v>15</v>
      </c>
      <c r="D2156" t="str">
        <f t="shared" si="232"/>
        <v>10</v>
      </c>
      <c r="E2156" t="str">
        <f t="shared" si="233"/>
        <v>27</v>
      </c>
      <c r="F2156">
        <f t="shared" si="234"/>
        <v>2015</v>
      </c>
      <c r="G2156">
        <f t="shared" si="235"/>
        <v>10</v>
      </c>
      <c r="H2156">
        <f t="shared" si="236"/>
        <v>27</v>
      </c>
      <c r="I2156" t="str">
        <f t="shared" si="237"/>
        <v>15</v>
      </c>
    </row>
    <row r="2157" spans="1:9" x14ac:dyDescent="0.25">
      <c r="A2157" s="19">
        <v>41811</v>
      </c>
      <c r="B2157" s="20">
        <v>1.5972222222222221E-2</v>
      </c>
      <c r="C2157" t="str">
        <f t="shared" si="231"/>
        <v>14</v>
      </c>
      <c r="D2157" t="str">
        <f t="shared" si="232"/>
        <v>06</v>
      </c>
      <c r="E2157" t="str">
        <f t="shared" si="233"/>
        <v>21</v>
      </c>
      <c r="F2157">
        <f t="shared" si="234"/>
        <v>2014</v>
      </c>
      <c r="G2157">
        <f t="shared" si="235"/>
        <v>6</v>
      </c>
      <c r="H2157">
        <f t="shared" si="236"/>
        <v>21</v>
      </c>
      <c r="I2157" t="str">
        <f t="shared" si="237"/>
        <v>14</v>
      </c>
    </row>
    <row r="2158" spans="1:9" x14ac:dyDescent="0.25">
      <c r="A2158" s="19">
        <v>42191</v>
      </c>
      <c r="B2158" s="20">
        <v>0.95625000000000004</v>
      </c>
      <c r="C2158" t="str">
        <f t="shared" si="231"/>
        <v>15</v>
      </c>
      <c r="D2158" t="str">
        <f t="shared" si="232"/>
        <v>07</v>
      </c>
      <c r="E2158" t="str">
        <f t="shared" si="233"/>
        <v>06</v>
      </c>
      <c r="F2158">
        <f t="shared" si="234"/>
        <v>2015</v>
      </c>
      <c r="G2158">
        <f t="shared" si="235"/>
        <v>7</v>
      </c>
      <c r="H2158">
        <f t="shared" si="236"/>
        <v>6</v>
      </c>
      <c r="I2158" t="str">
        <f t="shared" si="237"/>
        <v>15</v>
      </c>
    </row>
    <row r="2159" spans="1:9" x14ac:dyDescent="0.25">
      <c r="A2159" s="19">
        <v>42006</v>
      </c>
      <c r="B2159" s="20">
        <v>2.4305555555555556E-2</v>
      </c>
      <c r="C2159" t="str">
        <f t="shared" si="231"/>
        <v>15</v>
      </c>
      <c r="D2159" t="str">
        <f t="shared" si="232"/>
        <v>01</v>
      </c>
      <c r="E2159" t="str">
        <f t="shared" si="233"/>
        <v>02</v>
      </c>
      <c r="F2159">
        <f t="shared" si="234"/>
        <v>2015</v>
      </c>
      <c r="G2159">
        <f t="shared" si="235"/>
        <v>1</v>
      </c>
      <c r="H2159">
        <f t="shared" si="236"/>
        <v>2</v>
      </c>
      <c r="I2159" t="str">
        <f t="shared" si="237"/>
        <v>15</v>
      </c>
    </row>
    <row r="2160" spans="1:9" x14ac:dyDescent="0.25">
      <c r="A2160" s="19">
        <v>41210</v>
      </c>
      <c r="B2160" s="20">
        <v>3.125E-2</v>
      </c>
      <c r="C2160" t="str">
        <f t="shared" si="231"/>
        <v>12</v>
      </c>
      <c r="D2160" t="str">
        <f t="shared" si="232"/>
        <v>10</v>
      </c>
      <c r="E2160" t="str">
        <f t="shared" si="233"/>
        <v>28</v>
      </c>
      <c r="F2160">
        <f t="shared" si="234"/>
        <v>2012</v>
      </c>
      <c r="G2160">
        <f t="shared" si="235"/>
        <v>10</v>
      </c>
      <c r="H2160">
        <f t="shared" si="236"/>
        <v>28</v>
      </c>
      <c r="I2160" t="str">
        <f t="shared" si="237"/>
        <v>12</v>
      </c>
    </row>
    <row r="2161" spans="1:9" x14ac:dyDescent="0.25">
      <c r="A2161" s="19">
        <v>41754</v>
      </c>
      <c r="B2161" s="20">
        <v>2.0833333333333332E-2</v>
      </c>
      <c r="C2161" t="str">
        <f t="shared" si="231"/>
        <v>14</v>
      </c>
      <c r="D2161" t="str">
        <f t="shared" si="232"/>
        <v>04</v>
      </c>
      <c r="E2161" t="str">
        <f t="shared" si="233"/>
        <v>25</v>
      </c>
      <c r="F2161">
        <f t="shared" si="234"/>
        <v>2014</v>
      </c>
      <c r="G2161">
        <f t="shared" si="235"/>
        <v>4</v>
      </c>
      <c r="H2161">
        <f t="shared" si="236"/>
        <v>25</v>
      </c>
      <c r="I2161" t="str">
        <f t="shared" si="237"/>
        <v>14</v>
      </c>
    </row>
    <row r="2162" spans="1:9" x14ac:dyDescent="0.25">
      <c r="A2162" s="19">
        <v>41883</v>
      </c>
      <c r="B2162" s="20">
        <v>2.9861111111111113E-2</v>
      </c>
      <c r="C2162" t="str">
        <f t="shared" si="231"/>
        <v>14</v>
      </c>
      <c r="D2162" t="str">
        <f t="shared" si="232"/>
        <v>09</v>
      </c>
      <c r="E2162" t="str">
        <f t="shared" si="233"/>
        <v>01</v>
      </c>
      <c r="F2162">
        <f t="shared" si="234"/>
        <v>2014</v>
      </c>
      <c r="G2162">
        <f t="shared" si="235"/>
        <v>9</v>
      </c>
      <c r="H2162">
        <f t="shared" si="236"/>
        <v>1</v>
      </c>
      <c r="I2162" t="str">
        <f t="shared" si="237"/>
        <v>14</v>
      </c>
    </row>
    <row r="2163" spans="1:9" x14ac:dyDescent="0.25">
      <c r="A2163" s="19">
        <v>42011</v>
      </c>
      <c r="B2163" s="20">
        <v>7.7083333333333337E-2</v>
      </c>
      <c r="C2163" t="str">
        <f t="shared" si="231"/>
        <v>15</v>
      </c>
      <c r="D2163" t="str">
        <f t="shared" si="232"/>
        <v>01</v>
      </c>
      <c r="E2163" t="str">
        <f t="shared" si="233"/>
        <v>07</v>
      </c>
      <c r="F2163">
        <f t="shared" si="234"/>
        <v>2015</v>
      </c>
      <c r="G2163">
        <f t="shared" si="235"/>
        <v>1</v>
      </c>
      <c r="H2163">
        <f t="shared" si="236"/>
        <v>7</v>
      </c>
      <c r="I2163" t="str">
        <f t="shared" si="237"/>
        <v>15</v>
      </c>
    </row>
    <row r="2164" spans="1:9" x14ac:dyDescent="0.25">
      <c r="A2164" s="19">
        <v>42324</v>
      </c>
      <c r="B2164" s="20">
        <v>0.95763888888888893</v>
      </c>
      <c r="C2164" t="str">
        <f t="shared" si="231"/>
        <v>15</v>
      </c>
      <c r="D2164" t="str">
        <f t="shared" si="232"/>
        <v>11</v>
      </c>
      <c r="E2164" t="str">
        <f t="shared" si="233"/>
        <v>16</v>
      </c>
      <c r="F2164">
        <f t="shared" si="234"/>
        <v>2015</v>
      </c>
      <c r="G2164">
        <f t="shared" si="235"/>
        <v>11</v>
      </c>
      <c r="H2164">
        <f t="shared" si="236"/>
        <v>16</v>
      </c>
      <c r="I2164" t="str">
        <f t="shared" si="237"/>
        <v>15</v>
      </c>
    </row>
    <row r="2165" spans="1:9" x14ac:dyDescent="0.25">
      <c r="A2165" s="19">
        <v>41785</v>
      </c>
      <c r="B2165" s="20">
        <v>6.9444444444444447E-4</v>
      </c>
      <c r="C2165" t="str">
        <f t="shared" si="231"/>
        <v>14</v>
      </c>
      <c r="D2165" t="str">
        <f t="shared" si="232"/>
        <v>05</v>
      </c>
      <c r="E2165" t="str">
        <f t="shared" si="233"/>
        <v>26</v>
      </c>
      <c r="F2165">
        <f t="shared" si="234"/>
        <v>2014</v>
      </c>
      <c r="G2165">
        <f t="shared" si="235"/>
        <v>5</v>
      </c>
      <c r="H2165">
        <f t="shared" si="236"/>
        <v>26</v>
      </c>
      <c r="I2165" t="str">
        <f t="shared" si="237"/>
        <v>14</v>
      </c>
    </row>
    <row r="2166" spans="1:9" x14ac:dyDescent="0.25">
      <c r="A2166" s="19">
        <v>41125</v>
      </c>
      <c r="B2166" s="20">
        <v>0.10138888888888889</v>
      </c>
      <c r="C2166" t="str">
        <f t="shared" si="231"/>
        <v>12</v>
      </c>
      <c r="D2166" t="str">
        <f t="shared" si="232"/>
        <v>08</v>
      </c>
      <c r="E2166" t="str">
        <f t="shared" si="233"/>
        <v>04</v>
      </c>
      <c r="F2166">
        <f t="shared" si="234"/>
        <v>2012</v>
      </c>
      <c r="G2166">
        <f t="shared" si="235"/>
        <v>8</v>
      </c>
      <c r="H2166">
        <f t="shared" si="236"/>
        <v>4</v>
      </c>
      <c r="I2166" t="str">
        <f t="shared" si="237"/>
        <v>12</v>
      </c>
    </row>
    <row r="2167" spans="1:9" x14ac:dyDescent="0.25">
      <c r="A2167" s="19">
        <v>41805</v>
      </c>
      <c r="B2167" s="20">
        <v>0.97847222222222219</v>
      </c>
      <c r="C2167" t="str">
        <f t="shared" si="231"/>
        <v>14</v>
      </c>
      <c r="D2167" t="str">
        <f t="shared" si="232"/>
        <v>06</v>
      </c>
      <c r="E2167" t="str">
        <f t="shared" si="233"/>
        <v>15</v>
      </c>
      <c r="F2167">
        <f t="shared" si="234"/>
        <v>2014</v>
      </c>
      <c r="G2167">
        <f t="shared" si="235"/>
        <v>6</v>
      </c>
      <c r="H2167">
        <f t="shared" si="236"/>
        <v>15</v>
      </c>
      <c r="I2167" t="str">
        <f t="shared" si="237"/>
        <v>14</v>
      </c>
    </row>
    <row r="2168" spans="1:9" x14ac:dyDescent="0.25">
      <c r="A2168" s="19">
        <v>41391</v>
      </c>
      <c r="B2168" s="20">
        <v>6.9444444444444441E-3</v>
      </c>
      <c r="C2168" t="str">
        <f t="shared" si="231"/>
        <v>13</v>
      </c>
      <c r="D2168" t="str">
        <f t="shared" si="232"/>
        <v>04</v>
      </c>
      <c r="E2168" t="str">
        <f t="shared" si="233"/>
        <v>27</v>
      </c>
      <c r="F2168">
        <f t="shared" si="234"/>
        <v>2013</v>
      </c>
      <c r="G2168">
        <f t="shared" si="235"/>
        <v>4</v>
      </c>
      <c r="H2168">
        <f t="shared" si="236"/>
        <v>27</v>
      </c>
      <c r="I2168" t="str">
        <f t="shared" si="237"/>
        <v>13</v>
      </c>
    </row>
    <row r="2169" spans="1:9" x14ac:dyDescent="0.25">
      <c r="A2169" s="19">
        <v>41853</v>
      </c>
      <c r="B2169" s="20">
        <v>3.8194444444444448E-2</v>
      </c>
      <c r="C2169" t="str">
        <f t="shared" si="231"/>
        <v>14</v>
      </c>
      <c r="D2169" t="str">
        <f t="shared" si="232"/>
        <v>08</v>
      </c>
      <c r="E2169" t="str">
        <f t="shared" si="233"/>
        <v>02</v>
      </c>
      <c r="F2169">
        <f t="shared" si="234"/>
        <v>2014</v>
      </c>
      <c r="G2169">
        <f t="shared" si="235"/>
        <v>8</v>
      </c>
      <c r="H2169">
        <f t="shared" si="236"/>
        <v>2</v>
      </c>
      <c r="I2169" t="str">
        <f t="shared" si="237"/>
        <v>14</v>
      </c>
    </row>
    <row r="2170" spans="1:9" x14ac:dyDescent="0.25">
      <c r="A2170" s="19">
        <v>42610</v>
      </c>
      <c r="B2170" s="20">
        <v>0.95972222222222225</v>
      </c>
      <c r="C2170" t="str">
        <f t="shared" si="231"/>
        <v>16</v>
      </c>
      <c r="D2170" t="str">
        <f t="shared" si="232"/>
        <v>08</v>
      </c>
      <c r="E2170" t="str">
        <f t="shared" si="233"/>
        <v>28</v>
      </c>
      <c r="F2170">
        <f t="shared" si="234"/>
        <v>2016</v>
      </c>
      <c r="G2170">
        <f t="shared" si="235"/>
        <v>8</v>
      </c>
      <c r="H2170">
        <f t="shared" si="236"/>
        <v>28</v>
      </c>
      <c r="I2170" t="str">
        <f t="shared" si="237"/>
        <v>16</v>
      </c>
    </row>
    <row r="2171" spans="1:9" x14ac:dyDescent="0.25">
      <c r="A2171" s="19">
        <v>41997</v>
      </c>
      <c r="B2171" s="20">
        <v>0.96319444444444446</v>
      </c>
      <c r="C2171" t="str">
        <f t="shared" si="231"/>
        <v>14</v>
      </c>
      <c r="D2171" t="str">
        <f t="shared" si="232"/>
        <v>12</v>
      </c>
      <c r="E2171" t="str">
        <f t="shared" si="233"/>
        <v>24</v>
      </c>
      <c r="F2171">
        <f t="shared" si="234"/>
        <v>2014</v>
      </c>
      <c r="G2171">
        <f t="shared" si="235"/>
        <v>12</v>
      </c>
      <c r="H2171">
        <f t="shared" si="236"/>
        <v>24</v>
      </c>
      <c r="I2171" t="str">
        <f t="shared" si="237"/>
        <v>14</v>
      </c>
    </row>
    <row r="2172" spans="1:9" x14ac:dyDescent="0.25">
      <c r="A2172" s="19">
        <v>41995</v>
      </c>
      <c r="B2172" s="20">
        <v>1.6666666666666666E-2</v>
      </c>
      <c r="C2172" t="str">
        <f t="shared" si="231"/>
        <v>14</v>
      </c>
      <c r="D2172" t="str">
        <f t="shared" si="232"/>
        <v>12</v>
      </c>
      <c r="E2172" t="str">
        <f t="shared" si="233"/>
        <v>22</v>
      </c>
      <c r="F2172">
        <f t="shared" si="234"/>
        <v>2014</v>
      </c>
      <c r="G2172">
        <f t="shared" si="235"/>
        <v>12</v>
      </c>
      <c r="H2172">
        <f t="shared" si="236"/>
        <v>22</v>
      </c>
      <c r="I2172" t="str">
        <f t="shared" si="237"/>
        <v>14</v>
      </c>
    </row>
    <row r="2173" spans="1:9" x14ac:dyDescent="0.25">
      <c r="A2173" s="19">
        <v>41987</v>
      </c>
      <c r="B2173" s="20">
        <v>6.2500000000000003E-3</v>
      </c>
      <c r="C2173" t="str">
        <f t="shared" si="231"/>
        <v>14</v>
      </c>
      <c r="D2173" t="str">
        <f t="shared" si="232"/>
        <v>12</v>
      </c>
      <c r="E2173" t="str">
        <f t="shared" si="233"/>
        <v>14</v>
      </c>
      <c r="F2173">
        <f t="shared" si="234"/>
        <v>2014</v>
      </c>
      <c r="G2173">
        <f t="shared" si="235"/>
        <v>12</v>
      </c>
      <c r="H2173">
        <f t="shared" si="236"/>
        <v>14</v>
      </c>
      <c r="I2173" t="str">
        <f t="shared" si="237"/>
        <v>14</v>
      </c>
    </row>
    <row r="2174" spans="1:9" x14ac:dyDescent="0.25">
      <c r="A2174" s="19">
        <v>41898</v>
      </c>
      <c r="B2174" s="20">
        <v>0.99791666666666667</v>
      </c>
      <c r="C2174" t="str">
        <f t="shared" si="231"/>
        <v>14</v>
      </c>
      <c r="D2174" t="str">
        <f t="shared" si="232"/>
        <v>09</v>
      </c>
      <c r="E2174" t="str">
        <f t="shared" si="233"/>
        <v>16</v>
      </c>
      <c r="F2174">
        <f t="shared" si="234"/>
        <v>2014</v>
      </c>
      <c r="G2174">
        <f t="shared" si="235"/>
        <v>9</v>
      </c>
      <c r="H2174">
        <f t="shared" si="236"/>
        <v>16</v>
      </c>
      <c r="I2174" t="str">
        <f t="shared" si="237"/>
        <v>14</v>
      </c>
    </row>
    <row r="2175" spans="1:9" x14ac:dyDescent="0.25">
      <c r="A2175" s="19">
        <v>41216</v>
      </c>
      <c r="B2175" s="20">
        <v>7.4999999999999997E-2</v>
      </c>
      <c r="C2175" t="str">
        <f t="shared" si="231"/>
        <v>12</v>
      </c>
      <c r="D2175" t="str">
        <f t="shared" si="232"/>
        <v>11</v>
      </c>
      <c r="E2175" t="str">
        <f t="shared" si="233"/>
        <v>03</v>
      </c>
      <c r="F2175">
        <f t="shared" si="234"/>
        <v>2012</v>
      </c>
      <c r="G2175">
        <f t="shared" si="235"/>
        <v>11</v>
      </c>
      <c r="H2175">
        <f t="shared" si="236"/>
        <v>3</v>
      </c>
      <c r="I2175" t="str">
        <f t="shared" si="237"/>
        <v>12</v>
      </c>
    </row>
    <row r="2176" spans="1:9" x14ac:dyDescent="0.25">
      <c r="A2176" s="19">
        <v>41896</v>
      </c>
      <c r="B2176" s="20">
        <v>7.0833333333333331E-2</v>
      </c>
      <c r="C2176" t="str">
        <f t="shared" si="231"/>
        <v>14</v>
      </c>
      <c r="D2176" t="str">
        <f t="shared" si="232"/>
        <v>09</v>
      </c>
      <c r="E2176" t="str">
        <f t="shared" si="233"/>
        <v>14</v>
      </c>
      <c r="F2176">
        <f t="shared" si="234"/>
        <v>2014</v>
      </c>
      <c r="G2176">
        <f t="shared" si="235"/>
        <v>9</v>
      </c>
      <c r="H2176">
        <f t="shared" si="236"/>
        <v>14</v>
      </c>
      <c r="I2176" t="str">
        <f t="shared" si="237"/>
        <v>14</v>
      </c>
    </row>
    <row r="2177" spans="1:9" x14ac:dyDescent="0.25">
      <c r="A2177" s="19">
        <v>42523</v>
      </c>
      <c r="B2177" s="20">
        <v>0.99375000000000002</v>
      </c>
      <c r="C2177" t="str">
        <f t="shared" si="231"/>
        <v>16</v>
      </c>
      <c r="D2177" t="str">
        <f t="shared" si="232"/>
        <v>06</v>
      </c>
      <c r="E2177" t="str">
        <f t="shared" si="233"/>
        <v>02</v>
      </c>
      <c r="F2177">
        <f t="shared" si="234"/>
        <v>2016</v>
      </c>
      <c r="G2177">
        <f t="shared" si="235"/>
        <v>6</v>
      </c>
      <c r="H2177">
        <f t="shared" si="236"/>
        <v>2</v>
      </c>
      <c r="I2177" t="str">
        <f t="shared" si="237"/>
        <v>16</v>
      </c>
    </row>
    <row r="2178" spans="1:9" x14ac:dyDescent="0.25">
      <c r="A2178" s="19">
        <v>42520</v>
      </c>
      <c r="B2178" s="20">
        <v>0.99444444444444446</v>
      </c>
      <c r="C2178" t="str">
        <f t="shared" si="231"/>
        <v>16</v>
      </c>
      <c r="D2178" t="str">
        <f t="shared" si="232"/>
        <v>05</v>
      </c>
      <c r="E2178" t="str">
        <f t="shared" si="233"/>
        <v>30</v>
      </c>
      <c r="F2178">
        <f t="shared" si="234"/>
        <v>2016</v>
      </c>
      <c r="G2178">
        <f t="shared" si="235"/>
        <v>5</v>
      </c>
      <c r="H2178">
        <f t="shared" si="236"/>
        <v>30</v>
      </c>
      <c r="I2178" t="str">
        <f t="shared" si="237"/>
        <v>16</v>
      </c>
    </row>
    <row r="2179" spans="1:9" x14ac:dyDescent="0.25">
      <c r="A2179" s="19">
        <v>42482</v>
      </c>
      <c r="B2179" s="20">
        <v>4.027777777777778E-2</v>
      </c>
      <c r="C2179" t="str">
        <f t="shared" ref="C2179:C2242" si="238">TEXT(A2179,"YY")</f>
        <v>16</v>
      </c>
      <c r="D2179" t="str">
        <f t="shared" ref="D2179:D2242" si="239">TEXT(A2179,"mm")</f>
        <v>04</v>
      </c>
      <c r="E2179" t="str">
        <f t="shared" ref="E2179:E2242" si="240">TEXT(A2179,"dd")</f>
        <v>22</v>
      </c>
      <c r="F2179">
        <f t="shared" ref="F2179:F2242" si="241">YEAR($A2179)</f>
        <v>2016</v>
      </c>
      <c r="G2179">
        <f t="shared" ref="G2179:G2242" si="242">MONTH($A2179)</f>
        <v>4</v>
      </c>
      <c r="H2179">
        <f t="shared" ref="H2179:H2242" si="243">DAY($A2179)</f>
        <v>22</v>
      </c>
      <c r="I2179" t="str">
        <f t="shared" ref="I2179:I2242" si="244">TEXT($A2179,"YY")</f>
        <v>16</v>
      </c>
    </row>
    <row r="2180" spans="1:9" x14ac:dyDescent="0.25">
      <c r="A2180" s="19">
        <v>41616</v>
      </c>
      <c r="B2180" s="20">
        <v>7.6388888888888886E-3</v>
      </c>
      <c r="C2180" t="str">
        <f t="shared" si="238"/>
        <v>13</v>
      </c>
      <c r="D2180" t="str">
        <f t="shared" si="239"/>
        <v>12</v>
      </c>
      <c r="E2180" t="str">
        <f t="shared" si="240"/>
        <v>08</v>
      </c>
      <c r="F2180">
        <f t="shared" si="241"/>
        <v>2013</v>
      </c>
      <c r="G2180">
        <f t="shared" si="242"/>
        <v>12</v>
      </c>
      <c r="H2180">
        <f t="shared" si="243"/>
        <v>8</v>
      </c>
      <c r="I2180" t="str">
        <f t="shared" si="244"/>
        <v>13</v>
      </c>
    </row>
    <row r="2181" spans="1:9" x14ac:dyDescent="0.25">
      <c r="A2181" s="19">
        <v>41376</v>
      </c>
      <c r="B2181" s="20">
        <v>6.9444444444444441E-3</v>
      </c>
      <c r="C2181" t="str">
        <f t="shared" si="238"/>
        <v>13</v>
      </c>
      <c r="D2181" t="str">
        <f t="shared" si="239"/>
        <v>04</v>
      </c>
      <c r="E2181" t="str">
        <f t="shared" si="240"/>
        <v>12</v>
      </c>
      <c r="F2181">
        <f t="shared" si="241"/>
        <v>2013</v>
      </c>
      <c r="G2181">
        <f t="shared" si="242"/>
        <v>4</v>
      </c>
      <c r="H2181">
        <f t="shared" si="243"/>
        <v>12</v>
      </c>
      <c r="I2181" t="str">
        <f t="shared" si="244"/>
        <v>13</v>
      </c>
    </row>
    <row r="2182" spans="1:9" x14ac:dyDescent="0.25">
      <c r="A2182" s="19">
        <v>42286</v>
      </c>
      <c r="B2182" s="20">
        <v>1.8749999999999999E-2</v>
      </c>
      <c r="C2182" t="str">
        <f t="shared" si="238"/>
        <v>15</v>
      </c>
      <c r="D2182" t="str">
        <f t="shared" si="239"/>
        <v>10</v>
      </c>
      <c r="E2182" t="str">
        <f t="shared" si="240"/>
        <v>09</v>
      </c>
      <c r="F2182">
        <f t="shared" si="241"/>
        <v>2015</v>
      </c>
      <c r="G2182">
        <f t="shared" si="242"/>
        <v>10</v>
      </c>
      <c r="H2182">
        <f t="shared" si="243"/>
        <v>9</v>
      </c>
      <c r="I2182" t="str">
        <f t="shared" si="244"/>
        <v>15</v>
      </c>
    </row>
    <row r="2183" spans="1:9" x14ac:dyDescent="0.25">
      <c r="A2183" s="19">
        <v>41551</v>
      </c>
      <c r="B2183" s="20">
        <v>6.3888888888888884E-2</v>
      </c>
      <c r="C2183" t="str">
        <f t="shared" si="238"/>
        <v>13</v>
      </c>
      <c r="D2183" t="str">
        <f t="shared" si="239"/>
        <v>10</v>
      </c>
      <c r="E2183" t="str">
        <f t="shared" si="240"/>
        <v>04</v>
      </c>
      <c r="F2183">
        <f t="shared" si="241"/>
        <v>2013</v>
      </c>
      <c r="G2183">
        <f t="shared" si="242"/>
        <v>10</v>
      </c>
      <c r="H2183">
        <f t="shared" si="243"/>
        <v>4</v>
      </c>
      <c r="I2183" t="str">
        <f t="shared" si="244"/>
        <v>13</v>
      </c>
    </row>
    <row r="2184" spans="1:9" x14ac:dyDescent="0.25">
      <c r="A2184" s="19">
        <v>42026</v>
      </c>
      <c r="B2184" s="20">
        <v>0.98124999999999996</v>
      </c>
      <c r="C2184" t="str">
        <f t="shared" si="238"/>
        <v>15</v>
      </c>
      <c r="D2184" t="str">
        <f t="shared" si="239"/>
        <v>01</v>
      </c>
      <c r="E2184" t="str">
        <f t="shared" si="240"/>
        <v>22</v>
      </c>
      <c r="F2184">
        <f t="shared" si="241"/>
        <v>2015</v>
      </c>
      <c r="G2184">
        <f t="shared" si="242"/>
        <v>1</v>
      </c>
      <c r="H2184">
        <f t="shared" si="243"/>
        <v>22</v>
      </c>
      <c r="I2184" t="str">
        <f t="shared" si="244"/>
        <v>15</v>
      </c>
    </row>
    <row r="2185" spans="1:9" x14ac:dyDescent="0.25">
      <c r="A2185" s="19">
        <v>41677</v>
      </c>
      <c r="B2185" s="20">
        <v>7.1527777777777773E-2</v>
      </c>
      <c r="C2185" t="str">
        <f t="shared" si="238"/>
        <v>14</v>
      </c>
      <c r="D2185" t="str">
        <f t="shared" si="239"/>
        <v>02</v>
      </c>
      <c r="E2185" t="str">
        <f t="shared" si="240"/>
        <v>07</v>
      </c>
      <c r="F2185">
        <f t="shared" si="241"/>
        <v>2014</v>
      </c>
      <c r="G2185">
        <f t="shared" si="242"/>
        <v>2</v>
      </c>
      <c r="H2185">
        <f t="shared" si="243"/>
        <v>7</v>
      </c>
      <c r="I2185" t="str">
        <f t="shared" si="244"/>
        <v>14</v>
      </c>
    </row>
    <row r="2186" spans="1:9" x14ac:dyDescent="0.25">
      <c r="A2186" s="19">
        <v>41599</v>
      </c>
      <c r="B2186" s="20">
        <v>0.94513888888888886</v>
      </c>
      <c r="C2186" t="str">
        <f t="shared" si="238"/>
        <v>13</v>
      </c>
      <c r="D2186" t="str">
        <f t="shared" si="239"/>
        <v>11</v>
      </c>
      <c r="E2186" t="str">
        <f t="shared" si="240"/>
        <v>21</v>
      </c>
      <c r="F2186">
        <f t="shared" si="241"/>
        <v>2013</v>
      </c>
      <c r="G2186">
        <f t="shared" si="242"/>
        <v>11</v>
      </c>
      <c r="H2186">
        <f t="shared" si="243"/>
        <v>21</v>
      </c>
      <c r="I2186" t="str">
        <f t="shared" si="244"/>
        <v>13</v>
      </c>
    </row>
    <row r="2187" spans="1:9" x14ac:dyDescent="0.25">
      <c r="A2187" s="19">
        <v>41919</v>
      </c>
      <c r="B2187" s="20">
        <v>3.0555555555555555E-2</v>
      </c>
      <c r="C2187" t="str">
        <f t="shared" si="238"/>
        <v>14</v>
      </c>
      <c r="D2187" t="str">
        <f t="shared" si="239"/>
        <v>10</v>
      </c>
      <c r="E2187" t="str">
        <f t="shared" si="240"/>
        <v>07</v>
      </c>
      <c r="F2187">
        <f t="shared" si="241"/>
        <v>2014</v>
      </c>
      <c r="G2187">
        <f t="shared" si="242"/>
        <v>10</v>
      </c>
      <c r="H2187">
        <f t="shared" si="243"/>
        <v>7</v>
      </c>
      <c r="I2187" t="str">
        <f t="shared" si="244"/>
        <v>14</v>
      </c>
    </row>
    <row r="2188" spans="1:9" x14ac:dyDescent="0.25">
      <c r="A2188" s="19">
        <v>41803</v>
      </c>
      <c r="B2188" s="20">
        <v>3.6805555555555557E-2</v>
      </c>
      <c r="C2188" t="str">
        <f t="shared" si="238"/>
        <v>14</v>
      </c>
      <c r="D2188" t="str">
        <f t="shared" si="239"/>
        <v>06</v>
      </c>
      <c r="E2188" t="str">
        <f t="shared" si="240"/>
        <v>13</v>
      </c>
      <c r="F2188">
        <f t="shared" si="241"/>
        <v>2014</v>
      </c>
      <c r="G2188">
        <f t="shared" si="242"/>
        <v>6</v>
      </c>
      <c r="H2188">
        <f t="shared" si="243"/>
        <v>13</v>
      </c>
      <c r="I2188" t="str">
        <f t="shared" si="244"/>
        <v>14</v>
      </c>
    </row>
    <row r="2189" spans="1:9" x14ac:dyDescent="0.25">
      <c r="A2189" s="19">
        <v>41463</v>
      </c>
      <c r="B2189" s="20">
        <v>0.99791666666666667</v>
      </c>
      <c r="C2189" t="str">
        <f t="shared" si="238"/>
        <v>13</v>
      </c>
      <c r="D2189" t="str">
        <f t="shared" si="239"/>
        <v>07</v>
      </c>
      <c r="E2189" t="str">
        <f t="shared" si="240"/>
        <v>08</v>
      </c>
      <c r="F2189">
        <f t="shared" si="241"/>
        <v>2013</v>
      </c>
      <c r="G2189">
        <f t="shared" si="242"/>
        <v>7</v>
      </c>
      <c r="H2189">
        <f t="shared" si="243"/>
        <v>8</v>
      </c>
      <c r="I2189" t="str">
        <f t="shared" si="244"/>
        <v>13</v>
      </c>
    </row>
    <row r="2190" spans="1:9" x14ac:dyDescent="0.25">
      <c r="A2190" s="19">
        <v>42525</v>
      </c>
      <c r="B2190" s="20">
        <v>2.5000000000000001E-2</v>
      </c>
      <c r="C2190" t="str">
        <f t="shared" si="238"/>
        <v>16</v>
      </c>
      <c r="D2190" t="str">
        <f t="shared" si="239"/>
        <v>06</v>
      </c>
      <c r="E2190" t="str">
        <f t="shared" si="240"/>
        <v>04</v>
      </c>
      <c r="F2190">
        <f t="shared" si="241"/>
        <v>2016</v>
      </c>
      <c r="G2190">
        <f t="shared" si="242"/>
        <v>6</v>
      </c>
      <c r="H2190">
        <f t="shared" si="243"/>
        <v>4</v>
      </c>
      <c r="I2190" t="str">
        <f t="shared" si="244"/>
        <v>16</v>
      </c>
    </row>
    <row r="2191" spans="1:9" x14ac:dyDescent="0.25">
      <c r="A2191" s="19">
        <v>41641</v>
      </c>
      <c r="B2191" s="20">
        <v>8.3333333333333332E-3</v>
      </c>
      <c r="C2191" t="str">
        <f t="shared" si="238"/>
        <v>14</v>
      </c>
      <c r="D2191" t="str">
        <f t="shared" si="239"/>
        <v>01</v>
      </c>
      <c r="E2191" t="str">
        <f t="shared" si="240"/>
        <v>02</v>
      </c>
      <c r="F2191">
        <f t="shared" si="241"/>
        <v>2014</v>
      </c>
      <c r="G2191">
        <f t="shared" si="242"/>
        <v>1</v>
      </c>
      <c r="H2191">
        <f t="shared" si="243"/>
        <v>2</v>
      </c>
      <c r="I2191" t="str">
        <f t="shared" si="244"/>
        <v>14</v>
      </c>
    </row>
    <row r="2192" spans="1:9" x14ac:dyDescent="0.25">
      <c r="A2192" s="19">
        <v>42020</v>
      </c>
      <c r="B2192" s="20">
        <v>4.4444444444444446E-2</v>
      </c>
      <c r="C2192" t="str">
        <f t="shared" si="238"/>
        <v>15</v>
      </c>
      <c r="D2192" t="str">
        <f t="shared" si="239"/>
        <v>01</v>
      </c>
      <c r="E2192" t="str">
        <f t="shared" si="240"/>
        <v>16</v>
      </c>
      <c r="F2192">
        <f t="shared" si="241"/>
        <v>2015</v>
      </c>
      <c r="G2192">
        <f t="shared" si="242"/>
        <v>1</v>
      </c>
      <c r="H2192">
        <f t="shared" si="243"/>
        <v>16</v>
      </c>
      <c r="I2192" t="str">
        <f t="shared" si="244"/>
        <v>15</v>
      </c>
    </row>
    <row r="2193" spans="1:9" x14ac:dyDescent="0.25">
      <c r="A2193" s="19">
        <v>41601</v>
      </c>
      <c r="B2193" s="20">
        <v>4.9305555555555554E-2</v>
      </c>
      <c r="C2193" t="str">
        <f t="shared" si="238"/>
        <v>13</v>
      </c>
      <c r="D2193" t="str">
        <f t="shared" si="239"/>
        <v>11</v>
      </c>
      <c r="E2193" t="str">
        <f t="shared" si="240"/>
        <v>23</v>
      </c>
      <c r="F2193">
        <f t="shared" si="241"/>
        <v>2013</v>
      </c>
      <c r="G2193">
        <f t="shared" si="242"/>
        <v>11</v>
      </c>
      <c r="H2193">
        <f t="shared" si="243"/>
        <v>23</v>
      </c>
      <c r="I2193" t="str">
        <f t="shared" si="244"/>
        <v>13</v>
      </c>
    </row>
    <row r="2194" spans="1:9" x14ac:dyDescent="0.25">
      <c r="A2194" s="19">
        <v>41199</v>
      </c>
      <c r="B2194" s="20">
        <v>1.0416666666666666E-2</v>
      </c>
      <c r="C2194" t="str">
        <f t="shared" si="238"/>
        <v>12</v>
      </c>
      <c r="D2194" t="str">
        <f t="shared" si="239"/>
        <v>10</v>
      </c>
      <c r="E2194" t="str">
        <f t="shared" si="240"/>
        <v>17</v>
      </c>
      <c r="F2194">
        <f t="shared" si="241"/>
        <v>2012</v>
      </c>
      <c r="G2194">
        <f t="shared" si="242"/>
        <v>10</v>
      </c>
      <c r="H2194">
        <f t="shared" si="243"/>
        <v>17</v>
      </c>
      <c r="I2194" t="str">
        <f t="shared" si="244"/>
        <v>12</v>
      </c>
    </row>
    <row r="2195" spans="1:9" x14ac:dyDescent="0.25">
      <c r="A2195" s="19">
        <v>41896</v>
      </c>
      <c r="B2195" s="20">
        <v>0.99097222222222225</v>
      </c>
      <c r="C2195" t="str">
        <f t="shared" si="238"/>
        <v>14</v>
      </c>
      <c r="D2195" t="str">
        <f t="shared" si="239"/>
        <v>09</v>
      </c>
      <c r="E2195" t="str">
        <f t="shared" si="240"/>
        <v>14</v>
      </c>
      <c r="F2195">
        <f t="shared" si="241"/>
        <v>2014</v>
      </c>
      <c r="G2195">
        <f t="shared" si="242"/>
        <v>9</v>
      </c>
      <c r="H2195">
        <f t="shared" si="243"/>
        <v>14</v>
      </c>
      <c r="I2195" t="str">
        <f t="shared" si="244"/>
        <v>14</v>
      </c>
    </row>
    <row r="2196" spans="1:9" x14ac:dyDescent="0.25">
      <c r="A2196" s="19">
        <v>41828</v>
      </c>
      <c r="B2196" s="20">
        <v>3.4722222222222224E-2</v>
      </c>
      <c r="C2196" t="str">
        <f t="shared" si="238"/>
        <v>14</v>
      </c>
      <c r="D2196" t="str">
        <f t="shared" si="239"/>
        <v>07</v>
      </c>
      <c r="E2196" t="str">
        <f t="shared" si="240"/>
        <v>08</v>
      </c>
      <c r="F2196">
        <f t="shared" si="241"/>
        <v>2014</v>
      </c>
      <c r="G2196">
        <f t="shared" si="242"/>
        <v>7</v>
      </c>
      <c r="H2196">
        <f t="shared" si="243"/>
        <v>8</v>
      </c>
      <c r="I2196" t="str">
        <f t="shared" si="244"/>
        <v>14</v>
      </c>
    </row>
    <row r="2197" spans="1:9" x14ac:dyDescent="0.25">
      <c r="A2197" s="19">
        <v>42109</v>
      </c>
      <c r="B2197" s="20">
        <v>5.8333333333333334E-2</v>
      </c>
      <c r="C2197" t="str">
        <f t="shared" si="238"/>
        <v>15</v>
      </c>
      <c r="D2197" t="str">
        <f t="shared" si="239"/>
        <v>04</v>
      </c>
      <c r="E2197" t="str">
        <f t="shared" si="240"/>
        <v>15</v>
      </c>
      <c r="F2197">
        <f t="shared" si="241"/>
        <v>2015</v>
      </c>
      <c r="G2197">
        <f t="shared" si="242"/>
        <v>4</v>
      </c>
      <c r="H2197">
        <f t="shared" si="243"/>
        <v>15</v>
      </c>
      <c r="I2197" t="str">
        <f t="shared" si="244"/>
        <v>15</v>
      </c>
    </row>
    <row r="2198" spans="1:9" x14ac:dyDescent="0.25">
      <c r="A2198" s="19">
        <v>41676</v>
      </c>
      <c r="B2198" s="20">
        <v>6.2500000000000003E-3</v>
      </c>
      <c r="C2198" t="str">
        <f t="shared" si="238"/>
        <v>14</v>
      </c>
      <c r="D2198" t="str">
        <f t="shared" si="239"/>
        <v>02</v>
      </c>
      <c r="E2198" t="str">
        <f t="shared" si="240"/>
        <v>06</v>
      </c>
      <c r="F2198">
        <f t="shared" si="241"/>
        <v>2014</v>
      </c>
      <c r="G2198">
        <f t="shared" si="242"/>
        <v>2</v>
      </c>
      <c r="H2198">
        <f t="shared" si="243"/>
        <v>6</v>
      </c>
      <c r="I2198" t="str">
        <f t="shared" si="244"/>
        <v>14</v>
      </c>
    </row>
    <row r="2199" spans="1:9" x14ac:dyDescent="0.25">
      <c r="A2199" s="19">
        <v>41838</v>
      </c>
      <c r="B2199" s="20">
        <v>0.95486111111111116</v>
      </c>
      <c r="C2199" t="str">
        <f t="shared" si="238"/>
        <v>14</v>
      </c>
      <c r="D2199" t="str">
        <f t="shared" si="239"/>
        <v>07</v>
      </c>
      <c r="E2199" t="str">
        <f t="shared" si="240"/>
        <v>18</v>
      </c>
      <c r="F2199">
        <f t="shared" si="241"/>
        <v>2014</v>
      </c>
      <c r="G2199">
        <f t="shared" si="242"/>
        <v>7</v>
      </c>
      <c r="H2199">
        <f t="shared" si="243"/>
        <v>18</v>
      </c>
      <c r="I2199" t="str">
        <f t="shared" si="244"/>
        <v>14</v>
      </c>
    </row>
    <row r="2200" spans="1:9" x14ac:dyDescent="0.25">
      <c r="A2200" s="19">
        <v>42789</v>
      </c>
      <c r="B2200" s="20">
        <v>0</v>
      </c>
      <c r="C2200" t="str">
        <f t="shared" si="238"/>
        <v>17</v>
      </c>
      <c r="D2200" t="str">
        <f t="shared" si="239"/>
        <v>02</v>
      </c>
      <c r="E2200" t="str">
        <f t="shared" si="240"/>
        <v>23</v>
      </c>
      <c r="F2200">
        <f t="shared" si="241"/>
        <v>2017</v>
      </c>
      <c r="G2200">
        <f t="shared" si="242"/>
        <v>2</v>
      </c>
      <c r="H2200">
        <f t="shared" si="243"/>
        <v>23</v>
      </c>
      <c r="I2200" t="str">
        <f t="shared" si="244"/>
        <v>17</v>
      </c>
    </row>
    <row r="2201" spans="1:9" x14ac:dyDescent="0.25">
      <c r="A2201" s="19">
        <v>41631</v>
      </c>
      <c r="B2201" s="20">
        <v>4.8611111111111112E-2</v>
      </c>
      <c r="C2201" t="str">
        <f t="shared" si="238"/>
        <v>13</v>
      </c>
      <c r="D2201" t="str">
        <f t="shared" si="239"/>
        <v>12</v>
      </c>
      <c r="E2201" t="str">
        <f t="shared" si="240"/>
        <v>23</v>
      </c>
      <c r="F2201">
        <f t="shared" si="241"/>
        <v>2013</v>
      </c>
      <c r="G2201">
        <f t="shared" si="242"/>
        <v>12</v>
      </c>
      <c r="H2201">
        <f t="shared" si="243"/>
        <v>23</v>
      </c>
      <c r="I2201" t="str">
        <f t="shared" si="244"/>
        <v>13</v>
      </c>
    </row>
    <row r="2202" spans="1:9" x14ac:dyDescent="0.25">
      <c r="A2202" s="19">
        <v>41577</v>
      </c>
      <c r="B2202" s="20">
        <v>0.98472222222222228</v>
      </c>
      <c r="C2202" t="str">
        <f t="shared" si="238"/>
        <v>13</v>
      </c>
      <c r="D2202" t="str">
        <f t="shared" si="239"/>
        <v>10</v>
      </c>
      <c r="E2202" t="str">
        <f t="shared" si="240"/>
        <v>30</v>
      </c>
      <c r="F2202">
        <f t="shared" si="241"/>
        <v>2013</v>
      </c>
      <c r="G2202">
        <f t="shared" si="242"/>
        <v>10</v>
      </c>
      <c r="H2202">
        <f t="shared" si="243"/>
        <v>30</v>
      </c>
      <c r="I2202" t="str">
        <f t="shared" si="244"/>
        <v>13</v>
      </c>
    </row>
    <row r="2203" spans="1:9" x14ac:dyDescent="0.25">
      <c r="A2203" s="19">
        <v>41665</v>
      </c>
      <c r="B2203" s="20">
        <v>5.2083333333333336E-2</v>
      </c>
      <c r="C2203" t="str">
        <f t="shared" si="238"/>
        <v>14</v>
      </c>
      <c r="D2203" t="str">
        <f t="shared" si="239"/>
        <v>01</v>
      </c>
      <c r="E2203" t="str">
        <f t="shared" si="240"/>
        <v>26</v>
      </c>
      <c r="F2203">
        <f t="shared" si="241"/>
        <v>2014</v>
      </c>
      <c r="G2203">
        <f t="shared" si="242"/>
        <v>1</v>
      </c>
      <c r="H2203">
        <f t="shared" si="243"/>
        <v>26</v>
      </c>
      <c r="I2203" t="str">
        <f t="shared" si="244"/>
        <v>14</v>
      </c>
    </row>
    <row r="2204" spans="1:9" x14ac:dyDescent="0.25">
      <c r="A2204" s="19">
        <v>41338</v>
      </c>
      <c r="B2204" s="20">
        <v>0.97986111111111107</v>
      </c>
      <c r="C2204" t="str">
        <f t="shared" si="238"/>
        <v>13</v>
      </c>
      <c r="D2204" t="str">
        <f t="shared" si="239"/>
        <v>03</v>
      </c>
      <c r="E2204" t="str">
        <f t="shared" si="240"/>
        <v>05</v>
      </c>
      <c r="F2204">
        <f t="shared" si="241"/>
        <v>2013</v>
      </c>
      <c r="G2204">
        <f t="shared" si="242"/>
        <v>3</v>
      </c>
      <c r="H2204">
        <f t="shared" si="243"/>
        <v>5</v>
      </c>
      <c r="I2204" t="str">
        <f t="shared" si="244"/>
        <v>13</v>
      </c>
    </row>
    <row r="2205" spans="1:9" x14ac:dyDescent="0.25">
      <c r="A2205" s="19">
        <v>41765</v>
      </c>
      <c r="B2205" s="20">
        <v>3.4027777777777775E-2</v>
      </c>
      <c r="C2205" t="str">
        <f t="shared" si="238"/>
        <v>14</v>
      </c>
      <c r="D2205" t="str">
        <f t="shared" si="239"/>
        <v>05</v>
      </c>
      <c r="E2205" t="str">
        <f t="shared" si="240"/>
        <v>06</v>
      </c>
      <c r="F2205">
        <f t="shared" si="241"/>
        <v>2014</v>
      </c>
      <c r="G2205">
        <f t="shared" si="242"/>
        <v>5</v>
      </c>
      <c r="H2205">
        <f t="shared" si="243"/>
        <v>6</v>
      </c>
      <c r="I2205" t="str">
        <f t="shared" si="244"/>
        <v>14</v>
      </c>
    </row>
    <row r="2206" spans="1:9" x14ac:dyDescent="0.25">
      <c r="A2206" s="19">
        <v>41869</v>
      </c>
      <c r="B2206" s="20">
        <v>5.6250000000000001E-2</v>
      </c>
      <c r="C2206" t="str">
        <f t="shared" si="238"/>
        <v>14</v>
      </c>
      <c r="D2206" t="str">
        <f t="shared" si="239"/>
        <v>08</v>
      </c>
      <c r="E2206" t="str">
        <f t="shared" si="240"/>
        <v>18</v>
      </c>
      <c r="F2206">
        <f t="shared" si="241"/>
        <v>2014</v>
      </c>
      <c r="G2206">
        <f t="shared" si="242"/>
        <v>8</v>
      </c>
      <c r="H2206">
        <f t="shared" si="243"/>
        <v>18</v>
      </c>
      <c r="I2206" t="str">
        <f t="shared" si="244"/>
        <v>14</v>
      </c>
    </row>
    <row r="2207" spans="1:9" x14ac:dyDescent="0.25">
      <c r="A2207" s="19">
        <v>41573</v>
      </c>
      <c r="B2207" s="20">
        <v>8.3333333333333329E-2</v>
      </c>
      <c r="C2207" t="str">
        <f t="shared" si="238"/>
        <v>13</v>
      </c>
      <c r="D2207" t="str">
        <f t="shared" si="239"/>
        <v>10</v>
      </c>
      <c r="E2207" t="str">
        <f t="shared" si="240"/>
        <v>26</v>
      </c>
      <c r="F2207">
        <f t="shared" si="241"/>
        <v>2013</v>
      </c>
      <c r="G2207">
        <f t="shared" si="242"/>
        <v>10</v>
      </c>
      <c r="H2207">
        <f t="shared" si="243"/>
        <v>26</v>
      </c>
      <c r="I2207" t="str">
        <f t="shared" si="244"/>
        <v>13</v>
      </c>
    </row>
    <row r="2208" spans="1:9" x14ac:dyDescent="0.25">
      <c r="A2208" s="19">
        <v>42155</v>
      </c>
      <c r="B2208" s="20">
        <v>7.3611111111111113E-2</v>
      </c>
      <c r="C2208" t="str">
        <f t="shared" si="238"/>
        <v>15</v>
      </c>
      <c r="D2208" t="str">
        <f t="shared" si="239"/>
        <v>05</v>
      </c>
      <c r="E2208" t="str">
        <f t="shared" si="240"/>
        <v>31</v>
      </c>
      <c r="F2208">
        <f t="shared" si="241"/>
        <v>2015</v>
      </c>
      <c r="G2208">
        <f t="shared" si="242"/>
        <v>5</v>
      </c>
      <c r="H2208">
        <f t="shared" si="243"/>
        <v>31</v>
      </c>
      <c r="I2208" t="str">
        <f t="shared" si="244"/>
        <v>15</v>
      </c>
    </row>
    <row r="2209" spans="1:9" x14ac:dyDescent="0.25">
      <c r="A2209" s="19">
        <v>41877</v>
      </c>
      <c r="B2209" s="20">
        <v>4.3749999999999997E-2</v>
      </c>
      <c r="C2209" t="str">
        <f t="shared" si="238"/>
        <v>14</v>
      </c>
      <c r="D2209" t="str">
        <f t="shared" si="239"/>
        <v>08</v>
      </c>
      <c r="E2209" t="str">
        <f t="shared" si="240"/>
        <v>26</v>
      </c>
      <c r="F2209">
        <f t="shared" si="241"/>
        <v>2014</v>
      </c>
      <c r="G2209">
        <f t="shared" si="242"/>
        <v>8</v>
      </c>
      <c r="H2209">
        <f t="shared" si="243"/>
        <v>26</v>
      </c>
      <c r="I2209" t="str">
        <f t="shared" si="244"/>
        <v>14</v>
      </c>
    </row>
    <row r="2210" spans="1:9" x14ac:dyDescent="0.25">
      <c r="A2210" s="19">
        <v>41733</v>
      </c>
      <c r="B2210" s="20">
        <v>5.486111111111111E-2</v>
      </c>
      <c r="C2210" t="str">
        <f t="shared" si="238"/>
        <v>14</v>
      </c>
      <c r="D2210" t="str">
        <f t="shared" si="239"/>
        <v>04</v>
      </c>
      <c r="E2210" t="str">
        <f t="shared" si="240"/>
        <v>04</v>
      </c>
      <c r="F2210">
        <f t="shared" si="241"/>
        <v>2014</v>
      </c>
      <c r="G2210">
        <f t="shared" si="242"/>
        <v>4</v>
      </c>
      <c r="H2210">
        <f t="shared" si="243"/>
        <v>4</v>
      </c>
      <c r="I2210" t="str">
        <f t="shared" si="244"/>
        <v>14</v>
      </c>
    </row>
    <row r="2211" spans="1:9" x14ac:dyDescent="0.25">
      <c r="A2211" s="19">
        <v>41167</v>
      </c>
      <c r="B2211" s="20">
        <v>9.0277777777777769E-3</v>
      </c>
      <c r="C2211" t="str">
        <f t="shared" si="238"/>
        <v>12</v>
      </c>
      <c r="D2211" t="str">
        <f t="shared" si="239"/>
        <v>09</v>
      </c>
      <c r="E2211" t="str">
        <f t="shared" si="240"/>
        <v>15</v>
      </c>
      <c r="F2211">
        <f t="shared" si="241"/>
        <v>2012</v>
      </c>
      <c r="G2211">
        <f t="shared" si="242"/>
        <v>9</v>
      </c>
      <c r="H2211">
        <f t="shared" si="243"/>
        <v>15</v>
      </c>
      <c r="I2211" t="str">
        <f t="shared" si="244"/>
        <v>12</v>
      </c>
    </row>
    <row r="2212" spans="1:9" x14ac:dyDescent="0.25">
      <c r="A2212" s="19">
        <v>41938</v>
      </c>
      <c r="B2212" s="20">
        <v>8.819444444444445E-2</v>
      </c>
      <c r="C2212" t="str">
        <f t="shared" si="238"/>
        <v>14</v>
      </c>
      <c r="D2212" t="str">
        <f t="shared" si="239"/>
        <v>10</v>
      </c>
      <c r="E2212" t="str">
        <f t="shared" si="240"/>
        <v>26</v>
      </c>
      <c r="F2212">
        <f t="shared" si="241"/>
        <v>2014</v>
      </c>
      <c r="G2212">
        <f t="shared" si="242"/>
        <v>10</v>
      </c>
      <c r="H2212">
        <f t="shared" si="243"/>
        <v>26</v>
      </c>
      <c r="I2212" t="str">
        <f t="shared" si="244"/>
        <v>14</v>
      </c>
    </row>
    <row r="2213" spans="1:9" x14ac:dyDescent="0.25">
      <c r="A2213" s="19">
        <v>41553</v>
      </c>
      <c r="B2213" s="20">
        <v>7.3611111111111113E-2</v>
      </c>
      <c r="C2213" t="str">
        <f t="shared" si="238"/>
        <v>13</v>
      </c>
      <c r="D2213" t="str">
        <f t="shared" si="239"/>
        <v>10</v>
      </c>
      <c r="E2213" t="str">
        <f t="shared" si="240"/>
        <v>06</v>
      </c>
      <c r="F2213">
        <f t="shared" si="241"/>
        <v>2013</v>
      </c>
      <c r="G2213">
        <f t="shared" si="242"/>
        <v>10</v>
      </c>
      <c r="H2213">
        <f t="shared" si="243"/>
        <v>6</v>
      </c>
      <c r="I2213" t="str">
        <f t="shared" si="244"/>
        <v>13</v>
      </c>
    </row>
    <row r="2214" spans="1:9" x14ac:dyDescent="0.25">
      <c r="A2214" s="19">
        <v>41147</v>
      </c>
      <c r="B2214" s="20">
        <v>1.5277777777777777E-2</v>
      </c>
      <c r="C2214" t="str">
        <f t="shared" si="238"/>
        <v>12</v>
      </c>
      <c r="D2214" t="str">
        <f t="shared" si="239"/>
        <v>08</v>
      </c>
      <c r="E2214" t="str">
        <f t="shared" si="240"/>
        <v>26</v>
      </c>
      <c r="F2214">
        <f t="shared" si="241"/>
        <v>2012</v>
      </c>
      <c r="G2214">
        <f t="shared" si="242"/>
        <v>8</v>
      </c>
      <c r="H2214">
        <f t="shared" si="243"/>
        <v>26</v>
      </c>
      <c r="I2214" t="str">
        <f t="shared" si="244"/>
        <v>12</v>
      </c>
    </row>
    <row r="2215" spans="1:9" x14ac:dyDescent="0.25">
      <c r="A2215" s="19">
        <v>42955</v>
      </c>
      <c r="B2215" s="20">
        <v>0.97222222222222221</v>
      </c>
      <c r="C2215" t="str">
        <f t="shared" si="238"/>
        <v>17</v>
      </c>
      <c r="D2215" t="str">
        <f t="shared" si="239"/>
        <v>08</v>
      </c>
      <c r="E2215" t="str">
        <f t="shared" si="240"/>
        <v>08</v>
      </c>
      <c r="F2215">
        <f t="shared" si="241"/>
        <v>2017</v>
      </c>
      <c r="G2215">
        <f t="shared" si="242"/>
        <v>8</v>
      </c>
      <c r="H2215">
        <f t="shared" si="243"/>
        <v>8</v>
      </c>
      <c r="I2215" t="str">
        <f t="shared" si="244"/>
        <v>17</v>
      </c>
    </row>
    <row r="2216" spans="1:9" x14ac:dyDescent="0.25">
      <c r="A2216" s="19">
        <v>41022</v>
      </c>
      <c r="B2216" s="20">
        <v>6.7361111111111108E-2</v>
      </c>
      <c r="C2216" t="str">
        <f t="shared" si="238"/>
        <v>12</v>
      </c>
      <c r="D2216" t="str">
        <f t="shared" si="239"/>
        <v>04</v>
      </c>
      <c r="E2216" t="str">
        <f t="shared" si="240"/>
        <v>23</v>
      </c>
      <c r="F2216">
        <f t="shared" si="241"/>
        <v>2012</v>
      </c>
      <c r="G2216">
        <f t="shared" si="242"/>
        <v>4</v>
      </c>
      <c r="H2216">
        <f t="shared" si="243"/>
        <v>23</v>
      </c>
      <c r="I2216" t="str">
        <f t="shared" si="244"/>
        <v>12</v>
      </c>
    </row>
    <row r="2217" spans="1:9" x14ac:dyDescent="0.25">
      <c r="A2217" s="19">
        <v>42698</v>
      </c>
      <c r="B2217" s="20">
        <v>0.98541666666666672</v>
      </c>
      <c r="C2217" t="str">
        <f t="shared" si="238"/>
        <v>16</v>
      </c>
      <c r="D2217" t="str">
        <f t="shared" si="239"/>
        <v>11</v>
      </c>
      <c r="E2217" t="str">
        <f t="shared" si="240"/>
        <v>24</v>
      </c>
      <c r="F2217">
        <f t="shared" si="241"/>
        <v>2016</v>
      </c>
      <c r="G2217">
        <f t="shared" si="242"/>
        <v>11</v>
      </c>
      <c r="H2217">
        <f t="shared" si="243"/>
        <v>24</v>
      </c>
      <c r="I2217" t="str">
        <f t="shared" si="244"/>
        <v>16</v>
      </c>
    </row>
    <row r="2218" spans="1:9" x14ac:dyDescent="0.25">
      <c r="A2218" s="19">
        <v>41546</v>
      </c>
      <c r="B2218" s="20">
        <v>0.97847222222222219</v>
      </c>
      <c r="C2218" t="str">
        <f t="shared" si="238"/>
        <v>13</v>
      </c>
      <c r="D2218" t="str">
        <f t="shared" si="239"/>
        <v>09</v>
      </c>
      <c r="E2218" t="str">
        <f t="shared" si="240"/>
        <v>29</v>
      </c>
      <c r="F2218">
        <f t="shared" si="241"/>
        <v>2013</v>
      </c>
      <c r="G2218">
        <f t="shared" si="242"/>
        <v>9</v>
      </c>
      <c r="H2218">
        <f t="shared" si="243"/>
        <v>29</v>
      </c>
      <c r="I2218" t="str">
        <f t="shared" si="244"/>
        <v>13</v>
      </c>
    </row>
    <row r="2219" spans="1:9" x14ac:dyDescent="0.25">
      <c r="A2219" s="19">
        <v>42175</v>
      </c>
      <c r="B2219" s="20">
        <v>8.2638888888888887E-2</v>
      </c>
      <c r="C2219" t="str">
        <f t="shared" si="238"/>
        <v>15</v>
      </c>
      <c r="D2219" t="str">
        <f t="shared" si="239"/>
        <v>06</v>
      </c>
      <c r="E2219" t="str">
        <f t="shared" si="240"/>
        <v>20</v>
      </c>
      <c r="F2219">
        <f t="shared" si="241"/>
        <v>2015</v>
      </c>
      <c r="G2219">
        <f t="shared" si="242"/>
        <v>6</v>
      </c>
      <c r="H2219">
        <f t="shared" si="243"/>
        <v>20</v>
      </c>
      <c r="I2219" t="str">
        <f t="shared" si="244"/>
        <v>15</v>
      </c>
    </row>
    <row r="2220" spans="1:9" x14ac:dyDescent="0.25">
      <c r="A2220" s="19">
        <v>41566</v>
      </c>
      <c r="B2220" s="20">
        <v>0.97499999999999998</v>
      </c>
      <c r="C2220" t="str">
        <f t="shared" si="238"/>
        <v>13</v>
      </c>
      <c r="D2220" t="str">
        <f t="shared" si="239"/>
        <v>10</v>
      </c>
      <c r="E2220" t="str">
        <f t="shared" si="240"/>
        <v>19</v>
      </c>
      <c r="F2220">
        <f t="shared" si="241"/>
        <v>2013</v>
      </c>
      <c r="G2220">
        <f t="shared" si="242"/>
        <v>10</v>
      </c>
      <c r="H2220">
        <f t="shared" si="243"/>
        <v>19</v>
      </c>
      <c r="I2220" t="str">
        <f t="shared" si="244"/>
        <v>13</v>
      </c>
    </row>
    <row r="2221" spans="1:9" x14ac:dyDescent="0.25">
      <c r="A2221" s="19">
        <v>41822</v>
      </c>
      <c r="B2221" s="20">
        <v>4.3749999999999997E-2</v>
      </c>
      <c r="C2221" t="str">
        <f t="shared" si="238"/>
        <v>14</v>
      </c>
      <c r="D2221" t="str">
        <f t="shared" si="239"/>
        <v>07</v>
      </c>
      <c r="E2221" t="str">
        <f t="shared" si="240"/>
        <v>02</v>
      </c>
      <c r="F2221">
        <f t="shared" si="241"/>
        <v>2014</v>
      </c>
      <c r="G2221">
        <f t="shared" si="242"/>
        <v>7</v>
      </c>
      <c r="H2221">
        <f t="shared" si="243"/>
        <v>2</v>
      </c>
      <c r="I2221" t="str">
        <f t="shared" si="244"/>
        <v>14</v>
      </c>
    </row>
    <row r="2222" spans="1:9" x14ac:dyDescent="0.25">
      <c r="A2222" s="19">
        <v>41242</v>
      </c>
      <c r="B2222" s="20">
        <v>6.1805555555555558E-2</v>
      </c>
      <c r="C2222" t="str">
        <f t="shared" si="238"/>
        <v>12</v>
      </c>
      <c r="D2222" t="str">
        <f t="shared" si="239"/>
        <v>11</v>
      </c>
      <c r="E2222" t="str">
        <f t="shared" si="240"/>
        <v>29</v>
      </c>
      <c r="F2222">
        <f t="shared" si="241"/>
        <v>2012</v>
      </c>
      <c r="G2222">
        <f t="shared" si="242"/>
        <v>11</v>
      </c>
      <c r="H2222">
        <f t="shared" si="243"/>
        <v>29</v>
      </c>
      <c r="I2222" t="str">
        <f t="shared" si="244"/>
        <v>12</v>
      </c>
    </row>
    <row r="2223" spans="1:9" x14ac:dyDescent="0.25">
      <c r="A2223" s="19">
        <v>42635</v>
      </c>
      <c r="B2223" s="20">
        <v>7.6388888888888886E-3</v>
      </c>
      <c r="C2223" t="str">
        <f t="shared" si="238"/>
        <v>16</v>
      </c>
      <c r="D2223" t="str">
        <f t="shared" si="239"/>
        <v>09</v>
      </c>
      <c r="E2223" t="str">
        <f t="shared" si="240"/>
        <v>22</v>
      </c>
      <c r="F2223">
        <f t="shared" si="241"/>
        <v>2016</v>
      </c>
      <c r="G2223">
        <f t="shared" si="242"/>
        <v>9</v>
      </c>
      <c r="H2223">
        <f t="shared" si="243"/>
        <v>22</v>
      </c>
      <c r="I2223" t="str">
        <f t="shared" si="244"/>
        <v>16</v>
      </c>
    </row>
    <row r="2224" spans="1:9" x14ac:dyDescent="0.25">
      <c r="A2224" s="19">
        <v>42773</v>
      </c>
      <c r="B2224" s="20">
        <v>0.94513888888888886</v>
      </c>
      <c r="C2224" t="str">
        <f t="shared" si="238"/>
        <v>17</v>
      </c>
      <c r="D2224" t="str">
        <f t="shared" si="239"/>
        <v>02</v>
      </c>
      <c r="E2224" t="str">
        <f t="shared" si="240"/>
        <v>07</v>
      </c>
      <c r="F2224">
        <f t="shared" si="241"/>
        <v>2017</v>
      </c>
      <c r="G2224">
        <f t="shared" si="242"/>
        <v>2</v>
      </c>
      <c r="H2224">
        <f t="shared" si="243"/>
        <v>7</v>
      </c>
      <c r="I2224" t="str">
        <f t="shared" si="244"/>
        <v>17</v>
      </c>
    </row>
    <row r="2225" spans="1:9" x14ac:dyDescent="0.25">
      <c r="A2225" s="19">
        <v>41774</v>
      </c>
      <c r="B2225" s="20">
        <v>0.97291666666666665</v>
      </c>
      <c r="C2225" t="str">
        <f t="shared" si="238"/>
        <v>14</v>
      </c>
      <c r="D2225" t="str">
        <f t="shared" si="239"/>
        <v>05</v>
      </c>
      <c r="E2225" t="str">
        <f t="shared" si="240"/>
        <v>15</v>
      </c>
      <c r="F2225">
        <f t="shared" si="241"/>
        <v>2014</v>
      </c>
      <c r="G2225">
        <f t="shared" si="242"/>
        <v>5</v>
      </c>
      <c r="H2225">
        <f t="shared" si="243"/>
        <v>15</v>
      </c>
      <c r="I2225" t="str">
        <f t="shared" si="244"/>
        <v>14</v>
      </c>
    </row>
    <row r="2226" spans="1:9" x14ac:dyDescent="0.25">
      <c r="A2226" s="19">
        <v>42113</v>
      </c>
      <c r="B2226" s="20">
        <v>0.95138888888888884</v>
      </c>
      <c r="C2226" t="str">
        <f t="shared" si="238"/>
        <v>15</v>
      </c>
      <c r="D2226" t="str">
        <f t="shared" si="239"/>
        <v>04</v>
      </c>
      <c r="E2226" t="str">
        <f t="shared" si="240"/>
        <v>19</v>
      </c>
      <c r="F2226">
        <f t="shared" si="241"/>
        <v>2015</v>
      </c>
      <c r="G2226">
        <f t="shared" si="242"/>
        <v>4</v>
      </c>
      <c r="H2226">
        <f t="shared" si="243"/>
        <v>19</v>
      </c>
      <c r="I2226" t="str">
        <f t="shared" si="244"/>
        <v>15</v>
      </c>
    </row>
    <row r="2227" spans="1:9" x14ac:dyDescent="0.25">
      <c r="A2227" s="19">
        <v>41812</v>
      </c>
      <c r="B2227" s="20">
        <v>3.8194444444444448E-2</v>
      </c>
      <c r="C2227" t="str">
        <f t="shared" si="238"/>
        <v>14</v>
      </c>
      <c r="D2227" t="str">
        <f t="shared" si="239"/>
        <v>06</v>
      </c>
      <c r="E2227" t="str">
        <f t="shared" si="240"/>
        <v>22</v>
      </c>
      <c r="F2227">
        <f t="shared" si="241"/>
        <v>2014</v>
      </c>
      <c r="G2227">
        <f t="shared" si="242"/>
        <v>6</v>
      </c>
      <c r="H2227">
        <f t="shared" si="243"/>
        <v>22</v>
      </c>
      <c r="I2227" t="str">
        <f t="shared" si="244"/>
        <v>14</v>
      </c>
    </row>
    <row r="2228" spans="1:9" x14ac:dyDescent="0.25">
      <c r="A2228" s="19">
        <v>41826</v>
      </c>
      <c r="B2228" s="20">
        <v>1.8749999999999999E-2</v>
      </c>
      <c r="C2228" t="str">
        <f t="shared" si="238"/>
        <v>14</v>
      </c>
      <c r="D2228" t="str">
        <f t="shared" si="239"/>
        <v>07</v>
      </c>
      <c r="E2228" t="str">
        <f t="shared" si="240"/>
        <v>06</v>
      </c>
      <c r="F2228">
        <f t="shared" si="241"/>
        <v>2014</v>
      </c>
      <c r="G2228">
        <f t="shared" si="242"/>
        <v>7</v>
      </c>
      <c r="H2228">
        <f t="shared" si="243"/>
        <v>6</v>
      </c>
      <c r="I2228" t="str">
        <f t="shared" si="244"/>
        <v>14</v>
      </c>
    </row>
    <row r="2229" spans="1:9" x14ac:dyDescent="0.25">
      <c r="A2229" s="19">
        <v>41905</v>
      </c>
      <c r="B2229" s="20">
        <v>0.97777777777777775</v>
      </c>
      <c r="C2229" t="str">
        <f t="shared" si="238"/>
        <v>14</v>
      </c>
      <c r="D2229" t="str">
        <f t="shared" si="239"/>
        <v>09</v>
      </c>
      <c r="E2229" t="str">
        <f t="shared" si="240"/>
        <v>23</v>
      </c>
      <c r="F2229">
        <f t="shared" si="241"/>
        <v>2014</v>
      </c>
      <c r="G2229">
        <f t="shared" si="242"/>
        <v>9</v>
      </c>
      <c r="H2229">
        <f t="shared" si="243"/>
        <v>23</v>
      </c>
      <c r="I2229" t="str">
        <f t="shared" si="244"/>
        <v>14</v>
      </c>
    </row>
    <row r="2230" spans="1:9" x14ac:dyDescent="0.25">
      <c r="A2230" s="19">
        <v>41697</v>
      </c>
      <c r="B2230" s="20">
        <v>0.98333333333333328</v>
      </c>
      <c r="C2230" t="str">
        <f t="shared" si="238"/>
        <v>14</v>
      </c>
      <c r="D2230" t="str">
        <f t="shared" si="239"/>
        <v>02</v>
      </c>
      <c r="E2230" t="str">
        <f t="shared" si="240"/>
        <v>27</v>
      </c>
      <c r="F2230">
        <f t="shared" si="241"/>
        <v>2014</v>
      </c>
      <c r="G2230">
        <f t="shared" si="242"/>
        <v>2</v>
      </c>
      <c r="H2230">
        <f t="shared" si="243"/>
        <v>27</v>
      </c>
      <c r="I2230" t="str">
        <f t="shared" si="244"/>
        <v>14</v>
      </c>
    </row>
    <row r="2231" spans="1:9" x14ac:dyDescent="0.25">
      <c r="A2231" s="19">
        <v>41488</v>
      </c>
      <c r="B2231" s="20">
        <v>2.361111111111111E-2</v>
      </c>
      <c r="C2231" t="str">
        <f t="shared" si="238"/>
        <v>13</v>
      </c>
      <c r="D2231" t="str">
        <f t="shared" si="239"/>
        <v>08</v>
      </c>
      <c r="E2231" t="str">
        <f t="shared" si="240"/>
        <v>02</v>
      </c>
      <c r="F2231">
        <f t="shared" si="241"/>
        <v>2013</v>
      </c>
      <c r="G2231">
        <f t="shared" si="242"/>
        <v>8</v>
      </c>
      <c r="H2231">
        <f t="shared" si="243"/>
        <v>2</v>
      </c>
      <c r="I2231" t="str">
        <f t="shared" si="244"/>
        <v>13</v>
      </c>
    </row>
    <row r="2232" spans="1:9" x14ac:dyDescent="0.25">
      <c r="A2232" s="19">
        <v>42386</v>
      </c>
      <c r="B2232" s="20">
        <v>3.7499999999999999E-2</v>
      </c>
      <c r="C2232" t="str">
        <f t="shared" si="238"/>
        <v>16</v>
      </c>
      <c r="D2232" t="str">
        <f t="shared" si="239"/>
        <v>01</v>
      </c>
      <c r="E2232" t="str">
        <f t="shared" si="240"/>
        <v>17</v>
      </c>
      <c r="F2232">
        <f t="shared" si="241"/>
        <v>2016</v>
      </c>
      <c r="G2232">
        <f t="shared" si="242"/>
        <v>1</v>
      </c>
      <c r="H2232">
        <f t="shared" si="243"/>
        <v>17</v>
      </c>
      <c r="I2232" t="str">
        <f t="shared" si="244"/>
        <v>16</v>
      </c>
    </row>
    <row r="2233" spans="1:9" x14ac:dyDescent="0.25">
      <c r="A2233" s="19">
        <v>41592</v>
      </c>
      <c r="B2233" s="20">
        <v>8.3333333333333329E-2</v>
      </c>
      <c r="C2233" t="str">
        <f t="shared" si="238"/>
        <v>13</v>
      </c>
      <c r="D2233" t="str">
        <f t="shared" si="239"/>
        <v>11</v>
      </c>
      <c r="E2233" t="str">
        <f t="shared" si="240"/>
        <v>14</v>
      </c>
      <c r="F2233">
        <f t="shared" si="241"/>
        <v>2013</v>
      </c>
      <c r="G2233">
        <f t="shared" si="242"/>
        <v>11</v>
      </c>
      <c r="H2233">
        <f t="shared" si="243"/>
        <v>14</v>
      </c>
      <c r="I2233" t="str">
        <f t="shared" si="244"/>
        <v>13</v>
      </c>
    </row>
    <row r="2234" spans="1:9" x14ac:dyDescent="0.25">
      <c r="A2234" s="19">
        <v>42010</v>
      </c>
      <c r="B2234" s="20">
        <v>2.013888888888889E-2</v>
      </c>
      <c r="C2234" t="str">
        <f t="shared" si="238"/>
        <v>15</v>
      </c>
      <c r="D2234" t="str">
        <f t="shared" si="239"/>
        <v>01</v>
      </c>
      <c r="E2234" t="str">
        <f t="shared" si="240"/>
        <v>06</v>
      </c>
      <c r="F2234">
        <f t="shared" si="241"/>
        <v>2015</v>
      </c>
      <c r="G2234">
        <f t="shared" si="242"/>
        <v>1</v>
      </c>
      <c r="H2234">
        <f t="shared" si="243"/>
        <v>6</v>
      </c>
      <c r="I2234" t="str">
        <f t="shared" si="244"/>
        <v>15</v>
      </c>
    </row>
    <row r="2235" spans="1:9" x14ac:dyDescent="0.25">
      <c r="A2235" s="19">
        <v>41981</v>
      </c>
      <c r="B2235" s="20">
        <v>0.96875</v>
      </c>
      <c r="C2235" t="str">
        <f t="shared" si="238"/>
        <v>14</v>
      </c>
      <c r="D2235" t="str">
        <f t="shared" si="239"/>
        <v>12</v>
      </c>
      <c r="E2235" t="str">
        <f t="shared" si="240"/>
        <v>08</v>
      </c>
      <c r="F2235">
        <f t="shared" si="241"/>
        <v>2014</v>
      </c>
      <c r="G2235">
        <f t="shared" si="242"/>
        <v>12</v>
      </c>
      <c r="H2235">
        <f t="shared" si="243"/>
        <v>8</v>
      </c>
      <c r="I2235" t="str">
        <f t="shared" si="244"/>
        <v>14</v>
      </c>
    </row>
    <row r="2236" spans="1:9" x14ac:dyDescent="0.25">
      <c r="A2236" s="19">
        <v>41790</v>
      </c>
      <c r="B2236" s="20">
        <v>4.4444444444444446E-2</v>
      </c>
      <c r="C2236" t="str">
        <f t="shared" si="238"/>
        <v>14</v>
      </c>
      <c r="D2236" t="str">
        <f t="shared" si="239"/>
        <v>05</v>
      </c>
      <c r="E2236" t="str">
        <f t="shared" si="240"/>
        <v>31</v>
      </c>
      <c r="F2236">
        <f t="shared" si="241"/>
        <v>2014</v>
      </c>
      <c r="G2236">
        <f t="shared" si="242"/>
        <v>5</v>
      </c>
      <c r="H2236">
        <f t="shared" si="243"/>
        <v>31</v>
      </c>
      <c r="I2236" t="str">
        <f t="shared" si="244"/>
        <v>14</v>
      </c>
    </row>
    <row r="2237" spans="1:9" x14ac:dyDescent="0.25">
      <c r="A2237" s="19">
        <v>41751</v>
      </c>
      <c r="B2237" s="20">
        <v>4.027777777777778E-2</v>
      </c>
      <c r="C2237" t="str">
        <f t="shared" si="238"/>
        <v>14</v>
      </c>
      <c r="D2237" t="str">
        <f t="shared" si="239"/>
        <v>04</v>
      </c>
      <c r="E2237" t="str">
        <f t="shared" si="240"/>
        <v>22</v>
      </c>
      <c r="F2237">
        <f t="shared" si="241"/>
        <v>2014</v>
      </c>
      <c r="G2237">
        <f t="shared" si="242"/>
        <v>4</v>
      </c>
      <c r="H2237">
        <f t="shared" si="243"/>
        <v>22</v>
      </c>
      <c r="I2237" t="str">
        <f t="shared" si="244"/>
        <v>14</v>
      </c>
    </row>
    <row r="2238" spans="1:9" x14ac:dyDescent="0.25">
      <c r="A2238" s="19">
        <v>41363</v>
      </c>
      <c r="B2238" s="20">
        <v>3.3333333333333333E-2</v>
      </c>
      <c r="C2238" t="str">
        <f t="shared" si="238"/>
        <v>13</v>
      </c>
      <c r="D2238" t="str">
        <f t="shared" si="239"/>
        <v>03</v>
      </c>
      <c r="E2238" t="str">
        <f t="shared" si="240"/>
        <v>30</v>
      </c>
      <c r="F2238">
        <f t="shared" si="241"/>
        <v>2013</v>
      </c>
      <c r="G2238">
        <f t="shared" si="242"/>
        <v>3</v>
      </c>
      <c r="H2238">
        <f t="shared" si="243"/>
        <v>30</v>
      </c>
      <c r="I2238" t="str">
        <f t="shared" si="244"/>
        <v>13</v>
      </c>
    </row>
    <row r="2239" spans="1:9" x14ac:dyDescent="0.25">
      <c r="A2239" s="19">
        <v>41267</v>
      </c>
      <c r="B2239" s="20">
        <v>3.4027777777777775E-2</v>
      </c>
      <c r="C2239" t="str">
        <f t="shared" si="238"/>
        <v>12</v>
      </c>
      <c r="D2239" t="str">
        <f t="shared" si="239"/>
        <v>12</v>
      </c>
      <c r="E2239" t="str">
        <f t="shared" si="240"/>
        <v>24</v>
      </c>
      <c r="F2239">
        <f t="shared" si="241"/>
        <v>2012</v>
      </c>
      <c r="G2239">
        <f t="shared" si="242"/>
        <v>12</v>
      </c>
      <c r="H2239">
        <f t="shared" si="243"/>
        <v>24</v>
      </c>
      <c r="I2239" t="str">
        <f t="shared" si="244"/>
        <v>12</v>
      </c>
    </row>
    <row r="2240" spans="1:9" x14ac:dyDescent="0.25">
      <c r="A2240" s="19">
        <v>42773</v>
      </c>
      <c r="B2240" s="20">
        <v>0.97361111111111109</v>
      </c>
      <c r="C2240" t="str">
        <f t="shared" si="238"/>
        <v>17</v>
      </c>
      <c r="D2240" t="str">
        <f t="shared" si="239"/>
        <v>02</v>
      </c>
      <c r="E2240" t="str">
        <f t="shared" si="240"/>
        <v>07</v>
      </c>
      <c r="F2240">
        <f t="shared" si="241"/>
        <v>2017</v>
      </c>
      <c r="G2240">
        <f t="shared" si="242"/>
        <v>2</v>
      </c>
      <c r="H2240">
        <f t="shared" si="243"/>
        <v>7</v>
      </c>
      <c r="I2240" t="str">
        <f t="shared" si="244"/>
        <v>17</v>
      </c>
    </row>
    <row r="2241" spans="1:9" x14ac:dyDescent="0.25">
      <c r="A2241" s="19">
        <v>41512</v>
      </c>
      <c r="B2241" s="20">
        <v>3.4722222222222224E-2</v>
      </c>
      <c r="C2241" t="str">
        <f t="shared" si="238"/>
        <v>13</v>
      </c>
      <c r="D2241" t="str">
        <f t="shared" si="239"/>
        <v>08</v>
      </c>
      <c r="E2241" t="str">
        <f t="shared" si="240"/>
        <v>26</v>
      </c>
      <c r="F2241">
        <f t="shared" si="241"/>
        <v>2013</v>
      </c>
      <c r="G2241">
        <f t="shared" si="242"/>
        <v>8</v>
      </c>
      <c r="H2241">
        <f t="shared" si="243"/>
        <v>26</v>
      </c>
      <c r="I2241" t="str">
        <f t="shared" si="244"/>
        <v>13</v>
      </c>
    </row>
    <row r="2242" spans="1:9" x14ac:dyDescent="0.25">
      <c r="A2242" s="19">
        <v>42476</v>
      </c>
      <c r="B2242" s="20">
        <v>2.361111111111111E-2</v>
      </c>
      <c r="C2242" t="str">
        <f t="shared" si="238"/>
        <v>16</v>
      </c>
      <c r="D2242" t="str">
        <f t="shared" si="239"/>
        <v>04</v>
      </c>
      <c r="E2242" t="str">
        <f t="shared" si="240"/>
        <v>16</v>
      </c>
      <c r="F2242">
        <f t="shared" si="241"/>
        <v>2016</v>
      </c>
      <c r="G2242">
        <f t="shared" si="242"/>
        <v>4</v>
      </c>
      <c r="H2242">
        <f t="shared" si="243"/>
        <v>16</v>
      </c>
      <c r="I2242" t="str">
        <f t="shared" si="244"/>
        <v>16</v>
      </c>
    </row>
    <row r="2243" spans="1:9" x14ac:dyDescent="0.25">
      <c r="A2243" s="19">
        <v>42346</v>
      </c>
      <c r="B2243" s="20">
        <v>1.1111111111111112E-2</v>
      </c>
      <c r="C2243" t="str">
        <f t="shared" ref="C2243:C2306" si="245">TEXT(A2243,"YY")</f>
        <v>15</v>
      </c>
      <c r="D2243" t="str">
        <f t="shared" ref="D2243:D2306" si="246">TEXT(A2243,"mm")</f>
        <v>12</v>
      </c>
      <c r="E2243" t="str">
        <f t="shared" ref="E2243:E2306" si="247">TEXT(A2243,"dd")</f>
        <v>08</v>
      </c>
      <c r="F2243">
        <f t="shared" ref="F2243:F2306" si="248">YEAR($A2243)</f>
        <v>2015</v>
      </c>
      <c r="G2243">
        <f t="shared" ref="G2243:G2306" si="249">MONTH($A2243)</f>
        <v>12</v>
      </c>
      <c r="H2243">
        <f t="shared" ref="H2243:H2306" si="250">DAY($A2243)</f>
        <v>8</v>
      </c>
      <c r="I2243" t="str">
        <f t="shared" ref="I2243:I2306" si="251">TEXT($A2243,"YY")</f>
        <v>15</v>
      </c>
    </row>
    <row r="2244" spans="1:9" x14ac:dyDescent="0.25">
      <c r="A2244" s="19">
        <v>41209</v>
      </c>
      <c r="B2244" s="20">
        <v>2.4305555555555556E-2</v>
      </c>
      <c r="C2244" t="str">
        <f t="shared" si="245"/>
        <v>12</v>
      </c>
      <c r="D2244" t="str">
        <f t="shared" si="246"/>
        <v>10</v>
      </c>
      <c r="E2244" t="str">
        <f t="shared" si="247"/>
        <v>27</v>
      </c>
      <c r="F2244">
        <f t="shared" si="248"/>
        <v>2012</v>
      </c>
      <c r="G2244">
        <f t="shared" si="249"/>
        <v>10</v>
      </c>
      <c r="H2244">
        <f t="shared" si="250"/>
        <v>27</v>
      </c>
      <c r="I2244" t="str">
        <f t="shared" si="251"/>
        <v>12</v>
      </c>
    </row>
    <row r="2245" spans="1:9" x14ac:dyDescent="0.25">
      <c r="A2245" s="19">
        <v>41808</v>
      </c>
      <c r="B2245" s="20">
        <v>2.4305555555555556E-2</v>
      </c>
      <c r="C2245" t="str">
        <f t="shared" si="245"/>
        <v>14</v>
      </c>
      <c r="D2245" t="str">
        <f t="shared" si="246"/>
        <v>06</v>
      </c>
      <c r="E2245" t="str">
        <f t="shared" si="247"/>
        <v>18</v>
      </c>
      <c r="F2245">
        <f t="shared" si="248"/>
        <v>2014</v>
      </c>
      <c r="G2245">
        <f t="shared" si="249"/>
        <v>6</v>
      </c>
      <c r="H2245">
        <f t="shared" si="250"/>
        <v>18</v>
      </c>
      <c r="I2245" t="str">
        <f t="shared" si="251"/>
        <v>14</v>
      </c>
    </row>
    <row r="2246" spans="1:9" x14ac:dyDescent="0.25">
      <c r="A2246" s="19">
        <v>42406</v>
      </c>
      <c r="B2246" s="20">
        <v>3.7499999999999999E-2</v>
      </c>
      <c r="C2246" t="str">
        <f t="shared" si="245"/>
        <v>16</v>
      </c>
      <c r="D2246" t="str">
        <f t="shared" si="246"/>
        <v>02</v>
      </c>
      <c r="E2246" t="str">
        <f t="shared" si="247"/>
        <v>06</v>
      </c>
      <c r="F2246">
        <f t="shared" si="248"/>
        <v>2016</v>
      </c>
      <c r="G2246">
        <f t="shared" si="249"/>
        <v>2</v>
      </c>
      <c r="H2246">
        <f t="shared" si="250"/>
        <v>6</v>
      </c>
      <c r="I2246" t="str">
        <f t="shared" si="251"/>
        <v>16</v>
      </c>
    </row>
    <row r="2247" spans="1:9" x14ac:dyDescent="0.25">
      <c r="A2247" s="19">
        <v>41481</v>
      </c>
      <c r="B2247" s="20">
        <v>3.9583333333333331E-2</v>
      </c>
      <c r="C2247" t="str">
        <f t="shared" si="245"/>
        <v>13</v>
      </c>
      <c r="D2247" t="str">
        <f t="shared" si="246"/>
        <v>07</v>
      </c>
      <c r="E2247" t="str">
        <f t="shared" si="247"/>
        <v>26</v>
      </c>
      <c r="F2247">
        <f t="shared" si="248"/>
        <v>2013</v>
      </c>
      <c r="G2247">
        <f t="shared" si="249"/>
        <v>7</v>
      </c>
      <c r="H2247">
        <f t="shared" si="250"/>
        <v>26</v>
      </c>
      <c r="I2247" t="str">
        <f t="shared" si="251"/>
        <v>13</v>
      </c>
    </row>
    <row r="2248" spans="1:9" x14ac:dyDescent="0.25">
      <c r="A2248" s="19">
        <v>42523</v>
      </c>
      <c r="B2248" s="20">
        <v>3.4722222222222224E-2</v>
      </c>
      <c r="C2248" t="str">
        <f t="shared" si="245"/>
        <v>16</v>
      </c>
      <c r="D2248" t="str">
        <f t="shared" si="246"/>
        <v>06</v>
      </c>
      <c r="E2248" t="str">
        <f t="shared" si="247"/>
        <v>02</v>
      </c>
      <c r="F2248">
        <f t="shared" si="248"/>
        <v>2016</v>
      </c>
      <c r="G2248">
        <f t="shared" si="249"/>
        <v>6</v>
      </c>
      <c r="H2248">
        <f t="shared" si="250"/>
        <v>2</v>
      </c>
      <c r="I2248" t="str">
        <f t="shared" si="251"/>
        <v>16</v>
      </c>
    </row>
    <row r="2249" spans="1:9" x14ac:dyDescent="0.25">
      <c r="A2249" s="19">
        <v>41813</v>
      </c>
      <c r="B2249" s="20">
        <v>0.99722222222222223</v>
      </c>
      <c r="C2249" t="str">
        <f t="shared" si="245"/>
        <v>14</v>
      </c>
      <c r="D2249" t="str">
        <f t="shared" si="246"/>
        <v>06</v>
      </c>
      <c r="E2249" t="str">
        <f t="shared" si="247"/>
        <v>23</v>
      </c>
      <c r="F2249">
        <f t="shared" si="248"/>
        <v>2014</v>
      </c>
      <c r="G2249">
        <f t="shared" si="249"/>
        <v>6</v>
      </c>
      <c r="H2249">
        <f t="shared" si="250"/>
        <v>23</v>
      </c>
      <c r="I2249" t="str">
        <f t="shared" si="251"/>
        <v>14</v>
      </c>
    </row>
    <row r="2250" spans="1:9" x14ac:dyDescent="0.25">
      <c r="A2250" s="19">
        <v>42049</v>
      </c>
      <c r="B2250" s="20">
        <v>0.98750000000000004</v>
      </c>
      <c r="C2250" t="str">
        <f t="shared" si="245"/>
        <v>15</v>
      </c>
      <c r="D2250" t="str">
        <f t="shared" si="246"/>
        <v>02</v>
      </c>
      <c r="E2250" t="str">
        <f t="shared" si="247"/>
        <v>14</v>
      </c>
      <c r="F2250">
        <f t="shared" si="248"/>
        <v>2015</v>
      </c>
      <c r="G2250">
        <f t="shared" si="249"/>
        <v>2</v>
      </c>
      <c r="H2250">
        <f t="shared" si="250"/>
        <v>14</v>
      </c>
      <c r="I2250" t="str">
        <f t="shared" si="251"/>
        <v>15</v>
      </c>
    </row>
    <row r="2251" spans="1:9" x14ac:dyDescent="0.25">
      <c r="A2251" s="19">
        <v>42383</v>
      </c>
      <c r="B2251" s="20">
        <v>1.2500000000000001E-2</v>
      </c>
      <c r="C2251" t="str">
        <f t="shared" si="245"/>
        <v>16</v>
      </c>
      <c r="D2251" t="str">
        <f t="shared" si="246"/>
        <v>01</v>
      </c>
      <c r="E2251" t="str">
        <f t="shared" si="247"/>
        <v>14</v>
      </c>
      <c r="F2251">
        <f t="shared" si="248"/>
        <v>2016</v>
      </c>
      <c r="G2251">
        <f t="shared" si="249"/>
        <v>1</v>
      </c>
      <c r="H2251">
        <f t="shared" si="250"/>
        <v>14</v>
      </c>
      <c r="I2251" t="str">
        <f t="shared" si="251"/>
        <v>16</v>
      </c>
    </row>
    <row r="2252" spans="1:9" x14ac:dyDescent="0.25">
      <c r="A2252" s="19">
        <v>42496</v>
      </c>
      <c r="B2252" s="20">
        <v>3.5416666666666666E-2</v>
      </c>
      <c r="C2252" t="str">
        <f t="shared" si="245"/>
        <v>16</v>
      </c>
      <c r="D2252" t="str">
        <f t="shared" si="246"/>
        <v>05</v>
      </c>
      <c r="E2252" t="str">
        <f t="shared" si="247"/>
        <v>06</v>
      </c>
      <c r="F2252">
        <f t="shared" si="248"/>
        <v>2016</v>
      </c>
      <c r="G2252">
        <f t="shared" si="249"/>
        <v>5</v>
      </c>
      <c r="H2252">
        <f t="shared" si="250"/>
        <v>6</v>
      </c>
      <c r="I2252" t="str">
        <f t="shared" si="251"/>
        <v>16</v>
      </c>
    </row>
    <row r="2253" spans="1:9" x14ac:dyDescent="0.25">
      <c r="A2253" s="19">
        <v>42158</v>
      </c>
      <c r="B2253" s="20">
        <v>1.5277777777777777E-2</v>
      </c>
      <c r="C2253" t="str">
        <f t="shared" si="245"/>
        <v>15</v>
      </c>
      <c r="D2253" t="str">
        <f t="shared" si="246"/>
        <v>06</v>
      </c>
      <c r="E2253" t="str">
        <f t="shared" si="247"/>
        <v>03</v>
      </c>
      <c r="F2253">
        <f t="shared" si="248"/>
        <v>2015</v>
      </c>
      <c r="G2253">
        <f t="shared" si="249"/>
        <v>6</v>
      </c>
      <c r="H2253">
        <f t="shared" si="250"/>
        <v>3</v>
      </c>
      <c r="I2253" t="str">
        <f t="shared" si="251"/>
        <v>15</v>
      </c>
    </row>
    <row r="2254" spans="1:9" x14ac:dyDescent="0.25">
      <c r="A2254" s="19">
        <v>42501</v>
      </c>
      <c r="B2254" s="20">
        <v>3.8194444444444448E-2</v>
      </c>
      <c r="C2254" t="str">
        <f t="shared" si="245"/>
        <v>16</v>
      </c>
      <c r="D2254" t="str">
        <f t="shared" si="246"/>
        <v>05</v>
      </c>
      <c r="E2254" t="str">
        <f t="shared" si="247"/>
        <v>11</v>
      </c>
      <c r="F2254">
        <f t="shared" si="248"/>
        <v>2016</v>
      </c>
      <c r="G2254">
        <f t="shared" si="249"/>
        <v>5</v>
      </c>
      <c r="H2254">
        <f t="shared" si="250"/>
        <v>11</v>
      </c>
      <c r="I2254" t="str">
        <f t="shared" si="251"/>
        <v>16</v>
      </c>
    </row>
    <row r="2255" spans="1:9" x14ac:dyDescent="0.25">
      <c r="A2255" s="19">
        <v>42745</v>
      </c>
      <c r="B2255" s="20">
        <v>0.97777777777777775</v>
      </c>
      <c r="C2255" t="str">
        <f t="shared" si="245"/>
        <v>17</v>
      </c>
      <c r="D2255" t="str">
        <f t="shared" si="246"/>
        <v>01</v>
      </c>
      <c r="E2255" t="str">
        <f t="shared" si="247"/>
        <v>10</v>
      </c>
      <c r="F2255">
        <f t="shared" si="248"/>
        <v>2017</v>
      </c>
      <c r="G2255">
        <f t="shared" si="249"/>
        <v>1</v>
      </c>
      <c r="H2255">
        <f t="shared" si="250"/>
        <v>10</v>
      </c>
      <c r="I2255" t="str">
        <f t="shared" si="251"/>
        <v>17</v>
      </c>
    </row>
    <row r="2256" spans="1:9" x14ac:dyDescent="0.25">
      <c r="A2256" s="19">
        <v>42636</v>
      </c>
      <c r="B2256" s="20">
        <v>0.99444444444444446</v>
      </c>
      <c r="C2256" t="str">
        <f t="shared" si="245"/>
        <v>16</v>
      </c>
      <c r="D2256" t="str">
        <f t="shared" si="246"/>
        <v>09</v>
      </c>
      <c r="E2256" t="str">
        <f t="shared" si="247"/>
        <v>23</v>
      </c>
      <c r="F2256">
        <f t="shared" si="248"/>
        <v>2016</v>
      </c>
      <c r="G2256">
        <f t="shared" si="249"/>
        <v>9</v>
      </c>
      <c r="H2256">
        <f t="shared" si="250"/>
        <v>23</v>
      </c>
      <c r="I2256" t="str">
        <f t="shared" si="251"/>
        <v>16</v>
      </c>
    </row>
    <row r="2257" spans="1:9" x14ac:dyDescent="0.25">
      <c r="A2257" s="19">
        <v>41361</v>
      </c>
      <c r="B2257" s="20">
        <v>7.8472222222222221E-2</v>
      </c>
      <c r="C2257" t="str">
        <f t="shared" si="245"/>
        <v>13</v>
      </c>
      <c r="D2257" t="str">
        <f t="shared" si="246"/>
        <v>03</v>
      </c>
      <c r="E2257" t="str">
        <f t="shared" si="247"/>
        <v>28</v>
      </c>
      <c r="F2257">
        <f t="shared" si="248"/>
        <v>2013</v>
      </c>
      <c r="G2257">
        <f t="shared" si="249"/>
        <v>3</v>
      </c>
      <c r="H2257">
        <f t="shared" si="250"/>
        <v>28</v>
      </c>
      <c r="I2257" t="str">
        <f t="shared" si="251"/>
        <v>13</v>
      </c>
    </row>
    <row r="2258" spans="1:9" x14ac:dyDescent="0.25">
      <c r="A2258" s="19">
        <v>42314</v>
      </c>
      <c r="B2258" s="20">
        <v>0.97083333333333333</v>
      </c>
      <c r="C2258" t="str">
        <f t="shared" si="245"/>
        <v>15</v>
      </c>
      <c r="D2258" t="str">
        <f t="shared" si="246"/>
        <v>11</v>
      </c>
      <c r="E2258" t="str">
        <f t="shared" si="247"/>
        <v>06</v>
      </c>
      <c r="F2258">
        <f t="shared" si="248"/>
        <v>2015</v>
      </c>
      <c r="G2258">
        <f t="shared" si="249"/>
        <v>11</v>
      </c>
      <c r="H2258">
        <f t="shared" si="250"/>
        <v>6</v>
      </c>
      <c r="I2258" t="str">
        <f t="shared" si="251"/>
        <v>15</v>
      </c>
    </row>
    <row r="2259" spans="1:9" x14ac:dyDescent="0.25">
      <c r="A2259" s="19">
        <v>42316</v>
      </c>
      <c r="B2259" s="20">
        <v>3.0555555555555555E-2</v>
      </c>
      <c r="C2259" t="str">
        <f t="shared" si="245"/>
        <v>15</v>
      </c>
      <c r="D2259" t="str">
        <f t="shared" si="246"/>
        <v>11</v>
      </c>
      <c r="E2259" t="str">
        <f t="shared" si="247"/>
        <v>08</v>
      </c>
      <c r="F2259">
        <f t="shared" si="248"/>
        <v>2015</v>
      </c>
      <c r="G2259">
        <f t="shared" si="249"/>
        <v>11</v>
      </c>
      <c r="H2259">
        <f t="shared" si="250"/>
        <v>8</v>
      </c>
      <c r="I2259" t="str">
        <f t="shared" si="251"/>
        <v>15</v>
      </c>
    </row>
    <row r="2260" spans="1:9" x14ac:dyDescent="0.25">
      <c r="A2260" s="19">
        <v>42294</v>
      </c>
      <c r="B2260" s="20">
        <v>0.97222222222222221</v>
      </c>
      <c r="C2260" t="str">
        <f t="shared" si="245"/>
        <v>15</v>
      </c>
      <c r="D2260" t="str">
        <f t="shared" si="246"/>
        <v>10</v>
      </c>
      <c r="E2260" t="str">
        <f t="shared" si="247"/>
        <v>17</v>
      </c>
      <c r="F2260">
        <f t="shared" si="248"/>
        <v>2015</v>
      </c>
      <c r="G2260">
        <f t="shared" si="249"/>
        <v>10</v>
      </c>
      <c r="H2260">
        <f t="shared" si="250"/>
        <v>17</v>
      </c>
      <c r="I2260" t="str">
        <f t="shared" si="251"/>
        <v>15</v>
      </c>
    </row>
    <row r="2261" spans="1:9" x14ac:dyDescent="0.25">
      <c r="A2261" s="19">
        <v>41291</v>
      </c>
      <c r="B2261" s="20">
        <v>0.97569444444444442</v>
      </c>
      <c r="C2261" t="str">
        <f t="shared" si="245"/>
        <v>13</v>
      </c>
      <c r="D2261" t="str">
        <f t="shared" si="246"/>
        <v>01</v>
      </c>
      <c r="E2261" t="str">
        <f t="shared" si="247"/>
        <v>17</v>
      </c>
      <c r="F2261">
        <f t="shared" si="248"/>
        <v>2013</v>
      </c>
      <c r="G2261">
        <f t="shared" si="249"/>
        <v>1</v>
      </c>
      <c r="H2261">
        <f t="shared" si="250"/>
        <v>17</v>
      </c>
      <c r="I2261" t="str">
        <f t="shared" si="251"/>
        <v>13</v>
      </c>
    </row>
    <row r="2262" spans="1:9" x14ac:dyDescent="0.25">
      <c r="A2262" s="19">
        <v>42605</v>
      </c>
      <c r="B2262" s="20">
        <v>5.6944444444444443E-2</v>
      </c>
      <c r="C2262" t="str">
        <f t="shared" si="245"/>
        <v>16</v>
      </c>
      <c r="D2262" t="str">
        <f t="shared" si="246"/>
        <v>08</v>
      </c>
      <c r="E2262" t="str">
        <f t="shared" si="247"/>
        <v>23</v>
      </c>
      <c r="F2262">
        <f t="shared" si="248"/>
        <v>2016</v>
      </c>
      <c r="G2262">
        <f t="shared" si="249"/>
        <v>8</v>
      </c>
      <c r="H2262">
        <f t="shared" si="250"/>
        <v>23</v>
      </c>
      <c r="I2262" t="str">
        <f t="shared" si="251"/>
        <v>16</v>
      </c>
    </row>
    <row r="2263" spans="1:9" x14ac:dyDescent="0.25">
      <c r="A2263" s="19">
        <v>42495</v>
      </c>
      <c r="B2263" s="20">
        <v>0.94166666666666665</v>
      </c>
      <c r="C2263" t="str">
        <f t="shared" si="245"/>
        <v>16</v>
      </c>
      <c r="D2263" t="str">
        <f t="shared" si="246"/>
        <v>05</v>
      </c>
      <c r="E2263" t="str">
        <f t="shared" si="247"/>
        <v>05</v>
      </c>
      <c r="F2263">
        <f t="shared" si="248"/>
        <v>2016</v>
      </c>
      <c r="G2263">
        <f t="shared" si="249"/>
        <v>5</v>
      </c>
      <c r="H2263">
        <f t="shared" si="250"/>
        <v>5</v>
      </c>
      <c r="I2263" t="str">
        <f t="shared" si="251"/>
        <v>16</v>
      </c>
    </row>
    <row r="2264" spans="1:9" x14ac:dyDescent="0.25">
      <c r="A2264" s="19">
        <v>41499</v>
      </c>
      <c r="B2264" s="20">
        <v>2.7777777777777776E-2</v>
      </c>
      <c r="C2264" t="str">
        <f t="shared" si="245"/>
        <v>13</v>
      </c>
      <c r="D2264" t="str">
        <f t="shared" si="246"/>
        <v>08</v>
      </c>
      <c r="E2264" t="str">
        <f t="shared" si="247"/>
        <v>13</v>
      </c>
      <c r="F2264">
        <f t="shared" si="248"/>
        <v>2013</v>
      </c>
      <c r="G2264">
        <f t="shared" si="249"/>
        <v>8</v>
      </c>
      <c r="H2264">
        <f t="shared" si="250"/>
        <v>13</v>
      </c>
      <c r="I2264" t="str">
        <f t="shared" si="251"/>
        <v>13</v>
      </c>
    </row>
    <row r="2265" spans="1:9" x14ac:dyDescent="0.25">
      <c r="A2265" s="19">
        <v>41929</v>
      </c>
      <c r="B2265" s="20">
        <v>0.94097222222222221</v>
      </c>
      <c r="C2265" t="str">
        <f t="shared" si="245"/>
        <v>14</v>
      </c>
      <c r="D2265" t="str">
        <f t="shared" si="246"/>
        <v>10</v>
      </c>
      <c r="E2265" t="str">
        <f t="shared" si="247"/>
        <v>17</v>
      </c>
      <c r="F2265">
        <f t="shared" si="248"/>
        <v>2014</v>
      </c>
      <c r="G2265">
        <f t="shared" si="249"/>
        <v>10</v>
      </c>
      <c r="H2265">
        <f t="shared" si="250"/>
        <v>17</v>
      </c>
      <c r="I2265" t="str">
        <f t="shared" si="251"/>
        <v>14</v>
      </c>
    </row>
    <row r="2266" spans="1:9" x14ac:dyDescent="0.25">
      <c r="A2266" s="19">
        <v>41621</v>
      </c>
      <c r="B2266" s="20">
        <v>3.472222222222222E-3</v>
      </c>
      <c r="C2266" t="str">
        <f t="shared" si="245"/>
        <v>13</v>
      </c>
      <c r="D2266" t="str">
        <f t="shared" si="246"/>
        <v>12</v>
      </c>
      <c r="E2266" t="str">
        <f t="shared" si="247"/>
        <v>13</v>
      </c>
      <c r="F2266">
        <f t="shared" si="248"/>
        <v>2013</v>
      </c>
      <c r="G2266">
        <f t="shared" si="249"/>
        <v>12</v>
      </c>
      <c r="H2266">
        <f t="shared" si="250"/>
        <v>13</v>
      </c>
      <c r="I2266" t="str">
        <f t="shared" si="251"/>
        <v>13</v>
      </c>
    </row>
    <row r="2267" spans="1:9" x14ac:dyDescent="0.25">
      <c r="A2267" s="19">
        <v>41673</v>
      </c>
      <c r="B2267" s="20">
        <v>7.9166666666666663E-2</v>
      </c>
      <c r="C2267" t="str">
        <f t="shared" si="245"/>
        <v>14</v>
      </c>
      <c r="D2267" t="str">
        <f t="shared" si="246"/>
        <v>02</v>
      </c>
      <c r="E2267" t="str">
        <f t="shared" si="247"/>
        <v>03</v>
      </c>
      <c r="F2267">
        <f t="shared" si="248"/>
        <v>2014</v>
      </c>
      <c r="G2267">
        <f t="shared" si="249"/>
        <v>2</v>
      </c>
      <c r="H2267">
        <f t="shared" si="250"/>
        <v>3</v>
      </c>
      <c r="I2267" t="str">
        <f t="shared" si="251"/>
        <v>14</v>
      </c>
    </row>
    <row r="2268" spans="1:9" x14ac:dyDescent="0.25">
      <c r="A2268" s="19">
        <v>42066</v>
      </c>
      <c r="B2268" s="20">
        <v>2.2916666666666665E-2</v>
      </c>
      <c r="C2268" t="str">
        <f t="shared" si="245"/>
        <v>15</v>
      </c>
      <c r="D2268" t="str">
        <f t="shared" si="246"/>
        <v>03</v>
      </c>
      <c r="E2268" t="str">
        <f t="shared" si="247"/>
        <v>03</v>
      </c>
      <c r="F2268">
        <f t="shared" si="248"/>
        <v>2015</v>
      </c>
      <c r="G2268">
        <f t="shared" si="249"/>
        <v>3</v>
      </c>
      <c r="H2268">
        <f t="shared" si="250"/>
        <v>3</v>
      </c>
      <c r="I2268" t="str">
        <f t="shared" si="251"/>
        <v>15</v>
      </c>
    </row>
    <row r="2269" spans="1:9" x14ac:dyDescent="0.25">
      <c r="A2269" s="19">
        <v>42852</v>
      </c>
      <c r="B2269" s="20">
        <v>0.95902777777777781</v>
      </c>
      <c r="C2269" t="str">
        <f t="shared" si="245"/>
        <v>17</v>
      </c>
      <c r="D2269" t="str">
        <f t="shared" si="246"/>
        <v>04</v>
      </c>
      <c r="E2269" t="str">
        <f t="shared" si="247"/>
        <v>27</v>
      </c>
      <c r="F2269">
        <f t="shared" si="248"/>
        <v>2017</v>
      </c>
      <c r="G2269">
        <f t="shared" si="249"/>
        <v>4</v>
      </c>
      <c r="H2269">
        <f t="shared" si="250"/>
        <v>27</v>
      </c>
      <c r="I2269" t="str">
        <f t="shared" si="251"/>
        <v>17</v>
      </c>
    </row>
    <row r="2270" spans="1:9" x14ac:dyDescent="0.25">
      <c r="A2270" s="19">
        <v>41593</v>
      </c>
      <c r="B2270" s="20">
        <v>2.4305555555555556E-2</v>
      </c>
      <c r="C2270" t="str">
        <f t="shared" si="245"/>
        <v>13</v>
      </c>
      <c r="D2270" t="str">
        <f t="shared" si="246"/>
        <v>11</v>
      </c>
      <c r="E2270" t="str">
        <f t="shared" si="247"/>
        <v>15</v>
      </c>
      <c r="F2270">
        <f t="shared" si="248"/>
        <v>2013</v>
      </c>
      <c r="G2270">
        <f t="shared" si="249"/>
        <v>11</v>
      </c>
      <c r="H2270">
        <f t="shared" si="250"/>
        <v>15</v>
      </c>
      <c r="I2270" t="str">
        <f t="shared" si="251"/>
        <v>13</v>
      </c>
    </row>
    <row r="2271" spans="1:9" x14ac:dyDescent="0.25">
      <c r="A2271" s="19">
        <v>41872</v>
      </c>
      <c r="B2271" s="20">
        <v>2.0833333333333333E-3</v>
      </c>
      <c r="C2271" t="str">
        <f t="shared" si="245"/>
        <v>14</v>
      </c>
      <c r="D2271" t="str">
        <f t="shared" si="246"/>
        <v>08</v>
      </c>
      <c r="E2271" t="str">
        <f t="shared" si="247"/>
        <v>21</v>
      </c>
      <c r="F2271">
        <f t="shared" si="248"/>
        <v>2014</v>
      </c>
      <c r="G2271">
        <f t="shared" si="249"/>
        <v>8</v>
      </c>
      <c r="H2271">
        <f t="shared" si="250"/>
        <v>21</v>
      </c>
      <c r="I2271" t="str">
        <f t="shared" si="251"/>
        <v>14</v>
      </c>
    </row>
    <row r="2272" spans="1:9" x14ac:dyDescent="0.25">
      <c r="A2272" s="19">
        <v>42761</v>
      </c>
      <c r="B2272" s="20">
        <v>0.95972222222222225</v>
      </c>
      <c r="C2272" t="str">
        <f t="shared" si="245"/>
        <v>17</v>
      </c>
      <c r="D2272" t="str">
        <f t="shared" si="246"/>
        <v>01</v>
      </c>
      <c r="E2272" t="str">
        <f t="shared" si="247"/>
        <v>26</v>
      </c>
      <c r="F2272">
        <f t="shared" si="248"/>
        <v>2017</v>
      </c>
      <c r="G2272">
        <f t="shared" si="249"/>
        <v>1</v>
      </c>
      <c r="H2272">
        <f t="shared" si="250"/>
        <v>26</v>
      </c>
      <c r="I2272" t="str">
        <f t="shared" si="251"/>
        <v>17</v>
      </c>
    </row>
    <row r="2273" spans="1:9" x14ac:dyDescent="0.25">
      <c r="A2273" s="19">
        <v>42149</v>
      </c>
      <c r="B2273" s="20">
        <v>4.027777777777778E-2</v>
      </c>
      <c r="C2273" t="str">
        <f t="shared" si="245"/>
        <v>15</v>
      </c>
      <c r="D2273" t="str">
        <f t="shared" si="246"/>
        <v>05</v>
      </c>
      <c r="E2273" t="str">
        <f t="shared" si="247"/>
        <v>25</v>
      </c>
      <c r="F2273">
        <f t="shared" si="248"/>
        <v>2015</v>
      </c>
      <c r="G2273">
        <f t="shared" si="249"/>
        <v>5</v>
      </c>
      <c r="H2273">
        <f t="shared" si="250"/>
        <v>25</v>
      </c>
      <c r="I2273" t="str">
        <f t="shared" si="251"/>
        <v>15</v>
      </c>
    </row>
    <row r="2274" spans="1:9" x14ac:dyDescent="0.25">
      <c r="A2274" s="19">
        <v>42161</v>
      </c>
      <c r="B2274" s="20">
        <v>0.94444444444444442</v>
      </c>
      <c r="C2274" t="str">
        <f t="shared" si="245"/>
        <v>15</v>
      </c>
      <c r="D2274" t="str">
        <f t="shared" si="246"/>
        <v>06</v>
      </c>
      <c r="E2274" t="str">
        <f t="shared" si="247"/>
        <v>06</v>
      </c>
      <c r="F2274">
        <f t="shared" si="248"/>
        <v>2015</v>
      </c>
      <c r="G2274">
        <f t="shared" si="249"/>
        <v>6</v>
      </c>
      <c r="H2274">
        <f t="shared" si="250"/>
        <v>6</v>
      </c>
      <c r="I2274" t="str">
        <f t="shared" si="251"/>
        <v>15</v>
      </c>
    </row>
    <row r="2275" spans="1:9" x14ac:dyDescent="0.25">
      <c r="A2275" s="19">
        <v>41223</v>
      </c>
      <c r="B2275" s="20">
        <v>8.819444444444445E-2</v>
      </c>
      <c r="C2275" t="str">
        <f t="shared" si="245"/>
        <v>12</v>
      </c>
      <c r="D2275" t="str">
        <f t="shared" si="246"/>
        <v>11</v>
      </c>
      <c r="E2275" t="str">
        <f t="shared" si="247"/>
        <v>10</v>
      </c>
      <c r="F2275">
        <f t="shared" si="248"/>
        <v>2012</v>
      </c>
      <c r="G2275">
        <f t="shared" si="249"/>
        <v>11</v>
      </c>
      <c r="H2275">
        <f t="shared" si="250"/>
        <v>10</v>
      </c>
      <c r="I2275" t="str">
        <f t="shared" si="251"/>
        <v>12</v>
      </c>
    </row>
    <row r="2276" spans="1:9" x14ac:dyDescent="0.25">
      <c r="A2276" s="19">
        <v>41502</v>
      </c>
      <c r="B2276" s="20">
        <v>5.6944444444444443E-2</v>
      </c>
      <c r="C2276" t="str">
        <f t="shared" si="245"/>
        <v>13</v>
      </c>
      <c r="D2276" t="str">
        <f t="shared" si="246"/>
        <v>08</v>
      </c>
      <c r="E2276" t="str">
        <f t="shared" si="247"/>
        <v>16</v>
      </c>
      <c r="F2276">
        <f t="shared" si="248"/>
        <v>2013</v>
      </c>
      <c r="G2276">
        <f t="shared" si="249"/>
        <v>8</v>
      </c>
      <c r="H2276">
        <f t="shared" si="250"/>
        <v>16</v>
      </c>
      <c r="I2276" t="str">
        <f t="shared" si="251"/>
        <v>13</v>
      </c>
    </row>
    <row r="2277" spans="1:9" x14ac:dyDescent="0.25">
      <c r="A2277" s="19">
        <v>42096</v>
      </c>
      <c r="B2277" s="20">
        <v>8.3333333333333332E-3</v>
      </c>
      <c r="C2277" t="str">
        <f t="shared" si="245"/>
        <v>15</v>
      </c>
      <c r="D2277" t="str">
        <f t="shared" si="246"/>
        <v>04</v>
      </c>
      <c r="E2277" t="str">
        <f t="shared" si="247"/>
        <v>02</v>
      </c>
      <c r="F2277">
        <f t="shared" si="248"/>
        <v>2015</v>
      </c>
      <c r="G2277">
        <f t="shared" si="249"/>
        <v>4</v>
      </c>
      <c r="H2277">
        <f t="shared" si="250"/>
        <v>2</v>
      </c>
      <c r="I2277" t="str">
        <f t="shared" si="251"/>
        <v>15</v>
      </c>
    </row>
    <row r="2278" spans="1:9" x14ac:dyDescent="0.25">
      <c r="A2278" s="19">
        <v>41202</v>
      </c>
      <c r="B2278" s="20">
        <v>0.98888888888888893</v>
      </c>
      <c r="C2278" t="str">
        <f t="shared" si="245"/>
        <v>12</v>
      </c>
      <c r="D2278" t="str">
        <f t="shared" si="246"/>
        <v>10</v>
      </c>
      <c r="E2278" t="str">
        <f t="shared" si="247"/>
        <v>20</v>
      </c>
      <c r="F2278">
        <f t="shared" si="248"/>
        <v>2012</v>
      </c>
      <c r="G2278">
        <f t="shared" si="249"/>
        <v>10</v>
      </c>
      <c r="H2278">
        <f t="shared" si="250"/>
        <v>20</v>
      </c>
      <c r="I2278" t="str">
        <f t="shared" si="251"/>
        <v>12</v>
      </c>
    </row>
    <row r="2279" spans="1:9" x14ac:dyDescent="0.25">
      <c r="A2279" s="19">
        <v>41673</v>
      </c>
      <c r="B2279" s="20">
        <v>0.95902777777777781</v>
      </c>
      <c r="C2279" t="str">
        <f t="shared" si="245"/>
        <v>14</v>
      </c>
      <c r="D2279" t="str">
        <f t="shared" si="246"/>
        <v>02</v>
      </c>
      <c r="E2279" t="str">
        <f t="shared" si="247"/>
        <v>03</v>
      </c>
      <c r="F2279">
        <f t="shared" si="248"/>
        <v>2014</v>
      </c>
      <c r="G2279">
        <f t="shared" si="249"/>
        <v>2</v>
      </c>
      <c r="H2279">
        <f t="shared" si="250"/>
        <v>3</v>
      </c>
      <c r="I2279" t="str">
        <f t="shared" si="251"/>
        <v>14</v>
      </c>
    </row>
    <row r="2280" spans="1:9" x14ac:dyDescent="0.25">
      <c r="A2280" s="19">
        <v>41304</v>
      </c>
      <c r="B2280" s="20">
        <v>0.98611111111111116</v>
      </c>
      <c r="C2280" t="str">
        <f t="shared" si="245"/>
        <v>13</v>
      </c>
      <c r="D2280" t="str">
        <f t="shared" si="246"/>
        <v>01</v>
      </c>
      <c r="E2280" t="str">
        <f t="shared" si="247"/>
        <v>30</v>
      </c>
      <c r="F2280">
        <f t="shared" si="248"/>
        <v>2013</v>
      </c>
      <c r="G2280">
        <f t="shared" si="249"/>
        <v>1</v>
      </c>
      <c r="H2280">
        <f t="shared" si="250"/>
        <v>30</v>
      </c>
      <c r="I2280" t="str">
        <f t="shared" si="251"/>
        <v>13</v>
      </c>
    </row>
    <row r="2281" spans="1:9" x14ac:dyDescent="0.25">
      <c r="A2281" s="19">
        <v>41513</v>
      </c>
      <c r="B2281" s="20">
        <v>7.1527777777777773E-2</v>
      </c>
      <c r="C2281" t="str">
        <f t="shared" si="245"/>
        <v>13</v>
      </c>
      <c r="D2281" t="str">
        <f t="shared" si="246"/>
        <v>08</v>
      </c>
      <c r="E2281" t="str">
        <f t="shared" si="247"/>
        <v>27</v>
      </c>
      <c r="F2281">
        <f t="shared" si="248"/>
        <v>2013</v>
      </c>
      <c r="G2281">
        <f t="shared" si="249"/>
        <v>8</v>
      </c>
      <c r="H2281">
        <f t="shared" si="250"/>
        <v>27</v>
      </c>
      <c r="I2281" t="str">
        <f t="shared" si="251"/>
        <v>13</v>
      </c>
    </row>
    <row r="2282" spans="1:9" x14ac:dyDescent="0.25">
      <c r="A2282" s="19">
        <v>42137</v>
      </c>
      <c r="B2282" s="20">
        <v>2.7777777777777776E-2</v>
      </c>
      <c r="C2282" t="str">
        <f t="shared" si="245"/>
        <v>15</v>
      </c>
      <c r="D2282" t="str">
        <f t="shared" si="246"/>
        <v>05</v>
      </c>
      <c r="E2282" t="str">
        <f t="shared" si="247"/>
        <v>13</v>
      </c>
      <c r="F2282">
        <f t="shared" si="248"/>
        <v>2015</v>
      </c>
      <c r="G2282">
        <f t="shared" si="249"/>
        <v>5</v>
      </c>
      <c r="H2282">
        <f t="shared" si="250"/>
        <v>13</v>
      </c>
      <c r="I2282" t="str">
        <f t="shared" si="251"/>
        <v>15</v>
      </c>
    </row>
    <row r="2283" spans="1:9" x14ac:dyDescent="0.25">
      <c r="A2283" s="19">
        <v>42052</v>
      </c>
      <c r="B2283" s="20">
        <v>0.94722222222222219</v>
      </c>
      <c r="C2283" t="str">
        <f t="shared" si="245"/>
        <v>15</v>
      </c>
      <c r="D2283" t="str">
        <f t="shared" si="246"/>
        <v>02</v>
      </c>
      <c r="E2283" t="str">
        <f t="shared" si="247"/>
        <v>17</v>
      </c>
      <c r="F2283">
        <f t="shared" si="248"/>
        <v>2015</v>
      </c>
      <c r="G2283">
        <f t="shared" si="249"/>
        <v>2</v>
      </c>
      <c r="H2283">
        <f t="shared" si="250"/>
        <v>17</v>
      </c>
      <c r="I2283" t="str">
        <f t="shared" si="251"/>
        <v>15</v>
      </c>
    </row>
    <row r="2284" spans="1:9" x14ac:dyDescent="0.25">
      <c r="A2284" s="19">
        <v>41432</v>
      </c>
      <c r="B2284" s="20">
        <v>4.4444444444444446E-2</v>
      </c>
      <c r="C2284" t="str">
        <f t="shared" si="245"/>
        <v>13</v>
      </c>
      <c r="D2284" t="str">
        <f t="shared" si="246"/>
        <v>06</v>
      </c>
      <c r="E2284" t="str">
        <f t="shared" si="247"/>
        <v>07</v>
      </c>
      <c r="F2284">
        <f t="shared" si="248"/>
        <v>2013</v>
      </c>
      <c r="G2284">
        <f t="shared" si="249"/>
        <v>6</v>
      </c>
      <c r="H2284">
        <f t="shared" si="250"/>
        <v>7</v>
      </c>
      <c r="I2284" t="str">
        <f t="shared" si="251"/>
        <v>13</v>
      </c>
    </row>
    <row r="2285" spans="1:9" x14ac:dyDescent="0.25">
      <c r="A2285" s="19">
        <v>41816</v>
      </c>
      <c r="B2285" s="20">
        <v>1.7361111111111112E-2</v>
      </c>
      <c r="C2285" t="str">
        <f t="shared" si="245"/>
        <v>14</v>
      </c>
      <c r="D2285" t="str">
        <f t="shared" si="246"/>
        <v>06</v>
      </c>
      <c r="E2285" t="str">
        <f t="shared" si="247"/>
        <v>26</v>
      </c>
      <c r="F2285">
        <f t="shared" si="248"/>
        <v>2014</v>
      </c>
      <c r="G2285">
        <f t="shared" si="249"/>
        <v>6</v>
      </c>
      <c r="H2285">
        <f t="shared" si="250"/>
        <v>26</v>
      </c>
      <c r="I2285" t="str">
        <f t="shared" si="251"/>
        <v>14</v>
      </c>
    </row>
    <row r="2286" spans="1:9" x14ac:dyDescent="0.25">
      <c r="A2286" s="19">
        <v>42179</v>
      </c>
      <c r="B2286" s="20">
        <v>5.5555555555555558E-3</v>
      </c>
      <c r="C2286" t="str">
        <f t="shared" si="245"/>
        <v>15</v>
      </c>
      <c r="D2286" t="str">
        <f t="shared" si="246"/>
        <v>06</v>
      </c>
      <c r="E2286" t="str">
        <f t="shared" si="247"/>
        <v>24</v>
      </c>
      <c r="F2286">
        <f t="shared" si="248"/>
        <v>2015</v>
      </c>
      <c r="G2286">
        <f t="shared" si="249"/>
        <v>6</v>
      </c>
      <c r="H2286">
        <f t="shared" si="250"/>
        <v>24</v>
      </c>
      <c r="I2286" t="str">
        <f t="shared" si="251"/>
        <v>15</v>
      </c>
    </row>
    <row r="2287" spans="1:9" x14ac:dyDescent="0.25">
      <c r="A2287" s="19">
        <v>41140</v>
      </c>
      <c r="B2287" s="20">
        <v>4.791666666666667E-2</v>
      </c>
      <c r="C2287" t="str">
        <f t="shared" si="245"/>
        <v>12</v>
      </c>
      <c r="D2287" t="str">
        <f t="shared" si="246"/>
        <v>08</v>
      </c>
      <c r="E2287" t="str">
        <f t="shared" si="247"/>
        <v>19</v>
      </c>
      <c r="F2287">
        <f t="shared" si="248"/>
        <v>2012</v>
      </c>
      <c r="G2287">
        <f t="shared" si="249"/>
        <v>8</v>
      </c>
      <c r="H2287">
        <f t="shared" si="250"/>
        <v>19</v>
      </c>
      <c r="I2287" t="str">
        <f t="shared" si="251"/>
        <v>12</v>
      </c>
    </row>
    <row r="2288" spans="1:9" x14ac:dyDescent="0.25">
      <c r="A2288" s="19">
        <v>42427</v>
      </c>
      <c r="B2288" s="20">
        <v>5.0694444444444445E-2</v>
      </c>
      <c r="C2288" t="str">
        <f t="shared" si="245"/>
        <v>16</v>
      </c>
      <c r="D2288" t="str">
        <f t="shared" si="246"/>
        <v>02</v>
      </c>
      <c r="E2288" t="str">
        <f t="shared" si="247"/>
        <v>27</v>
      </c>
      <c r="F2288">
        <f t="shared" si="248"/>
        <v>2016</v>
      </c>
      <c r="G2288">
        <f t="shared" si="249"/>
        <v>2</v>
      </c>
      <c r="H2288">
        <f t="shared" si="250"/>
        <v>27</v>
      </c>
      <c r="I2288" t="str">
        <f t="shared" si="251"/>
        <v>16</v>
      </c>
    </row>
    <row r="2289" spans="1:9" x14ac:dyDescent="0.25">
      <c r="A2289" s="19">
        <v>41267</v>
      </c>
      <c r="B2289" s="20">
        <v>3.888888888888889E-2</v>
      </c>
      <c r="C2289" t="str">
        <f t="shared" si="245"/>
        <v>12</v>
      </c>
      <c r="D2289" t="str">
        <f t="shared" si="246"/>
        <v>12</v>
      </c>
      <c r="E2289" t="str">
        <f t="shared" si="247"/>
        <v>24</v>
      </c>
      <c r="F2289">
        <f t="shared" si="248"/>
        <v>2012</v>
      </c>
      <c r="G2289">
        <f t="shared" si="249"/>
        <v>12</v>
      </c>
      <c r="H2289">
        <f t="shared" si="250"/>
        <v>24</v>
      </c>
      <c r="I2289" t="str">
        <f t="shared" si="251"/>
        <v>12</v>
      </c>
    </row>
    <row r="2290" spans="1:9" x14ac:dyDescent="0.25">
      <c r="A2290" s="19">
        <v>41153</v>
      </c>
      <c r="B2290" s="20">
        <v>1.8055555555555554E-2</v>
      </c>
      <c r="C2290" t="str">
        <f t="shared" si="245"/>
        <v>12</v>
      </c>
      <c r="D2290" t="str">
        <f t="shared" si="246"/>
        <v>09</v>
      </c>
      <c r="E2290" t="str">
        <f t="shared" si="247"/>
        <v>01</v>
      </c>
      <c r="F2290">
        <f t="shared" si="248"/>
        <v>2012</v>
      </c>
      <c r="G2290">
        <f t="shared" si="249"/>
        <v>9</v>
      </c>
      <c r="H2290">
        <f t="shared" si="250"/>
        <v>1</v>
      </c>
      <c r="I2290" t="str">
        <f t="shared" si="251"/>
        <v>12</v>
      </c>
    </row>
    <row r="2291" spans="1:9" x14ac:dyDescent="0.25">
      <c r="A2291" s="19">
        <v>41408</v>
      </c>
      <c r="B2291" s="20">
        <v>3.0555555555555555E-2</v>
      </c>
      <c r="C2291" t="str">
        <f t="shared" si="245"/>
        <v>13</v>
      </c>
      <c r="D2291" t="str">
        <f t="shared" si="246"/>
        <v>05</v>
      </c>
      <c r="E2291" t="str">
        <f t="shared" si="247"/>
        <v>14</v>
      </c>
      <c r="F2291">
        <f t="shared" si="248"/>
        <v>2013</v>
      </c>
      <c r="G2291">
        <f t="shared" si="249"/>
        <v>5</v>
      </c>
      <c r="H2291">
        <f t="shared" si="250"/>
        <v>14</v>
      </c>
      <c r="I2291" t="str">
        <f t="shared" si="251"/>
        <v>13</v>
      </c>
    </row>
    <row r="2292" spans="1:9" x14ac:dyDescent="0.25">
      <c r="A2292" s="19">
        <v>41564</v>
      </c>
      <c r="B2292" s="20">
        <v>5.7638888888888892E-2</v>
      </c>
      <c r="C2292" t="str">
        <f t="shared" si="245"/>
        <v>13</v>
      </c>
      <c r="D2292" t="str">
        <f t="shared" si="246"/>
        <v>10</v>
      </c>
      <c r="E2292" t="str">
        <f t="shared" si="247"/>
        <v>17</v>
      </c>
      <c r="F2292">
        <f t="shared" si="248"/>
        <v>2013</v>
      </c>
      <c r="G2292">
        <f t="shared" si="249"/>
        <v>10</v>
      </c>
      <c r="H2292">
        <f t="shared" si="250"/>
        <v>17</v>
      </c>
      <c r="I2292" t="str">
        <f t="shared" si="251"/>
        <v>13</v>
      </c>
    </row>
    <row r="2293" spans="1:9" x14ac:dyDescent="0.25">
      <c r="A2293" s="19">
        <v>41507</v>
      </c>
      <c r="B2293" s="20">
        <v>3.1944444444444442E-2</v>
      </c>
      <c r="C2293" t="str">
        <f t="shared" si="245"/>
        <v>13</v>
      </c>
      <c r="D2293" t="str">
        <f t="shared" si="246"/>
        <v>08</v>
      </c>
      <c r="E2293" t="str">
        <f t="shared" si="247"/>
        <v>21</v>
      </c>
      <c r="F2293">
        <f t="shared" si="248"/>
        <v>2013</v>
      </c>
      <c r="G2293">
        <f t="shared" si="249"/>
        <v>8</v>
      </c>
      <c r="H2293">
        <f t="shared" si="250"/>
        <v>21</v>
      </c>
      <c r="I2293" t="str">
        <f t="shared" si="251"/>
        <v>13</v>
      </c>
    </row>
    <row r="2294" spans="1:9" x14ac:dyDescent="0.25">
      <c r="A2294" s="19">
        <v>41488</v>
      </c>
      <c r="B2294" s="20">
        <v>0.97222222222222221</v>
      </c>
      <c r="C2294" t="str">
        <f t="shared" si="245"/>
        <v>13</v>
      </c>
      <c r="D2294" t="str">
        <f t="shared" si="246"/>
        <v>08</v>
      </c>
      <c r="E2294" t="str">
        <f t="shared" si="247"/>
        <v>02</v>
      </c>
      <c r="F2294">
        <f t="shared" si="248"/>
        <v>2013</v>
      </c>
      <c r="G2294">
        <f t="shared" si="249"/>
        <v>8</v>
      </c>
      <c r="H2294">
        <f t="shared" si="250"/>
        <v>2</v>
      </c>
      <c r="I2294" t="str">
        <f t="shared" si="251"/>
        <v>13</v>
      </c>
    </row>
    <row r="2295" spans="1:9" x14ac:dyDescent="0.25">
      <c r="A2295" s="19">
        <v>41165</v>
      </c>
      <c r="B2295" s="20">
        <v>5.8333333333333334E-2</v>
      </c>
      <c r="C2295" t="str">
        <f t="shared" si="245"/>
        <v>12</v>
      </c>
      <c r="D2295" t="str">
        <f t="shared" si="246"/>
        <v>09</v>
      </c>
      <c r="E2295" t="str">
        <f t="shared" si="247"/>
        <v>13</v>
      </c>
      <c r="F2295">
        <f t="shared" si="248"/>
        <v>2012</v>
      </c>
      <c r="G2295">
        <f t="shared" si="249"/>
        <v>9</v>
      </c>
      <c r="H2295">
        <f t="shared" si="250"/>
        <v>13</v>
      </c>
      <c r="I2295" t="str">
        <f t="shared" si="251"/>
        <v>12</v>
      </c>
    </row>
    <row r="2296" spans="1:9" x14ac:dyDescent="0.25">
      <c r="A2296" s="19">
        <v>41715</v>
      </c>
      <c r="B2296" s="20">
        <v>3.8194444444444448E-2</v>
      </c>
      <c r="C2296" t="str">
        <f t="shared" si="245"/>
        <v>14</v>
      </c>
      <c r="D2296" t="str">
        <f t="shared" si="246"/>
        <v>03</v>
      </c>
      <c r="E2296" t="str">
        <f t="shared" si="247"/>
        <v>17</v>
      </c>
      <c r="F2296">
        <f t="shared" si="248"/>
        <v>2014</v>
      </c>
      <c r="G2296">
        <f t="shared" si="249"/>
        <v>3</v>
      </c>
      <c r="H2296">
        <f t="shared" si="250"/>
        <v>17</v>
      </c>
      <c r="I2296" t="str">
        <f t="shared" si="251"/>
        <v>14</v>
      </c>
    </row>
    <row r="2297" spans="1:9" x14ac:dyDescent="0.25">
      <c r="A2297" s="19">
        <v>41408</v>
      </c>
      <c r="B2297" s="20">
        <v>7.2916666666666671E-2</v>
      </c>
      <c r="C2297" t="str">
        <f t="shared" si="245"/>
        <v>13</v>
      </c>
      <c r="D2297" t="str">
        <f t="shared" si="246"/>
        <v>05</v>
      </c>
      <c r="E2297" t="str">
        <f t="shared" si="247"/>
        <v>14</v>
      </c>
      <c r="F2297">
        <f t="shared" si="248"/>
        <v>2013</v>
      </c>
      <c r="G2297">
        <f t="shared" si="249"/>
        <v>5</v>
      </c>
      <c r="H2297">
        <f t="shared" si="250"/>
        <v>14</v>
      </c>
      <c r="I2297" t="str">
        <f t="shared" si="251"/>
        <v>13</v>
      </c>
    </row>
    <row r="2298" spans="1:9" x14ac:dyDescent="0.25">
      <c r="A2298" s="19">
        <v>41701</v>
      </c>
      <c r="B2298" s="20">
        <v>0.98541666666666672</v>
      </c>
      <c r="C2298" t="str">
        <f t="shared" si="245"/>
        <v>14</v>
      </c>
      <c r="D2298" t="str">
        <f t="shared" si="246"/>
        <v>03</v>
      </c>
      <c r="E2298" t="str">
        <f t="shared" si="247"/>
        <v>03</v>
      </c>
      <c r="F2298">
        <f t="shared" si="248"/>
        <v>2014</v>
      </c>
      <c r="G2298">
        <f t="shared" si="249"/>
        <v>3</v>
      </c>
      <c r="H2298">
        <f t="shared" si="250"/>
        <v>3</v>
      </c>
      <c r="I2298" t="str">
        <f t="shared" si="251"/>
        <v>14</v>
      </c>
    </row>
    <row r="2299" spans="1:9" x14ac:dyDescent="0.25">
      <c r="A2299" s="19">
        <v>42305</v>
      </c>
      <c r="B2299" s="20">
        <v>5.0694444444444445E-2</v>
      </c>
      <c r="C2299" t="str">
        <f t="shared" si="245"/>
        <v>15</v>
      </c>
      <c r="D2299" t="str">
        <f t="shared" si="246"/>
        <v>10</v>
      </c>
      <c r="E2299" t="str">
        <f t="shared" si="247"/>
        <v>28</v>
      </c>
      <c r="F2299">
        <f t="shared" si="248"/>
        <v>2015</v>
      </c>
      <c r="G2299">
        <f t="shared" si="249"/>
        <v>10</v>
      </c>
      <c r="H2299">
        <f t="shared" si="250"/>
        <v>28</v>
      </c>
      <c r="I2299" t="str">
        <f t="shared" si="251"/>
        <v>15</v>
      </c>
    </row>
    <row r="2300" spans="1:9" x14ac:dyDescent="0.25">
      <c r="A2300" s="19">
        <v>42345</v>
      </c>
      <c r="B2300" s="20">
        <v>6.8750000000000006E-2</v>
      </c>
      <c r="C2300" t="str">
        <f t="shared" si="245"/>
        <v>15</v>
      </c>
      <c r="D2300" t="str">
        <f t="shared" si="246"/>
        <v>12</v>
      </c>
      <c r="E2300" t="str">
        <f t="shared" si="247"/>
        <v>07</v>
      </c>
      <c r="F2300">
        <f t="shared" si="248"/>
        <v>2015</v>
      </c>
      <c r="G2300">
        <f t="shared" si="249"/>
        <v>12</v>
      </c>
      <c r="H2300">
        <f t="shared" si="250"/>
        <v>7</v>
      </c>
      <c r="I2300" t="str">
        <f t="shared" si="251"/>
        <v>15</v>
      </c>
    </row>
    <row r="2301" spans="1:9" x14ac:dyDescent="0.25">
      <c r="A2301" s="19">
        <v>41144</v>
      </c>
      <c r="B2301" s="20">
        <v>0.9916666666666667</v>
      </c>
      <c r="C2301" t="str">
        <f t="shared" si="245"/>
        <v>12</v>
      </c>
      <c r="D2301" t="str">
        <f t="shared" si="246"/>
        <v>08</v>
      </c>
      <c r="E2301" t="str">
        <f t="shared" si="247"/>
        <v>23</v>
      </c>
      <c r="F2301">
        <f t="shared" si="248"/>
        <v>2012</v>
      </c>
      <c r="G2301">
        <f t="shared" si="249"/>
        <v>8</v>
      </c>
      <c r="H2301">
        <f t="shared" si="250"/>
        <v>23</v>
      </c>
      <c r="I2301" t="str">
        <f t="shared" si="251"/>
        <v>12</v>
      </c>
    </row>
    <row r="2302" spans="1:9" x14ac:dyDescent="0.25">
      <c r="A2302" s="19">
        <v>42133</v>
      </c>
      <c r="B2302" s="20">
        <v>1.1111111111111112E-2</v>
      </c>
      <c r="C2302" t="str">
        <f t="shared" si="245"/>
        <v>15</v>
      </c>
      <c r="D2302" t="str">
        <f t="shared" si="246"/>
        <v>05</v>
      </c>
      <c r="E2302" t="str">
        <f t="shared" si="247"/>
        <v>09</v>
      </c>
      <c r="F2302">
        <f t="shared" si="248"/>
        <v>2015</v>
      </c>
      <c r="G2302">
        <f t="shared" si="249"/>
        <v>5</v>
      </c>
      <c r="H2302">
        <f t="shared" si="250"/>
        <v>9</v>
      </c>
      <c r="I2302" t="str">
        <f t="shared" si="251"/>
        <v>15</v>
      </c>
    </row>
    <row r="2303" spans="1:9" x14ac:dyDescent="0.25">
      <c r="A2303" s="19">
        <v>41882</v>
      </c>
      <c r="B2303" s="20">
        <v>5.2777777777777778E-2</v>
      </c>
      <c r="C2303" t="str">
        <f t="shared" si="245"/>
        <v>14</v>
      </c>
      <c r="D2303" t="str">
        <f t="shared" si="246"/>
        <v>08</v>
      </c>
      <c r="E2303" t="str">
        <f t="shared" si="247"/>
        <v>31</v>
      </c>
      <c r="F2303">
        <f t="shared" si="248"/>
        <v>2014</v>
      </c>
      <c r="G2303">
        <f t="shared" si="249"/>
        <v>8</v>
      </c>
      <c r="H2303">
        <f t="shared" si="250"/>
        <v>31</v>
      </c>
      <c r="I2303" t="str">
        <f t="shared" si="251"/>
        <v>14</v>
      </c>
    </row>
    <row r="2304" spans="1:9" x14ac:dyDescent="0.25">
      <c r="A2304" s="19">
        <v>42815</v>
      </c>
      <c r="B2304" s="20">
        <v>4.3749999999999997E-2</v>
      </c>
      <c r="C2304" t="str">
        <f t="shared" si="245"/>
        <v>17</v>
      </c>
      <c r="D2304" t="str">
        <f t="shared" si="246"/>
        <v>03</v>
      </c>
      <c r="E2304" t="str">
        <f t="shared" si="247"/>
        <v>21</v>
      </c>
      <c r="F2304">
        <f t="shared" si="248"/>
        <v>2017</v>
      </c>
      <c r="G2304">
        <f t="shared" si="249"/>
        <v>3</v>
      </c>
      <c r="H2304">
        <f t="shared" si="250"/>
        <v>21</v>
      </c>
      <c r="I2304" t="str">
        <f t="shared" si="251"/>
        <v>17</v>
      </c>
    </row>
    <row r="2305" spans="1:9" x14ac:dyDescent="0.25">
      <c r="A2305" s="19">
        <v>41740</v>
      </c>
      <c r="B2305" s="20">
        <v>2.4305555555555556E-2</v>
      </c>
      <c r="C2305" t="str">
        <f t="shared" si="245"/>
        <v>14</v>
      </c>
      <c r="D2305" t="str">
        <f t="shared" si="246"/>
        <v>04</v>
      </c>
      <c r="E2305" t="str">
        <f t="shared" si="247"/>
        <v>11</v>
      </c>
      <c r="F2305">
        <f t="shared" si="248"/>
        <v>2014</v>
      </c>
      <c r="G2305">
        <f t="shared" si="249"/>
        <v>4</v>
      </c>
      <c r="H2305">
        <f t="shared" si="250"/>
        <v>11</v>
      </c>
      <c r="I2305" t="str">
        <f t="shared" si="251"/>
        <v>14</v>
      </c>
    </row>
    <row r="2306" spans="1:9" x14ac:dyDescent="0.25">
      <c r="A2306" s="19">
        <v>41305</v>
      </c>
      <c r="B2306" s="20">
        <v>3.4027777777777775E-2</v>
      </c>
      <c r="C2306" t="str">
        <f t="shared" si="245"/>
        <v>13</v>
      </c>
      <c r="D2306" t="str">
        <f t="shared" si="246"/>
        <v>01</v>
      </c>
      <c r="E2306" t="str">
        <f t="shared" si="247"/>
        <v>31</v>
      </c>
      <c r="F2306">
        <f t="shared" si="248"/>
        <v>2013</v>
      </c>
      <c r="G2306">
        <f t="shared" si="249"/>
        <v>1</v>
      </c>
      <c r="H2306">
        <f t="shared" si="250"/>
        <v>31</v>
      </c>
      <c r="I2306" t="str">
        <f t="shared" si="251"/>
        <v>13</v>
      </c>
    </row>
    <row r="2307" spans="1:9" x14ac:dyDescent="0.25">
      <c r="A2307" s="19">
        <v>42212</v>
      </c>
      <c r="B2307" s="20">
        <v>6.7361111111111108E-2</v>
      </c>
      <c r="C2307" t="str">
        <f t="shared" ref="C2307:C2370" si="252">TEXT(A2307,"YY")</f>
        <v>15</v>
      </c>
      <c r="D2307" t="str">
        <f t="shared" ref="D2307:D2370" si="253">TEXT(A2307,"mm")</f>
        <v>07</v>
      </c>
      <c r="E2307" t="str">
        <f t="shared" ref="E2307:E2370" si="254">TEXT(A2307,"dd")</f>
        <v>27</v>
      </c>
      <c r="F2307">
        <f t="shared" ref="F2307:F2370" si="255">YEAR($A2307)</f>
        <v>2015</v>
      </c>
      <c r="G2307">
        <f t="shared" ref="G2307:G2370" si="256">MONTH($A2307)</f>
        <v>7</v>
      </c>
      <c r="H2307">
        <f t="shared" ref="H2307:H2370" si="257">DAY($A2307)</f>
        <v>27</v>
      </c>
      <c r="I2307" t="str">
        <f t="shared" ref="I2307:I2370" si="258">TEXT($A2307,"YY")</f>
        <v>15</v>
      </c>
    </row>
    <row r="2308" spans="1:9" x14ac:dyDescent="0.25">
      <c r="A2308" s="19">
        <v>42221</v>
      </c>
      <c r="B2308" s="20">
        <v>3.9583333333333331E-2</v>
      </c>
      <c r="C2308" t="str">
        <f t="shared" si="252"/>
        <v>15</v>
      </c>
      <c r="D2308" t="str">
        <f t="shared" si="253"/>
        <v>08</v>
      </c>
      <c r="E2308" t="str">
        <f t="shared" si="254"/>
        <v>05</v>
      </c>
      <c r="F2308">
        <f t="shared" si="255"/>
        <v>2015</v>
      </c>
      <c r="G2308">
        <f t="shared" si="256"/>
        <v>8</v>
      </c>
      <c r="H2308">
        <f t="shared" si="257"/>
        <v>5</v>
      </c>
      <c r="I2308" t="str">
        <f t="shared" si="258"/>
        <v>15</v>
      </c>
    </row>
    <row r="2309" spans="1:9" x14ac:dyDescent="0.25">
      <c r="A2309" s="19">
        <v>42001</v>
      </c>
      <c r="B2309" s="20">
        <v>0.97430555555555554</v>
      </c>
      <c r="C2309" t="str">
        <f t="shared" si="252"/>
        <v>14</v>
      </c>
      <c r="D2309" t="str">
        <f t="shared" si="253"/>
        <v>12</v>
      </c>
      <c r="E2309" t="str">
        <f t="shared" si="254"/>
        <v>28</v>
      </c>
      <c r="F2309">
        <f t="shared" si="255"/>
        <v>2014</v>
      </c>
      <c r="G2309">
        <f t="shared" si="256"/>
        <v>12</v>
      </c>
      <c r="H2309">
        <f t="shared" si="257"/>
        <v>28</v>
      </c>
      <c r="I2309" t="str">
        <f t="shared" si="258"/>
        <v>14</v>
      </c>
    </row>
    <row r="2310" spans="1:9" x14ac:dyDescent="0.25">
      <c r="A2310" s="19">
        <v>41661</v>
      </c>
      <c r="B2310" s="20">
        <v>1.9444444444444445E-2</v>
      </c>
      <c r="C2310" t="str">
        <f t="shared" si="252"/>
        <v>14</v>
      </c>
      <c r="D2310" t="str">
        <f t="shared" si="253"/>
        <v>01</v>
      </c>
      <c r="E2310" t="str">
        <f t="shared" si="254"/>
        <v>22</v>
      </c>
      <c r="F2310">
        <f t="shared" si="255"/>
        <v>2014</v>
      </c>
      <c r="G2310">
        <f t="shared" si="256"/>
        <v>1</v>
      </c>
      <c r="H2310">
        <f t="shared" si="257"/>
        <v>22</v>
      </c>
      <c r="I2310" t="str">
        <f t="shared" si="258"/>
        <v>14</v>
      </c>
    </row>
    <row r="2311" spans="1:9" x14ac:dyDescent="0.25">
      <c r="A2311" s="19">
        <v>41454</v>
      </c>
      <c r="B2311" s="20">
        <v>2.361111111111111E-2</v>
      </c>
      <c r="C2311" t="str">
        <f t="shared" si="252"/>
        <v>13</v>
      </c>
      <c r="D2311" t="str">
        <f t="shared" si="253"/>
        <v>06</v>
      </c>
      <c r="E2311" t="str">
        <f t="shared" si="254"/>
        <v>29</v>
      </c>
      <c r="F2311">
        <f t="shared" si="255"/>
        <v>2013</v>
      </c>
      <c r="G2311">
        <f t="shared" si="256"/>
        <v>6</v>
      </c>
      <c r="H2311">
        <f t="shared" si="257"/>
        <v>29</v>
      </c>
      <c r="I2311" t="str">
        <f t="shared" si="258"/>
        <v>13</v>
      </c>
    </row>
    <row r="2312" spans="1:9" x14ac:dyDescent="0.25">
      <c r="A2312" s="19">
        <v>41212</v>
      </c>
      <c r="B2312" s="20">
        <v>0.99236111111111114</v>
      </c>
      <c r="C2312" t="str">
        <f t="shared" si="252"/>
        <v>12</v>
      </c>
      <c r="D2312" t="str">
        <f t="shared" si="253"/>
        <v>10</v>
      </c>
      <c r="E2312" t="str">
        <f t="shared" si="254"/>
        <v>30</v>
      </c>
      <c r="F2312">
        <f t="shared" si="255"/>
        <v>2012</v>
      </c>
      <c r="G2312">
        <f t="shared" si="256"/>
        <v>10</v>
      </c>
      <c r="H2312">
        <f t="shared" si="257"/>
        <v>30</v>
      </c>
      <c r="I2312" t="str">
        <f t="shared" si="258"/>
        <v>12</v>
      </c>
    </row>
    <row r="2313" spans="1:9" x14ac:dyDescent="0.25">
      <c r="A2313" s="19">
        <v>41145</v>
      </c>
      <c r="B2313" s="20">
        <v>0.97083333333333333</v>
      </c>
      <c r="C2313" t="str">
        <f t="shared" si="252"/>
        <v>12</v>
      </c>
      <c r="D2313" t="str">
        <f t="shared" si="253"/>
        <v>08</v>
      </c>
      <c r="E2313" t="str">
        <f t="shared" si="254"/>
        <v>24</v>
      </c>
      <c r="F2313">
        <f t="shared" si="255"/>
        <v>2012</v>
      </c>
      <c r="G2313">
        <f t="shared" si="256"/>
        <v>8</v>
      </c>
      <c r="H2313">
        <f t="shared" si="257"/>
        <v>24</v>
      </c>
      <c r="I2313" t="str">
        <f t="shared" si="258"/>
        <v>12</v>
      </c>
    </row>
    <row r="2314" spans="1:9" x14ac:dyDescent="0.25">
      <c r="A2314" s="19">
        <v>41096</v>
      </c>
      <c r="B2314" s="20">
        <v>0.9868055555555556</v>
      </c>
      <c r="C2314" t="str">
        <f t="shared" si="252"/>
        <v>12</v>
      </c>
      <c r="D2314" t="str">
        <f t="shared" si="253"/>
        <v>07</v>
      </c>
      <c r="E2314" t="str">
        <f t="shared" si="254"/>
        <v>06</v>
      </c>
      <c r="F2314">
        <f t="shared" si="255"/>
        <v>2012</v>
      </c>
      <c r="G2314">
        <f t="shared" si="256"/>
        <v>7</v>
      </c>
      <c r="H2314">
        <f t="shared" si="257"/>
        <v>6</v>
      </c>
      <c r="I2314" t="str">
        <f t="shared" si="258"/>
        <v>12</v>
      </c>
    </row>
    <row r="2315" spans="1:9" x14ac:dyDescent="0.25">
      <c r="A2315" s="19">
        <v>41166</v>
      </c>
      <c r="B2315" s="20">
        <v>1.7361111111111112E-2</v>
      </c>
      <c r="C2315" t="str">
        <f t="shared" si="252"/>
        <v>12</v>
      </c>
      <c r="D2315" t="str">
        <f t="shared" si="253"/>
        <v>09</v>
      </c>
      <c r="E2315" t="str">
        <f t="shared" si="254"/>
        <v>14</v>
      </c>
      <c r="F2315">
        <f t="shared" si="255"/>
        <v>2012</v>
      </c>
      <c r="G2315">
        <f t="shared" si="256"/>
        <v>9</v>
      </c>
      <c r="H2315">
        <f t="shared" si="257"/>
        <v>14</v>
      </c>
      <c r="I2315" t="str">
        <f t="shared" si="258"/>
        <v>12</v>
      </c>
    </row>
    <row r="2316" spans="1:9" x14ac:dyDescent="0.25">
      <c r="A2316" s="19">
        <v>41438</v>
      </c>
      <c r="B2316" s="20">
        <v>7.6388888888888886E-3</v>
      </c>
      <c r="C2316" t="str">
        <f t="shared" si="252"/>
        <v>13</v>
      </c>
      <c r="D2316" t="str">
        <f t="shared" si="253"/>
        <v>06</v>
      </c>
      <c r="E2316" t="str">
        <f t="shared" si="254"/>
        <v>13</v>
      </c>
      <c r="F2316">
        <f t="shared" si="255"/>
        <v>2013</v>
      </c>
      <c r="G2316">
        <f t="shared" si="256"/>
        <v>6</v>
      </c>
      <c r="H2316">
        <f t="shared" si="257"/>
        <v>13</v>
      </c>
      <c r="I2316" t="str">
        <f t="shared" si="258"/>
        <v>13</v>
      </c>
    </row>
    <row r="2317" spans="1:9" x14ac:dyDescent="0.25">
      <c r="A2317" s="19">
        <v>42320</v>
      </c>
      <c r="B2317" s="20">
        <v>5.1388888888888887E-2</v>
      </c>
      <c r="C2317" t="str">
        <f t="shared" si="252"/>
        <v>15</v>
      </c>
      <c r="D2317" t="str">
        <f t="shared" si="253"/>
        <v>11</v>
      </c>
      <c r="E2317" t="str">
        <f t="shared" si="254"/>
        <v>12</v>
      </c>
      <c r="F2317">
        <f t="shared" si="255"/>
        <v>2015</v>
      </c>
      <c r="G2317">
        <f t="shared" si="256"/>
        <v>11</v>
      </c>
      <c r="H2317">
        <f t="shared" si="257"/>
        <v>12</v>
      </c>
      <c r="I2317" t="str">
        <f t="shared" si="258"/>
        <v>15</v>
      </c>
    </row>
    <row r="2318" spans="1:9" x14ac:dyDescent="0.25">
      <c r="A2318" s="19">
        <v>41381</v>
      </c>
      <c r="B2318" s="20">
        <v>0.98541666666666672</v>
      </c>
      <c r="C2318" t="str">
        <f t="shared" si="252"/>
        <v>13</v>
      </c>
      <c r="D2318" t="str">
        <f t="shared" si="253"/>
        <v>04</v>
      </c>
      <c r="E2318" t="str">
        <f t="shared" si="254"/>
        <v>17</v>
      </c>
      <c r="F2318">
        <f t="shared" si="255"/>
        <v>2013</v>
      </c>
      <c r="G2318">
        <f t="shared" si="256"/>
        <v>4</v>
      </c>
      <c r="H2318">
        <f t="shared" si="257"/>
        <v>17</v>
      </c>
      <c r="I2318" t="str">
        <f t="shared" si="258"/>
        <v>13</v>
      </c>
    </row>
    <row r="2319" spans="1:9" x14ac:dyDescent="0.25">
      <c r="A2319" s="19">
        <v>41638</v>
      </c>
      <c r="B2319" s="20">
        <v>0</v>
      </c>
      <c r="C2319" t="str">
        <f t="shared" si="252"/>
        <v>13</v>
      </c>
      <c r="D2319" t="str">
        <f t="shared" si="253"/>
        <v>12</v>
      </c>
      <c r="E2319" t="str">
        <f t="shared" si="254"/>
        <v>30</v>
      </c>
      <c r="F2319">
        <f t="shared" si="255"/>
        <v>2013</v>
      </c>
      <c r="G2319">
        <f t="shared" si="256"/>
        <v>12</v>
      </c>
      <c r="H2319">
        <f t="shared" si="257"/>
        <v>30</v>
      </c>
      <c r="I2319" t="str">
        <f t="shared" si="258"/>
        <v>13</v>
      </c>
    </row>
    <row r="2320" spans="1:9" x14ac:dyDescent="0.25">
      <c r="A2320" s="19">
        <v>41321</v>
      </c>
      <c r="B2320" s="20">
        <v>7.8472222222222221E-2</v>
      </c>
      <c r="C2320" t="str">
        <f t="shared" si="252"/>
        <v>13</v>
      </c>
      <c r="D2320" t="str">
        <f t="shared" si="253"/>
        <v>02</v>
      </c>
      <c r="E2320" t="str">
        <f t="shared" si="254"/>
        <v>16</v>
      </c>
      <c r="F2320">
        <f t="shared" si="255"/>
        <v>2013</v>
      </c>
      <c r="G2320">
        <f t="shared" si="256"/>
        <v>2</v>
      </c>
      <c r="H2320">
        <f t="shared" si="257"/>
        <v>16</v>
      </c>
      <c r="I2320" t="str">
        <f t="shared" si="258"/>
        <v>13</v>
      </c>
    </row>
    <row r="2321" spans="1:9" x14ac:dyDescent="0.25">
      <c r="A2321" s="19">
        <v>42117</v>
      </c>
      <c r="B2321" s="20">
        <v>0.95138888888888884</v>
      </c>
      <c r="C2321" t="str">
        <f t="shared" si="252"/>
        <v>15</v>
      </c>
      <c r="D2321" t="str">
        <f t="shared" si="253"/>
        <v>04</v>
      </c>
      <c r="E2321" t="str">
        <f t="shared" si="254"/>
        <v>23</v>
      </c>
      <c r="F2321">
        <f t="shared" si="255"/>
        <v>2015</v>
      </c>
      <c r="G2321">
        <f t="shared" si="256"/>
        <v>4</v>
      </c>
      <c r="H2321">
        <f t="shared" si="257"/>
        <v>23</v>
      </c>
      <c r="I2321" t="str">
        <f t="shared" si="258"/>
        <v>15</v>
      </c>
    </row>
    <row r="2322" spans="1:9" x14ac:dyDescent="0.25">
      <c r="A2322" s="19">
        <v>42014</v>
      </c>
      <c r="B2322" s="20">
        <v>3.6805555555555557E-2</v>
      </c>
      <c r="C2322" t="str">
        <f t="shared" si="252"/>
        <v>15</v>
      </c>
      <c r="D2322" t="str">
        <f t="shared" si="253"/>
        <v>01</v>
      </c>
      <c r="E2322" t="str">
        <f t="shared" si="254"/>
        <v>10</v>
      </c>
      <c r="F2322">
        <f t="shared" si="255"/>
        <v>2015</v>
      </c>
      <c r="G2322">
        <f t="shared" si="256"/>
        <v>1</v>
      </c>
      <c r="H2322">
        <f t="shared" si="257"/>
        <v>10</v>
      </c>
      <c r="I2322" t="str">
        <f t="shared" si="258"/>
        <v>15</v>
      </c>
    </row>
    <row r="2323" spans="1:9" x14ac:dyDescent="0.25">
      <c r="A2323" s="19">
        <v>41240</v>
      </c>
      <c r="B2323" s="20">
        <v>6.1111111111111109E-2</v>
      </c>
      <c r="C2323" t="str">
        <f t="shared" si="252"/>
        <v>12</v>
      </c>
      <c r="D2323" t="str">
        <f t="shared" si="253"/>
        <v>11</v>
      </c>
      <c r="E2323" t="str">
        <f t="shared" si="254"/>
        <v>27</v>
      </c>
      <c r="F2323">
        <f t="shared" si="255"/>
        <v>2012</v>
      </c>
      <c r="G2323">
        <f t="shared" si="256"/>
        <v>11</v>
      </c>
      <c r="H2323">
        <f t="shared" si="257"/>
        <v>27</v>
      </c>
      <c r="I2323" t="str">
        <f t="shared" si="258"/>
        <v>12</v>
      </c>
    </row>
    <row r="2324" spans="1:9" x14ac:dyDescent="0.25">
      <c r="A2324" s="19">
        <v>41118</v>
      </c>
      <c r="B2324" s="20">
        <v>8.1944444444444445E-2</v>
      </c>
      <c r="C2324" t="str">
        <f t="shared" si="252"/>
        <v>12</v>
      </c>
      <c r="D2324" t="str">
        <f t="shared" si="253"/>
        <v>07</v>
      </c>
      <c r="E2324" t="str">
        <f t="shared" si="254"/>
        <v>28</v>
      </c>
      <c r="F2324">
        <f t="shared" si="255"/>
        <v>2012</v>
      </c>
      <c r="G2324">
        <f t="shared" si="256"/>
        <v>7</v>
      </c>
      <c r="H2324">
        <f t="shared" si="257"/>
        <v>28</v>
      </c>
      <c r="I2324" t="str">
        <f t="shared" si="258"/>
        <v>12</v>
      </c>
    </row>
    <row r="2325" spans="1:9" x14ac:dyDescent="0.25">
      <c r="A2325" s="19">
        <v>42331</v>
      </c>
      <c r="B2325" s="20">
        <v>0.95694444444444449</v>
      </c>
      <c r="C2325" t="str">
        <f t="shared" si="252"/>
        <v>15</v>
      </c>
      <c r="D2325" t="str">
        <f t="shared" si="253"/>
        <v>11</v>
      </c>
      <c r="E2325" t="str">
        <f t="shared" si="254"/>
        <v>23</v>
      </c>
      <c r="F2325">
        <f t="shared" si="255"/>
        <v>2015</v>
      </c>
      <c r="G2325">
        <f t="shared" si="256"/>
        <v>11</v>
      </c>
      <c r="H2325">
        <f t="shared" si="257"/>
        <v>23</v>
      </c>
      <c r="I2325" t="str">
        <f t="shared" si="258"/>
        <v>15</v>
      </c>
    </row>
    <row r="2326" spans="1:9" x14ac:dyDescent="0.25">
      <c r="A2326" s="19">
        <v>42567</v>
      </c>
      <c r="B2326" s="20">
        <v>3.5416666666666666E-2</v>
      </c>
      <c r="C2326" t="str">
        <f t="shared" si="252"/>
        <v>16</v>
      </c>
      <c r="D2326" t="str">
        <f t="shared" si="253"/>
        <v>07</v>
      </c>
      <c r="E2326" t="str">
        <f t="shared" si="254"/>
        <v>16</v>
      </c>
      <c r="F2326">
        <f t="shared" si="255"/>
        <v>2016</v>
      </c>
      <c r="G2326">
        <f t="shared" si="256"/>
        <v>7</v>
      </c>
      <c r="H2326">
        <f t="shared" si="257"/>
        <v>16</v>
      </c>
      <c r="I2326" t="str">
        <f t="shared" si="258"/>
        <v>16</v>
      </c>
    </row>
    <row r="2327" spans="1:9" x14ac:dyDescent="0.25">
      <c r="A2327" s="19">
        <v>41705</v>
      </c>
      <c r="B2327" s="20">
        <v>0.98611111111111116</v>
      </c>
      <c r="C2327" t="str">
        <f t="shared" si="252"/>
        <v>14</v>
      </c>
      <c r="D2327" t="str">
        <f t="shared" si="253"/>
        <v>03</v>
      </c>
      <c r="E2327" t="str">
        <f t="shared" si="254"/>
        <v>07</v>
      </c>
      <c r="F2327">
        <f t="shared" si="255"/>
        <v>2014</v>
      </c>
      <c r="G2327">
        <f t="shared" si="256"/>
        <v>3</v>
      </c>
      <c r="H2327">
        <f t="shared" si="257"/>
        <v>7</v>
      </c>
      <c r="I2327" t="str">
        <f t="shared" si="258"/>
        <v>14</v>
      </c>
    </row>
    <row r="2328" spans="1:9" x14ac:dyDescent="0.25">
      <c r="A2328" s="19">
        <v>41933</v>
      </c>
      <c r="B2328" s="20">
        <v>0.94097222222222221</v>
      </c>
      <c r="C2328" t="str">
        <f t="shared" si="252"/>
        <v>14</v>
      </c>
      <c r="D2328" t="str">
        <f t="shared" si="253"/>
        <v>10</v>
      </c>
      <c r="E2328" t="str">
        <f t="shared" si="254"/>
        <v>21</v>
      </c>
      <c r="F2328">
        <f t="shared" si="255"/>
        <v>2014</v>
      </c>
      <c r="G2328">
        <f t="shared" si="256"/>
        <v>10</v>
      </c>
      <c r="H2328">
        <f t="shared" si="257"/>
        <v>21</v>
      </c>
      <c r="I2328" t="str">
        <f t="shared" si="258"/>
        <v>14</v>
      </c>
    </row>
    <row r="2329" spans="1:9" x14ac:dyDescent="0.25">
      <c r="A2329" s="19">
        <v>42149</v>
      </c>
      <c r="B2329" s="20">
        <v>5.8333333333333334E-2</v>
      </c>
      <c r="C2329" t="str">
        <f t="shared" si="252"/>
        <v>15</v>
      </c>
      <c r="D2329" t="str">
        <f t="shared" si="253"/>
        <v>05</v>
      </c>
      <c r="E2329" t="str">
        <f t="shared" si="254"/>
        <v>25</v>
      </c>
      <c r="F2329">
        <f t="shared" si="255"/>
        <v>2015</v>
      </c>
      <c r="G2329">
        <f t="shared" si="256"/>
        <v>5</v>
      </c>
      <c r="H2329">
        <f t="shared" si="257"/>
        <v>25</v>
      </c>
      <c r="I2329" t="str">
        <f t="shared" si="258"/>
        <v>15</v>
      </c>
    </row>
    <row r="2330" spans="1:9" x14ac:dyDescent="0.25">
      <c r="A2330" s="19">
        <v>41953</v>
      </c>
      <c r="B2330" s="20">
        <v>0.96180555555555558</v>
      </c>
      <c r="C2330" t="str">
        <f t="shared" si="252"/>
        <v>14</v>
      </c>
      <c r="D2330" t="str">
        <f t="shared" si="253"/>
        <v>11</v>
      </c>
      <c r="E2330" t="str">
        <f t="shared" si="254"/>
        <v>10</v>
      </c>
      <c r="F2330">
        <f t="shared" si="255"/>
        <v>2014</v>
      </c>
      <c r="G2330">
        <f t="shared" si="256"/>
        <v>11</v>
      </c>
      <c r="H2330">
        <f t="shared" si="257"/>
        <v>10</v>
      </c>
      <c r="I2330" t="str">
        <f t="shared" si="258"/>
        <v>14</v>
      </c>
    </row>
    <row r="2331" spans="1:9" x14ac:dyDescent="0.25">
      <c r="A2331" s="19">
        <v>41937</v>
      </c>
      <c r="B2331" s="20">
        <v>4.027777777777778E-2</v>
      </c>
      <c r="C2331" t="str">
        <f t="shared" si="252"/>
        <v>14</v>
      </c>
      <c r="D2331" t="str">
        <f t="shared" si="253"/>
        <v>10</v>
      </c>
      <c r="E2331" t="str">
        <f t="shared" si="254"/>
        <v>25</v>
      </c>
      <c r="F2331">
        <f t="shared" si="255"/>
        <v>2014</v>
      </c>
      <c r="G2331">
        <f t="shared" si="256"/>
        <v>10</v>
      </c>
      <c r="H2331">
        <f t="shared" si="257"/>
        <v>25</v>
      </c>
      <c r="I2331" t="str">
        <f t="shared" si="258"/>
        <v>14</v>
      </c>
    </row>
    <row r="2332" spans="1:9" x14ac:dyDescent="0.25">
      <c r="A2332" s="19">
        <v>42381</v>
      </c>
      <c r="B2332" s="20">
        <v>6.9444444444444447E-4</v>
      </c>
      <c r="C2332" t="str">
        <f t="shared" si="252"/>
        <v>16</v>
      </c>
      <c r="D2332" t="str">
        <f t="shared" si="253"/>
        <v>01</v>
      </c>
      <c r="E2332" t="str">
        <f t="shared" si="254"/>
        <v>12</v>
      </c>
      <c r="F2332">
        <f t="shared" si="255"/>
        <v>2016</v>
      </c>
      <c r="G2332">
        <f t="shared" si="256"/>
        <v>1</v>
      </c>
      <c r="H2332">
        <f t="shared" si="257"/>
        <v>12</v>
      </c>
      <c r="I2332" t="str">
        <f t="shared" si="258"/>
        <v>16</v>
      </c>
    </row>
    <row r="2333" spans="1:9" x14ac:dyDescent="0.25">
      <c r="A2333" s="19">
        <v>41686</v>
      </c>
      <c r="B2333" s="20">
        <v>3.7499999999999999E-2</v>
      </c>
      <c r="C2333" t="str">
        <f t="shared" si="252"/>
        <v>14</v>
      </c>
      <c r="D2333" t="str">
        <f t="shared" si="253"/>
        <v>02</v>
      </c>
      <c r="E2333" t="str">
        <f t="shared" si="254"/>
        <v>16</v>
      </c>
      <c r="F2333">
        <f t="shared" si="255"/>
        <v>2014</v>
      </c>
      <c r="G2333">
        <f t="shared" si="256"/>
        <v>2</v>
      </c>
      <c r="H2333">
        <f t="shared" si="257"/>
        <v>16</v>
      </c>
      <c r="I2333" t="str">
        <f t="shared" si="258"/>
        <v>14</v>
      </c>
    </row>
    <row r="2334" spans="1:9" x14ac:dyDescent="0.25">
      <c r="A2334" s="19">
        <v>41340</v>
      </c>
      <c r="B2334" s="20">
        <v>3.9583333333333331E-2</v>
      </c>
      <c r="C2334" t="str">
        <f t="shared" si="252"/>
        <v>13</v>
      </c>
      <c r="D2334" t="str">
        <f t="shared" si="253"/>
        <v>03</v>
      </c>
      <c r="E2334" t="str">
        <f t="shared" si="254"/>
        <v>07</v>
      </c>
      <c r="F2334">
        <f t="shared" si="255"/>
        <v>2013</v>
      </c>
      <c r="G2334">
        <f t="shared" si="256"/>
        <v>3</v>
      </c>
      <c r="H2334">
        <f t="shared" si="257"/>
        <v>7</v>
      </c>
      <c r="I2334" t="str">
        <f t="shared" si="258"/>
        <v>13</v>
      </c>
    </row>
    <row r="2335" spans="1:9" x14ac:dyDescent="0.25">
      <c r="A2335" s="19">
        <v>41228</v>
      </c>
      <c r="B2335" s="20">
        <v>1.5972222222222221E-2</v>
      </c>
      <c r="C2335" t="str">
        <f t="shared" si="252"/>
        <v>12</v>
      </c>
      <c r="D2335" t="str">
        <f t="shared" si="253"/>
        <v>11</v>
      </c>
      <c r="E2335" t="str">
        <f t="shared" si="254"/>
        <v>15</v>
      </c>
      <c r="F2335">
        <f t="shared" si="255"/>
        <v>2012</v>
      </c>
      <c r="G2335">
        <f t="shared" si="256"/>
        <v>11</v>
      </c>
      <c r="H2335">
        <f t="shared" si="257"/>
        <v>15</v>
      </c>
      <c r="I2335" t="str">
        <f t="shared" si="258"/>
        <v>12</v>
      </c>
    </row>
    <row r="2336" spans="1:9" x14ac:dyDescent="0.25">
      <c r="A2336" s="19">
        <v>41564</v>
      </c>
      <c r="B2336" s="20">
        <v>0.05</v>
      </c>
      <c r="C2336" t="str">
        <f t="shared" si="252"/>
        <v>13</v>
      </c>
      <c r="D2336" t="str">
        <f t="shared" si="253"/>
        <v>10</v>
      </c>
      <c r="E2336" t="str">
        <f t="shared" si="254"/>
        <v>17</v>
      </c>
      <c r="F2336">
        <f t="shared" si="255"/>
        <v>2013</v>
      </c>
      <c r="G2336">
        <f t="shared" si="256"/>
        <v>10</v>
      </c>
      <c r="H2336">
        <f t="shared" si="257"/>
        <v>17</v>
      </c>
      <c r="I2336" t="str">
        <f t="shared" si="258"/>
        <v>13</v>
      </c>
    </row>
    <row r="2337" spans="1:9" x14ac:dyDescent="0.25">
      <c r="A2337" s="19">
        <v>41158</v>
      </c>
      <c r="B2337" s="20">
        <v>8.6805555555555552E-2</v>
      </c>
      <c r="C2337" t="str">
        <f t="shared" si="252"/>
        <v>12</v>
      </c>
      <c r="D2337" t="str">
        <f t="shared" si="253"/>
        <v>09</v>
      </c>
      <c r="E2337" t="str">
        <f t="shared" si="254"/>
        <v>06</v>
      </c>
      <c r="F2337">
        <f t="shared" si="255"/>
        <v>2012</v>
      </c>
      <c r="G2337">
        <f t="shared" si="256"/>
        <v>9</v>
      </c>
      <c r="H2337">
        <f t="shared" si="257"/>
        <v>6</v>
      </c>
      <c r="I2337" t="str">
        <f t="shared" si="258"/>
        <v>12</v>
      </c>
    </row>
    <row r="2338" spans="1:9" x14ac:dyDescent="0.25">
      <c r="A2338" s="19">
        <v>41602</v>
      </c>
      <c r="B2338" s="20">
        <v>3.6111111111111108E-2</v>
      </c>
      <c r="C2338" t="str">
        <f t="shared" si="252"/>
        <v>13</v>
      </c>
      <c r="D2338" t="str">
        <f t="shared" si="253"/>
        <v>11</v>
      </c>
      <c r="E2338" t="str">
        <f t="shared" si="254"/>
        <v>24</v>
      </c>
      <c r="F2338">
        <f t="shared" si="255"/>
        <v>2013</v>
      </c>
      <c r="G2338">
        <f t="shared" si="256"/>
        <v>11</v>
      </c>
      <c r="H2338">
        <f t="shared" si="257"/>
        <v>24</v>
      </c>
      <c r="I2338" t="str">
        <f t="shared" si="258"/>
        <v>13</v>
      </c>
    </row>
    <row r="2339" spans="1:9" x14ac:dyDescent="0.25">
      <c r="A2339" s="19">
        <v>42648</v>
      </c>
      <c r="B2339" s="20">
        <v>6.5277777777777782E-2</v>
      </c>
      <c r="C2339" t="str">
        <f t="shared" si="252"/>
        <v>16</v>
      </c>
      <c r="D2339" t="str">
        <f t="shared" si="253"/>
        <v>10</v>
      </c>
      <c r="E2339" t="str">
        <f t="shared" si="254"/>
        <v>05</v>
      </c>
      <c r="F2339">
        <f t="shared" si="255"/>
        <v>2016</v>
      </c>
      <c r="G2339">
        <f t="shared" si="256"/>
        <v>10</v>
      </c>
      <c r="H2339">
        <f t="shared" si="257"/>
        <v>5</v>
      </c>
      <c r="I2339" t="str">
        <f t="shared" si="258"/>
        <v>16</v>
      </c>
    </row>
    <row r="2340" spans="1:9" x14ac:dyDescent="0.25">
      <c r="A2340" s="19">
        <v>41035</v>
      </c>
      <c r="B2340" s="20">
        <v>2.7083333333333334E-2</v>
      </c>
      <c r="C2340" t="str">
        <f t="shared" si="252"/>
        <v>12</v>
      </c>
      <c r="D2340" t="str">
        <f t="shared" si="253"/>
        <v>05</v>
      </c>
      <c r="E2340" t="str">
        <f t="shared" si="254"/>
        <v>06</v>
      </c>
      <c r="F2340">
        <f t="shared" si="255"/>
        <v>2012</v>
      </c>
      <c r="G2340">
        <f t="shared" si="256"/>
        <v>5</v>
      </c>
      <c r="H2340">
        <f t="shared" si="257"/>
        <v>6</v>
      </c>
      <c r="I2340" t="str">
        <f t="shared" si="258"/>
        <v>12</v>
      </c>
    </row>
    <row r="2341" spans="1:9" x14ac:dyDescent="0.25">
      <c r="A2341" s="19">
        <v>41643</v>
      </c>
      <c r="B2341" s="20">
        <v>7.7083333333333337E-2</v>
      </c>
      <c r="C2341" t="str">
        <f t="shared" si="252"/>
        <v>14</v>
      </c>
      <c r="D2341" t="str">
        <f t="shared" si="253"/>
        <v>01</v>
      </c>
      <c r="E2341" t="str">
        <f t="shared" si="254"/>
        <v>04</v>
      </c>
      <c r="F2341">
        <f t="shared" si="255"/>
        <v>2014</v>
      </c>
      <c r="G2341">
        <f t="shared" si="256"/>
        <v>1</v>
      </c>
      <c r="H2341">
        <f t="shared" si="257"/>
        <v>4</v>
      </c>
      <c r="I2341" t="str">
        <f t="shared" si="258"/>
        <v>14</v>
      </c>
    </row>
    <row r="2342" spans="1:9" x14ac:dyDescent="0.25">
      <c r="A2342" s="19">
        <v>41920</v>
      </c>
      <c r="B2342" s="20">
        <v>0.97361111111111109</v>
      </c>
      <c r="C2342" t="str">
        <f t="shared" si="252"/>
        <v>14</v>
      </c>
      <c r="D2342" t="str">
        <f t="shared" si="253"/>
        <v>10</v>
      </c>
      <c r="E2342" t="str">
        <f t="shared" si="254"/>
        <v>08</v>
      </c>
      <c r="F2342">
        <f t="shared" si="255"/>
        <v>2014</v>
      </c>
      <c r="G2342">
        <f t="shared" si="256"/>
        <v>10</v>
      </c>
      <c r="H2342">
        <f t="shared" si="257"/>
        <v>8</v>
      </c>
      <c r="I2342" t="str">
        <f t="shared" si="258"/>
        <v>14</v>
      </c>
    </row>
    <row r="2343" spans="1:9" x14ac:dyDescent="0.25">
      <c r="A2343" s="19">
        <v>41311</v>
      </c>
      <c r="B2343" s="20">
        <v>1.1111111111111112E-2</v>
      </c>
      <c r="C2343" t="str">
        <f t="shared" si="252"/>
        <v>13</v>
      </c>
      <c r="D2343" t="str">
        <f t="shared" si="253"/>
        <v>02</v>
      </c>
      <c r="E2343" t="str">
        <f t="shared" si="254"/>
        <v>06</v>
      </c>
      <c r="F2343">
        <f t="shared" si="255"/>
        <v>2013</v>
      </c>
      <c r="G2343">
        <f t="shared" si="256"/>
        <v>2</v>
      </c>
      <c r="H2343">
        <f t="shared" si="257"/>
        <v>6</v>
      </c>
      <c r="I2343" t="str">
        <f t="shared" si="258"/>
        <v>13</v>
      </c>
    </row>
    <row r="2344" spans="1:9" x14ac:dyDescent="0.25">
      <c r="A2344" s="19">
        <v>41695</v>
      </c>
      <c r="B2344" s="20">
        <v>0.96736111111111112</v>
      </c>
      <c r="C2344" t="str">
        <f t="shared" si="252"/>
        <v>14</v>
      </c>
      <c r="D2344" t="str">
        <f t="shared" si="253"/>
        <v>02</v>
      </c>
      <c r="E2344" t="str">
        <f t="shared" si="254"/>
        <v>25</v>
      </c>
      <c r="F2344">
        <f t="shared" si="255"/>
        <v>2014</v>
      </c>
      <c r="G2344">
        <f t="shared" si="256"/>
        <v>2</v>
      </c>
      <c r="H2344">
        <f t="shared" si="257"/>
        <v>25</v>
      </c>
      <c r="I2344" t="str">
        <f t="shared" si="258"/>
        <v>14</v>
      </c>
    </row>
    <row r="2345" spans="1:9" x14ac:dyDescent="0.25">
      <c r="A2345" s="19">
        <v>41720</v>
      </c>
      <c r="B2345" s="20">
        <v>0.98124999999999996</v>
      </c>
      <c r="C2345" t="str">
        <f t="shared" si="252"/>
        <v>14</v>
      </c>
      <c r="D2345" t="str">
        <f t="shared" si="253"/>
        <v>03</v>
      </c>
      <c r="E2345" t="str">
        <f t="shared" si="254"/>
        <v>22</v>
      </c>
      <c r="F2345">
        <f t="shared" si="255"/>
        <v>2014</v>
      </c>
      <c r="G2345">
        <f t="shared" si="256"/>
        <v>3</v>
      </c>
      <c r="H2345">
        <f t="shared" si="257"/>
        <v>22</v>
      </c>
      <c r="I2345" t="str">
        <f t="shared" si="258"/>
        <v>14</v>
      </c>
    </row>
    <row r="2346" spans="1:9" x14ac:dyDescent="0.25">
      <c r="A2346" s="19">
        <v>41590</v>
      </c>
      <c r="B2346" s="20">
        <v>2.361111111111111E-2</v>
      </c>
      <c r="C2346" t="str">
        <f t="shared" si="252"/>
        <v>13</v>
      </c>
      <c r="D2346" t="str">
        <f t="shared" si="253"/>
        <v>11</v>
      </c>
      <c r="E2346" t="str">
        <f t="shared" si="254"/>
        <v>12</v>
      </c>
      <c r="F2346">
        <f t="shared" si="255"/>
        <v>2013</v>
      </c>
      <c r="G2346">
        <f t="shared" si="256"/>
        <v>11</v>
      </c>
      <c r="H2346">
        <f t="shared" si="257"/>
        <v>12</v>
      </c>
      <c r="I2346" t="str">
        <f t="shared" si="258"/>
        <v>13</v>
      </c>
    </row>
    <row r="2347" spans="1:9" x14ac:dyDescent="0.25">
      <c r="A2347" s="19">
        <v>41892</v>
      </c>
      <c r="B2347" s="20">
        <v>2.7777777777777776E-2</v>
      </c>
      <c r="C2347" t="str">
        <f t="shared" si="252"/>
        <v>14</v>
      </c>
      <c r="D2347" t="str">
        <f t="shared" si="253"/>
        <v>09</v>
      </c>
      <c r="E2347" t="str">
        <f t="shared" si="254"/>
        <v>10</v>
      </c>
      <c r="F2347">
        <f t="shared" si="255"/>
        <v>2014</v>
      </c>
      <c r="G2347">
        <f t="shared" si="256"/>
        <v>9</v>
      </c>
      <c r="H2347">
        <f t="shared" si="257"/>
        <v>10</v>
      </c>
      <c r="I2347" t="str">
        <f t="shared" si="258"/>
        <v>14</v>
      </c>
    </row>
    <row r="2348" spans="1:9" x14ac:dyDescent="0.25">
      <c r="A2348" s="19">
        <v>42454</v>
      </c>
      <c r="B2348" s="20">
        <v>0.97847222222222219</v>
      </c>
      <c r="C2348" t="str">
        <f t="shared" si="252"/>
        <v>16</v>
      </c>
      <c r="D2348" t="str">
        <f t="shared" si="253"/>
        <v>03</v>
      </c>
      <c r="E2348" t="str">
        <f t="shared" si="254"/>
        <v>25</v>
      </c>
      <c r="F2348">
        <f t="shared" si="255"/>
        <v>2016</v>
      </c>
      <c r="G2348">
        <f t="shared" si="256"/>
        <v>3</v>
      </c>
      <c r="H2348">
        <f t="shared" si="257"/>
        <v>25</v>
      </c>
      <c r="I2348" t="str">
        <f t="shared" si="258"/>
        <v>16</v>
      </c>
    </row>
    <row r="2349" spans="1:9" x14ac:dyDescent="0.25">
      <c r="A2349" s="19">
        <v>41098</v>
      </c>
      <c r="B2349" s="20">
        <v>7.0833333333333331E-2</v>
      </c>
      <c r="C2349" t="str">
        <f t="shared" si="252"/>
        <v>12</v>
      </c>
      <c r="D2349" t="str">
        <f t="shared" si="253"/>
        <v>07</v>
      </c>
      <c r="E2349" t="str">
        <f t="shared" si="254"/>
        <v>08</v>
      </c>
      <c r="F2349">
        <f t="shared" si="255"/>
        <v>2012</v>
      </c>
      <c r="G2349">
        <f t="shared" si="256"/>
        <v>7</v>
      </c>
      <c r="H2349">
        <f t="shared" si="257"/>
        <v>8</v>
      </c>
      <c r="I2349" t="str">
        <f t="shared" si="258"/>
        <v>12</v>
      </c>
    </row>
    <row r="2350" spans="1:9" x14ac:dyDescent="0.25">
      <c r="A2350" s="19">
        <v>42340</v>
      </c>
      <c r="B2350" s="20">
        <v>2.6388888888888889E-2</v>
      </c>
      <c r="C2350" t="str">
        <f t="shared" si="252"/>
        <v>15</v>
      </c>
      <c r="D2350" t="str">
        <f t="shared" si="253"/>
        <v>12</v>
      </c>
      <c r="E2350" t="str">
        <f t="shared" si="254"/>
        <v>02</v>
      </c>
      <c r="F2350">
        <f t="shared" si="255"/>
        <v>2015</v>
      </c>
      <c r="G2350">
        <f t="shared" si="256"/>
        <v>12</v>
      </c>
      <c r="H2350">
        <f t="shared" si="257"/>
        <v>2</v>
      </c>
      <c r="I2350" t="str">
        <f t="shared" si="258"/>
        <v>15</v>
      </c>
    </row>
    <row r="2351" spans="1:9" x14ac:dyDescent="0.25">
      <c r="A2351" s="19">
        <v>41619</v>
      </c>
      <c r="B2351" s="20">
        <v>8.3333333333333332E-3</v>
      </c>
      <c r="C2351" t="str">
        <f t="shared" si="252"/>
        <v>13</v>
      </c>
      <c r="D2351" t="str">
        <f t="shared" si="253"/>
        <v>12</v>
      </c>
      <c r="E2351" t="str">
        <f t="shared" si="254"/>
        <v>11</v>
      </c>
      <c r="F2351">
        <f t="shared" si="255"/>
        <v>2013</v>
      </c>
      <c r="G2351">
        <f t="shared" si="256"/>
        <v>12</v>
      </c>
      <c r="H2351">
        <f t="shared" si="257"/>
        <v>11</v>
      </c>
      <c r="I2351" t="str">
        <f t="shared" si="258"/>
        <v>13</v>
      </c>
    </row>
    <row r="2352" spans="1:9" x14ac:dyDescent="0.25">
      <c r="A2352" s="19">
        <v>42683</v>
      </c>
      <c r="B2352" s="20">
        <v>0.96180555555555558</v>
      </c>
      <c r="C2352" t="str">
        <f t="shared" si="252"/>
        <v>16</v>
      </c>
      <c r="D2352" t="str">
        <f t="shared" si="253"/>
        <v>11</v>
      </c>
      <c r="E2352" t="str">
        <f t="shared" si="254"/>
        <v>09</v>
      </c>
      <c r="F2352">
        <f t="shared" si="255"/>
        <v>2016</v>
      </c>
      <c r="G2352">
        <f t="shared" si="256"/>
        <v>11</v>
      </c>
      <c r="H2352">
        <f t="shared" si="257"/>
        <v>9</v>
      </c>
      <c r="I2352" t="str">
        <f t="shared" si="258"/>
        <v>16</v>
      </c>
    </row>
    <row r="2353" spans="1:9" x14ac:dyDescent="0.25">
      <c r="A2353" s="19">
        <v>41791</v>
      </c>
      <c r="B2353" s="20">
        <v>0.96250000000000002</v>
      </c>
      <c r="C2353" t="str">
        <f t="shared" si="252"/>
        <v>14</v>
      </c>
      <c r="D2353" t="str">
        <f t="shared" si="253"/>
        <v>06</v>
      </c>
      <c r="E2353" t="str">
        <f t="shared" si="254"/>
        <v>01</v>
      </c>
      <c r="F2353">
        <f t="shared" si="255"/>
        <v>2014</v>
      </c>
      <c r="G2353">
        <f t="shared" si="256"/>
        <v>6</v>
      </c>
      <c r="H2353">
        <f t="shared" si="257"/>
        <v>1</v>
      </c>
      <c r="I2353" t="str">
        <f t="shared" si="258"/>
        <v>14</v>
      </c>
    </row>
    <row r="2354" spans="1:9" x14ac:dyDescent="0.25">
      <c r="A2354" s="19">
        <v>42150</v>
      </c>
      <c r="B2354" s="20">
        <v>1.2500000000000001E-2</v>
      </c>
      <c r="C2354" t="str">
        <f t="shared" si="252"/>
        <v>15</v>
      </c>
      <c r="D2354" t="str">
        <f t="shared" si="253"/>
        <v>05</v>
      </c>
      <c r="E2354" t="str">
        <f t="shared" si="254"/>
        <v>26</v>
      </c>
      <c r="F2354">
        <f t="shared" si="255"/>
        <v>2015</v>
      </c>
      <c r="G2354">
        <f t="shared" si="256"/>
        <v>5</v>
      </c>
      <c r="H2354">
        <f t="shared" si="257"/>
        <v>26</v>
      </c>
      <c r="I2354" t="str">
        <f t="shared" si="258"/>
        <v>15</v>
      </c>
    </row>
    <row r="2355" spans="1:9" x14ac:dyDescent="0.25">
      <c r="A2355" s="19">
        <v>41742</v>
      </c>
      <c r="B2355" s="20">
        <v>3.3333333333333333E-2</v>
      </c>
      <c r="C2355" t="str">
        <f t="shared" si="252"/>
        <v>14</v>
      </c>
      <c r="D2355" t="str">
        <f t="shared" si="253"/>
        <v>04</v>
      </c>
      <c r="E2355" t="str">
        <f t="shared" si="254"/>
        <v>13</v>
      </c>
      <c r="F2355">
        <f t="shared" si="255"/>
        <v>2014</v>
      </c>
      <c r="G2355">
        <f t="shared" si="256"/>
        <v>4</v>
      </c>
      <c r="H2355">
        <f t="shared" si="257"/>
        <v>13</v>
      </c>
      <c r="I2355" t="str">
        <f t="shared" si="258"/>
        <v>14</v>
      </c>
    </row>
    <row r="2356" spans="1:9" x14ac:dyDescent="0.25">
      <c r="A2356" s="19">
        <v>42106</v>
      </c>
      <c r="B2356" s="20">
        <v>0.98958333333333337</v>
      </c>
      <c r="C2356" t="str">
        <f t="shared" si="252"/>
        <v>15</v>
      </c>
      <c r="D2356" t="str">
        <f t="shared" si="253"/>
        <v>04</v>
      </c>
      <c r="E2356" t="str">
        <f t="shared" si="254"/>
        <v>12</v>
      </c>
      <c r="F2356">
        <f t="shared" si="255"/>
        <v>2015</v>
      </c>
      <c r="G2356">
        <f t="shared" si="256"/>
        <v>4</v>
      </c>
      <c r="H2356">
        <f t="shared" si="257"/>
        <v>12</v>
      </c>
      <c r="I2356" t="str">
        <f t="shared" si="258"/>
        <v>15</v>
      </c>
    </row>
    <row r="2357" spans="1:9" x14ac:dyDescent="0.25">
      <c r="A2357" s="19">
        <v>41565</v>
      </c>
      <c r="B2357" s="20">
        <v>6.8750000000000006E-2</v>
      </c>
      <c r="C2357" t="str">
        <f t="shared" si="252"/>
        <v>13</v>
      </c>
      <c r="D2357" t="str">
        <f t="shared" si="253"/>
        <v>10</v>
      </c>
      <c r="E2357" t="str">
        <f t="shared" si="254"/>
        <v>18</v>
      </c>
      <c r="F2357">
        <f t="shared" si="255"/>
        <v>2013</v>
      </c>
      <c r="G2357">
        <f t="shared" si="256"/>
        <v>10</v>
      </c>
      <c r="H2357">
        <f t="shared" si="257"/>
        <v>18</v>
      </c>
      <c r="I2357" t="str">
        <f t="shared" si="258"/>
        <v>13</v>
      </c>
    </row>
    <row r="2358" spans="1:9" x14ac:dyDescent="0.25">
      <c r="A2358" s="19">
        <v>41363</v>
      </c>
      <c r="B2358" s="20">
        <v>0.99027777777777781</v>
      </c>
      <c r="C2358" t="str">
        <f t="shared" si="252"/>
        <v>13</v>
      </c>
      <c r="D2358" t="str">
        <f t="shared" si="253"/>
        <v>03</v>
      </c>
      <c r="E2358" t="str">
        <f t="shared" si="254"/>
        <v>30</v>
      </c>
      <c r="F2358">
        <f t="shared" si="255"/>
        <v>2013</v>
      </c>
      <c r="G2358">
        <f t="shared" si="256"/>
        <v>3</v>
      </c>
      <c r="H2358">
        <f t="shared" si="257"/>
        <v>30</v>
      </c>
      <c r="I2358" t="str">
        <f t="shared" si="258"/>
        <v>13</v>
      </c>
    </row>
    <row r="2359" spans="1:9" x14ac:dyDescent="0.25">
      <c r="A2359" s="19">
        <v>42191</v>
      </c>
      <c r="B2359" s="20">
        <v>5.7638888888888892E-2</v>
      </c>
      <c r="C2359" t="str">
        <f t="shared" si="252"/>
        <v>15</v>
      </c>
      <c r="D2359" t="str">
        <f t="shared" si="253"/>
        <v>07</v>
      </c>
      <c r="E2359" t="str">
        <f t="shared" si="254"/>
        <v>06</v>
      </c>
      <c r="F2359">
        <f t="shared" si="255"/>
        <v>2015</v>
      </c>
      <c r="G2359">
        <f t="shared" si="256"/>
        <v>7</v>
      </c>
      <c r="H2359">
        <f t="shared" si="257"/>
        <v>6</v>
      </c>
      <c r="I2359" t="str">
        <f t="shared" si="258"/>
        <v>15</v>
      </c>
    </row>
    <row r="2360" spans="1:9" x14ac:dyDescent="0.25">
      <c r="A2360" s="19">
        <v>41985</v>
      </c>
      <c r="B2360" s="20">
        <v>0.94930555555555551</v>
      </c>
      <c r="C2360" t="str">
        <f t="shared" si="252"/>
        <v>14</v>
      </c>
      <c r="D2360" t="str">
        <f t="shared" si="253"/>
        <v>12</v>
      </c>
      <c r="E2360" t="str">
        <f t="shared" si="254"/>
        <v>12</v>
      </c>
      <c r="F2360">
        <f t="shared" si="255"/>
        <v>2014</v>
      </c>
      <c r="G2360">
        <f t="shared" si="256"/>
        <v>12</v>
      </c>
      <c r="H2360">
        <f t="shared" si="257"/>
        <v>12</v>
      </c>
      <c r="I2360" t="str">
        <f t="shared" si="258"/>
        <v>14</v>
      </c>
    </row>
    <row r="2361" spans="1:9" x14ac:dyDescent="0.25">
      <c r="A2361" s="19">
        <v>42506</v>
      </c>
      <c r="B2361" s="20">
        <v>3.2638888888888891E-2</v>
      </c>
      <c r="C2361" t="str">
        <f t="shared" si="252"/>
        <v>16</v>
      </c>
      <c r="D2361" t="str">
        <f t="shared" si="253"/>
        <v>05</v>
      </c>
      <c r="E2361" t="str">
        <f t="shared" si="254"/>
        <v>16</v>
      </c>
      <c r="F2361">
        <f t="shared" si="255"/>
        <v>2016</v>
      </c>
      <c r="G2361">
        <f t="shared" si="256"/>
        <v>5</v>
      </c>
      <c r="H2361">
        <f t="shared" si="257"/>
        <v>16</v>
      </c>
      <c r="I2361" t="str">
        <f t="shared" si="258"/>
        <v>16</v>
      </c>
    </row>
    <row r="2362" spans="1:9" x14ac:dyDescent="0.25">
      <c r="A2362" s="19">
        <v>41836</v>
      </c>
      <c r="B2362" s="20">
        <v>0.99652777777777779</v>
      </c>
      <c r="C2362" t="str">
        <f t="shared" si="252"/>
        <v>14</v>
      </c>
      <c r="D2362" t="str">
        <f t="shared" si="253"/>
        <v>07</v>
      </c>
      <c r="E2362" t="str">
        <f t="shared" si="254"/>
        <v>16</v>
      </c>
      <c r="F2362">
        <f t="shared" si="255"/>
        <v>2014</v>
      </c>
      <c r="G2362">
        <f t="shared" si="256"/>
        <v>7</v>
      </c>
      <c r="H2362">
        <f t="shared" si="257"/>
        <v>16</v>
      </c>
      <c r="I2362" t="str">
        <f t="shared" si="258"/>
        <v>14</v>
      </c>
    </row>
    <row r="2363" spans="1:9" x14ac:dyDescent="0.25">
      <c r="A2363" s="19">
        <v>42714</v>
      </c>
      <c r="B2363" s="20">
        <v>0.97083333333333333</v>
      </c>
      <c r="C2363" t="str">
        <f t="shared" si="252"/>
        <v>16</v>
      </c>
      <c r="D2363" t="str">
        <f t="shared" si="253"/>
        <v>12</v>
      </c>
      <c r="E2363" t="str">
        <f t="shared" si="254"/>
        <v>10</v>
      </c>
      <c r="F2363">
        <f t="shared" si="255"/>
        <v>2016</v>
      </c>
      <c r="G2363">
        <f t="shared" si="256"/>
        <v>12</v>
      </c>
      <c r="H2363">
        <f t="shared" si="257"/>
        <v>10</v>
      </c>
      <c r="I2363" t="str">
        <f t="shared" si="258"/>
        <v>16</v>
      </c>
    </row>
    <row r="2364" spans="1:9" x14ac:dyDescent="0.25">
      <c r="A2364" s="19">
        <v>42565</v>
      </c>
      <c r="B2364" s="20">
        <v>3.3333333333333333E-2</v>
      </c>
      <c r="C2364" t="str">
        <f t="shared" si="252"/>
        <v>16</v>
      </c>
      <c r="D2364" t="str">
        <f t="shared" si="253"/>
        <v>07</v>
      </c>
      <c r="E2364" t="str">
        <f t="shared" si="254"/>
        <v>14</v>
      </c>
      <c r="F2364">
        <f t="shared" si="255"/>
        <v>2016</v>
      </c>
      <c r="G2364">
        <f t="shared" si="256"/>
        <v>7</v>
      </c>
      <c r="H2364">
        <f t="shared" si="257"/>
        <v>14</v>
      </c>
      <c r="I2364" t="str">
        <f t="shared" si="258"/>
        <v>16</v>
      </c>
    </row>
    <row r="2365" spans="1:9" x14ac:dyDescent="0.25">
      <c r="A2365" s="19">
        <v>41537</v>
      </c>
      <c r="B2365" s="20">
        <v>0.97986111111111107</v>
      </c>
      <c r="C2365" t="str">
        <f t="shared" si="252"/>
        <v>13</v>
      </c>
      <c r="D2365" t="str">
        <f t="shared" si="253"/>
        <v>09</v>
      </c>
      <c r="E2365" t="str">
        <f t="shared" si="254"/>
        <v>20</v>
      </c>
      <c r="F2365">
        <f t="shared" si="255"/>
        <v>2013</v>
      </c>
      <c r="G2365">
        <f t="shared" si="256"/>
        <v>9</v>
      </c>
      <c r="H2365">
        <f t="shared" si="257"/>
        <v>20</v>
      </c>
      <c r="I2365" t="str">
        <f t="shared" si="258"/>
        <v>13</v>
      </c>
    </row>
    <row r="2366" spans="1:9" x14ac:dyDescent="0.25">
      <c r="A2366" s="19">
        <v>41590</v>
      </c>
      <c r="B2366" s="20">
        <v>1.3194444444444444E-2</v>
      </c>
      <c r="C2366" t="str">
        <f t="shared" si="252"/>
        <v>13</v>
      </c>
      <c r="D2366" t="str">
        <f t="shared" si="253"/>
        <v>11</v>
      </c>
      <c r="E2366" t="str">
        <f t="shared" si="254"/>
        <v>12</v>
      </c>
      <c r="F2366">
        <f t="shared" si="255"/>
        <v>2013</v>
      </c>
      <c r="G2366">
        <f t="shared" si="256"/>
        <v>11</v>
      </c>
      <c r="H2366">
        <f t="shared" si="257"/>
        <v>12</v>
      </c>
      <c r="I2366" t="str">
        <f t="shared" si="258"/>
        <v>13</v>
      </c>
    </row>
    <row r="2367" spans="1:9" x14ac:dyDescent="0.25">
      <c r="A2367" s="19">
        <v>41208</v>
      </c>
      <c r="B2367" s="20">
        <v>0.98055555555555551</v>
      </c>
      <c r="C2367" t="str">
        <f t="shared" si="252"/>
        <v>12</v>
      </c>
      <c r="D2367" t="str">
        <f t="shared" si="253"/>
        <v>10</v>
      </c>
      <c r="E2367" t="str">
        <f t="shared" si="254"/>
        <v>26</v>
      </c>
      <c r="F2367">
        <f t="shared" si="255"/>
        <v>2012</v>
      </c>
      <c r="G2367">
        <f t="shared" si="256"/>
        <v>10</v>
      </c>
      <c r="H2367">
        <f t="shared" si="257"/>
        <v>26</v>
      </c>
      <c r="I2367" t="str">
        <f t="shared" si="258"/>
        <v>12</v>
      </c>
    </row>
    <row r="2368" spans="1:9" x14ac:dyDescent="0.25">
      <c r="A2368" s="19">
        <v>42027</v>
      </c>
      <c r="B2368" s="20">
        <v>0.95416666666666672</v>
      </c>
      <c r="C2368" t="str">
        <f t="shared" si="252"/>
        <v>15</v>
      </c>
      <c r="D2368" t="str">
        <f t="shared" si="253"/>
        <v>01</v>
      </c>
      <c r="E2368" t="str">
        <f t="shared" si="254"/>
        <v>23</v>
      </c>
      <c r="F2368">
        <f t="shared" si="255"/>
        <v>2015</v>
      </c>
      <c r="G2368">
        <f t="shared" si="256"/>
        <v>1</v>
      </c>
      <c r="H2368">
        <f t="shared" si="257"/>
        <v>23</v>
      </c>
      <c r="I2368" t="str">
        <f t="shared" si="258"/>
        <v>15</v>
      </c>
    </row>
    <row r="2369" spans="1:9" x14ac:dyDescent="0.25">
      <c r="A2369" s="19">
        <v>41346</v>
      </c>
      <c r="B2369" s="20">
        <v>0.99375000000000002</v>
      </c>
      <c r="C2369" t="str">
        <f t="shared" si="252"/>
        <v>13</v>
      </c>
      <c r="D2369" t="str">
        <f t="shared" si="253"/>
        <v>03</v>
      </c>
      <c r="E2369" t="str">
        <f t="shared" si="254"/>
        <v>13</v>
      </c>
      <c r="F2369">
        <f t="shared" si="255"/>
        <v>2013</v>
      </c>
      <c r="G2369">
        <f t="shared" si="256"/>
        <v>3</v>
      </c>
      <c r="H2369">
        <f t="shared" si="257"/>
        <v>13</v>
      </c>
      <c r="I2369" t="str">
        <f t="shared" si="258"/>
        <v>13</v>
      </c>
    </row>
    <row r="2370" spans="1:9" x14ac:dyDescent="0.25">
      <c r="A2370" s="19">
        <v>41293</v>
      </c>
      <c r="B2370" s="20">
        <v>0.97569444444444442</v>
      </c>
      <c r="C2370" t="str">
        <f t="shared" si="252"/>
        <v>13</v>
      </c>
      <c r="D2370" t="str">
        <f t="shared" si="253"/>
        <v>01</v>
      </c>
      <c r="E2370" t="str">
        <f t="shared" si="254"/>
        <v>19</v>
      </c>
      <c r="F2370">
        <f t="shared" si="255"/>
        <v>2013</v>
      </c>
      <c r="G2370">
        <f t="shared" si="256"/>
        <v>1</v>
      </c>
      <c r="H2370">
        <f t="shared" si="257"/>
        <v>19</v>
      </c>
      <c r="I2370" t="str">
        <f t="shared" si="258"/>
        <v>13</v>
      </c>
    </row>
    <row r="2371" spans="1:9" x14ac:dyDescent="0.25">
      <c r="A2371" s="19">
        <v>41597</v>
      </c>
      <c r="B2371" s="20">
        <v>1.0416666666666666E-2</v>
      </c>
      <c r="C2371" t="str">
        <f t="shared" ref="C2371:C2434" si="259">TEXT(A2371,"YY")</f>
        <v>13</v>
      </c>
      <c r="D2371" t="str">
        <f t="shared" ref="D2371:D2434" si="260">TEXT(A2371,"mm")</f>
        <v>11</v>
      </c>
      <c r="E2371" t="str">
        <f t="shared" ref="E2371:E2434" si="261">TEXT(A2371,"dd")</f>
        <v>19</v>
      </c>
      <c r="F2371">
        <f t="shared" ref="F2371:F2434" si="262">YEAR($A2371)</f>
        <v>2013</v>
      </c>
      <c r="G2371">
        <f t="shared" ref="G2371:G2434" si="263">MONTH($A2371)</f>
        <v>11</v>
      </c>
      <c r="H2371">
        <f t="shared" ref="H2371:H2434" si="264">DAY($A2371)</f>
        <v>19</v>
      </c>
      <c r="I2371" t="str">
        <f t="shared" ref="I2371:I2434" si="265">TEXT($A2371,"YY")</f>
        <v>13</v>
      </c>
    </row>
    <row r="2372" spans="1:9" x14ac:dyDescent="0.25">
      <c r="A2372" s="19">
        <v>41464</v>
      </c>
      <c r="B2372" s="20">
        <v>3.6111111111111108E-2</v>
      </c>
      <c r="C2372" t="str">
        <f t="shared" si="259"/>
        <v>13</v>
      </c>
      <c r="D2372" t="str">
        <f t="shared" si="260"/>
        <v>07</v>
      </c>
      <c r="E2372" t="str">
        <f t="shared" si="261"/>
        <v>09</v>
      </c>
      <c r="F2372">
        <f t="shared" si="262"/>
        <v>2013</v>
      </c>
      <c r="G2372">
        <f t="shared" si="263"/>
        <v>7</v>
      </c>
      <c r="H2372">
        <f t="shared" si="264"/>
        <v>9</v>
      </c>
      <c r="I2372" t="str">
        <f t="shared" si="265"/>
        <v>13</v>
      </c>
    </row>
    <row r="2373" spans="1:9" x14ac:dyDescent="0.25">
      <c r="A2373" s="19">
        <v>42490</v>
      </c>
      <c r="B2373" s="20">
        <v>1.1805555555555555E-2</v>
      </c>
      <c r="C2373" t="str">
        <f t="shared" si="259"/>
        <v>16</v>
      </c>
      <c r="D2373" t="str">
        <f t="shared" si="260"/>
        <v>04</v>
      </c>
      <c r="E2373" t="str">
        <f t="shared" si="261"/>
        <v>30</v>
      </c>
      <c r="F2373">
        <f t="shared" si="262"/>
        <v>2016</v>
      </c>
      <c r="G2373">
        <f t="shared" si="263"/>
        <v>4</v>
      </c>
      <c r="H2373">
        <f t="shared" si="264"/>
        <v>30</v>
      </c>
      <c r="I2373" t="str">
        <f t="shared" si="265"/>
        <v>16</v>
      </c>
    </row>
    <row r="2374" spans="1:9" x14ac:dyDescent="0.25">
      <c r="A2374" s="19">
        <v>41379</v>
      </c>
      <c r="B2374" s="20">
        <v>8.1944444444444445E-2</v>
      </c>
      <c r="C2374" t="str">
        <f t="shared" si="259"/>
        <v>13</v>
      </c>
      <c r="D2374" t="str">
        <f t="shared" si="260"/>
        <v>04</v>
      </c>
      <c r="E2374" t="str">
        <f t="shared" si="261"/>
        <v>15</v>
      </c>
      <c r="F2374">
        <f t="shared" si="262"/>
        <v>2013</v>
      </c>
      <c r="G2374">
        <f t="shared" si="263"/>
        <v>4</v>
      </c>
      <c r="H2374">
        <f t="shared" si="264"/>
        <v>15</v>
      </c>
      <c r="I2374" t="str">
        <f t="shared" si="265"/>
        <v>13</v>
      </c>
    </row>
    <row r="2375" spans="1:9" x14ac:dyDescent="0.25">
      <c r="A2375" s="19">
        <v>41625</v>
      </c>
      <c r="B2375" s="20">
        <v>0.98055555555555551</v>
      </c>
      <c r="C2375" t="str">
        <f t="shared" si="259"/>
        <v>13</v>
      </c>
      <c r="D2375" t="str">
        <f t="shared" si="260"/>
        <v>12</v>
      </c>
      <c r="E2375" t="str">
        <f t="shared" si="261"/>
        <v>17</v>
      </c>
      <c r="F2375">
        <f t="shared" si="262"/>
        <v>2013</v>
      </c>
      <c r="G2375">
        <f t="shared" si="263"/>
        <v>12</v>
      </c>
      <c r="H2375">
        <f t="shared" si="264"/>
        <v>17</v>
      </c>
      <c r="I2375" t="str">
        <f t="shared" si="265"/>
        <v>13</v>
      </c>
    </row>
    <row r="2376" spans="1:9" x14ac:dyDescent="0.25">
      <c r="A2376" s="19">
        <v>41887</v>
      </c>
      <c r="B2376" s="20">
        <v>6.458333333333334E-2</v>
      </c>
      <c r="C2376" t="str">
        <f t="shared" si="259"/>
        <v>14</v>
      </c>
      <c r="D2376" t="str">
        <f t="shared" si="260"/>
        <v>09</v>
      </c>
      <c r="E2376" t="str">
        <f t="shared" si="261"/>
        <v>05</v>
      </c>
      <c r="F2376">
        <f t="shared" si="262"/>
        <v>2014</v>
      </c>
      <c r="G2376">
        <f t="shared" si="263"/>
        <v>9</v>
      </c>
      <c r="H2376">
        <f t="shared" si="264"/>
        <v>5</v>
      </c>
      <c r="I2376" t="str">
        <f t="shared" si="265"/>
        <v>14</v>
      </c>
    </row>
    <row r="2377" spans="1:9" x14ac:dyDescent="0.25">
      <c r="A2377" s="19">
        <v>41679</v>
      </c>
      <c r="B2377" s="20">
        <v>4.1666666666666664E-2</v>
      </c>
      <c r="C2377" t="str">
        <f t="shared" si="259"/>
        <v>14</v>
      </c>
      <c r="D2377" t="str">
        <f t="shared" si="260"/>
        <v>02</v>
      </c>
      <c r="E2377" t="str">
        <f t="shared" si="261"/>
        <v>09</v>
      </c>
      <c r="F2377">
        <f t="shared" si="262"/>
        <v>2014</v>
      </c>
      <c r="G2377">
        <f t="shared" si="263"/>
        <v>2</v>
      </c>
      <c r="H2377">
        <f t="shared" si="264"/>
        <v>9</v>
      </c>
      <c r="I2377" t="str">
        <f t="shared" si="265"/>
        <v>14</v>
      </c>
    </row>
    <row r="2378" spans="1:9" x14ac:dyDescent="0.25">
      <c r="A2378" s="19">
        <v>42545</v>
      </c>
      <c r="B2378" s="20">
        <v>1.3888888888888889E-3</v>
      </c>
      <c r="C2378" t="str">
        <f t="shared" si="259"/>
        <v>16</v>
      </c>
      <c r="D2378" t="str">
        <f t="shared" si="260"/>
        <v>06</v>
      </c>
      <c r="E2378" t="str">
        <f t="shared" si="261"/>
        <v>24</v>
      </c>
      <c r="F2378">
        <f t="shared" si="262"/>
        <v>2016</v>
      </c>
      <c r="G2378">
        <f t="shared" si="263"/>
        <v>6</v>
      </c>
      <c r="H2378">
        <f t="shared" si="264"/>
        <v>24</v>
      </c>
      <c r="I2378" t="str">
        <f t="shared" si="265"/>
        <v>16</v>
      </c>
    </row>
    <row r="2379" spans="1:9" x14ac:dyDescent="0.25">
      <c r="A2379" s="19">
        <v>41799</v>
      </c>
      <c r="B2379" s="20">
        <v>5.2777777777777778E-2</v>
      </c>
      <c r="C2379" t="str">
        <f t="shared" si="259"/>
        <v>14</v>
      </c>
      <c r="D2379" t="str">
        <f t="shared" si="260"/>
        <v>06</v>
      </c>
      <c r="E2379" t="str">
        <f t="shared" si="261"/>
        <v>09</v>
      </c>
      <c r="F2379">
        <f t="shared" si="262"/>
        <v>2014</v>
      </c>
      <c r="G2379">
        <f t="shared" si="263"/>
        <v>6</v>
      </c>
      <c r="H2379">
        <f t="shared" si="264"/>
        <v>9</v>
      </c>
      <c r="I2379" t="str">
        <f t="shared" si="265"/>
        <v>14</v>
      </c>
    </row>
    <row r="2380" spans="1:9" x14ac:dyDescent="0.25">
      <c r="A2380" s="19">
        <v>41634</v>
      </c>
      <c r="B2380" s="20">
        <v>4.7222222222222221E-2</v>
      </c>
      <c r="C2380" t="str">
        <f t="shared" si="259"/>
        <v>13</v>
      </c>
      <c r="D2380" t="str">
        <f t="shared" si="260"/>
        <v>12</v>
      </c>
      <c r="E2380" t="str">
        <f t="shared" si="261"/>
        <v>26</v>
      </c>
      <c r="F2380">
        <f t="shared" si="262"/>
        <v>2013</v>
      </c>
      <c r="G2380">
        <f t="shared" si="263"/>
        <v>12</v>
      </c>
      <c r="H2380">
        <f t="shared" si="264"/>
        <v>26</v>
      </c>
      <c r="I2380" t="str">
        <f t="shared" si="265"/>
        <v>13</v>
      </c>
    </row>
    <row r="2381" spans="1:9" x14ac:dyDescent="0.25">
      <c r="A2381" s="19">
        <v>41889</v>
      </c>
      <c r="B2381" s="20">
        <v>0.99097222222222225</v>
      </c>
      <c r="C2381" t="str">
        <f t="shared" si="259"/>
        <v>14</v>
      </c>
      <c r="D2381" t="str">
        <f t="shared" si="260"/>
        <v>09</v>
      </c>
      <c r="E2381" t="str">
        <f t="shared" si="261"/>
        <v>07</v>
      </c>
      <c r="F2381">
        <f t="shared" si="262"/>
        <v>2014</v>
      </c>
      <c r="G2381">
        <f t="shared" si="263"/>
        <v>9</v>
      </c>
      <c r="H2381">
        <f t="shared" si="264"/>
        <v>7</v>
      </c>
      <c r="I2381" t="str">
        <f t="shared" si="265"/>
        <v>14</v>
      </c>
    </row>
    <row r="2382" spans="1:9" x14ac:dyDescent="0.25">
      <c r="A2382" s="19">
        <v>42238</v>
      </c>
      <c r="B2382" s="20">
        <v>0.98819444444444449</v>
      </c>
      <c r="C2382" t="str">
        <f t="shared" si="259"/>
        <v>15</v>
      </c>
      <c r="D2382" t="str">
        <f t="shared" si="260"/>
        <v>08</v>
      </c>
      <c r="E2382" t="str">
        <f t="shared" si="261"/>
        <v>22</v>
      </c>
      <c r="F2382">
        <f t="shared" si="262"/>
        <v>2015</v>
      </c>
      <c r="G2382">
        <f t="shared" si="263"/>
        <v>8</v>
      </c>
      <c r="H2382">
        <f t="shared" si="264"/>
        <v>22</v>
      </c>
      <c r="I2382" t="str">
        <f t="shared" si="265"/>
        <v>15</v>
      </c>
    </row>
    <row r="2383" spans="1:9" x14ac:dyDescent="0.25">
      <c r="A2383" s="19">
        <v>41609</v>
      </c>
      <c r="B2383" s="20">
        <v>5.6250000000000001E-2</v>
      </c>
      <c r="C2383" t="str">
        <f t="shared" si="259"/>
        <v>13</v>
      </c>
      <c r="D2383" t="str">
        <f t="shared" si="260"/>
        <v>12</v>
      </c>
      <c r="E2383" t="str">
        <f t="shared" si="261"/>
        <v>01</v>
      </c>
      <c r="F2383">
        <f t="shared" si="262"/>
        <v>2013</v>
      </c>
      <c r="G2383">
        <f t="shared" si="263"/>
        <v>12</v>
      </c>
      <c r="H2383">
        <f t="shared" si="264"/>
        <v>1</v>
      </c>
      <c r="I2383" t="str">
        <f t="shared" si="265"/>
        <v>13</v>
      </c>
    </row>
    <row r="2384" spans="1:9" x14ac:dyDescent="0.25">
      <c r="A2384" s="19">
        <v>41065</v>
      </c>
      <c r="B2384" s="20">
        <v>4.027777777777778E-2</v>
      </c>
      <c r="C2384" t="str">
        <f t="shared" si="259"/>
        <v>12</v>
      </c>
      <c r="D2384" t="str">
        <f t="shared" si="260"/>
        <v>06</v>
      </c>
      <c r="E2384" t="str">
        <f t="shared" si="261"/>
        <v>05</v>
      </c>
      <c r="F2384">
        <f t="shared" si="262"/>
        <v>2012</v>
      </c>
      <c r="G2384">
        <f t="shared" si="263"/>
        <v>6</v>
      </c>
      <c r="H2384">
        <f t="shared" si="264"/>
        <v>5</v>
      </c>
      <c r="I2384" t="str">
        <f t="shared" si="265"/>
        <v>12</v>
      </c>
    </row>
    <row r="2385" spans="1:9" x14ac:dyDescent="0.25">
      <c r="A2385" s="19">
        <v>42809</v>
      </c>
      <c r="B2385" s="20">
        <v>0.99375000000000002</v>
      </c>
      <c r="C2385" t="str">
        <f t="shared" si="259"/>
        <v>17</v>
      </c>
      <c r="D2385" t="str">
        <f t="shared" si="260"/>
        <v>03</v>
      </c>
      <c r="E2385" t="str">
        <f t="shared" si="261"/>
        <v>15</v>
      </c>
      <c r="F2385">
        <f t="shared" si="262"/>
        <v>2017</v>
      </c>
      <c r="G2385">
        <f t="shared" si="263"/>
        <v>3</v>
      </c>
      <c r="H2385">
        <f t="shared" si="264"/>
        <v>15</v>
      </c>
      <c r="I2385" t="str">
        <f t="shared" si="265"/>
        <v>17</v>
      </c>
    </row>
    <row r="2386" spans="1:9" x14ac:dyDescent="0.25">
      <c r="A2386" s="19">
        <v>42193</v>
      </c>
      <c r="B2386" s="20">
        <v>0.99861111111111112</v>
      </c>
      <c r="C2386" t="str">
        <f t="shared" si="259"/>
        <v>15</v>
      </c>
      <c r="D2386" t="str">
        <f t="shared" si="260"/>
        <v>07</v>
      </c>
      <c r="E2386" t="str">
        <f t="shared" si="261"/>
        <v>08</v>
      </c>
      <c r="F2386">
        <f t="shared" si="262"/>
        <v>2015</v>
      </c>
      <c r="G2386">
        <f t="shared" si="263"/>
        <v>7</v>
      </c>
      <c r="H2386">
        <f t="shared" si="264"/>
        <v>8</v>
      </c>
      <c r="I2386" t="str">
        <f t="shared" si="265"/>
        <v>15</v>
      </c>
    </row>
    <row r="2387" spans="1:9" x14ac:dyDescent="0.25">
      <c r="A2387" s="19">
        <v>41664</v>
      </c>
      <c r="B2387" s="20">
        <v>6.1805555555555558E-2</v>
      </c>
      <c r="C2387" t="str">
        <f t="shared" si="259"/>
        <v>14</v>
      </c>
      <c r="D2387" t="str">
        <f t="shared" si="260"/>
        <v>01</v>
      </c>
      <c r="E2387" t="str">
        <f t="shared" si="261"/>
        <v>25</v>
      </c>
      <c r="F2387">
        <f t="shared" si="262"/>
        <v>2014</v>
      </c>
      <c r="G2387">
        <f t="shared" si="263"/>
        <v>1</v>
      </c>
      <c r="H2387">
        <f t="shared" si="264"/>
        <v>25</v>
      </c>
      <c r="I2387" t="str">
        <f t="shared" si="265"/>
        <v>14</v>
      </c>
    </row>
    <row r="2388" spans="1:9" x14ac:dyDescent="0.25">
      <c r="A2388" s="19">
        <v>41292</v>
      </c>
      <c r="B2388" s="20">
        <v>0.99861111111111112</v>
      </c>
      <c r="C2388" t="str">
        <f t="shared" si="259"/>
        <v>13</v>
      </c>
      <c r="D2388" t="str">
        <f t="shared" si="260"/>
        <v>01</v>
      </c>
      <c r="E2388" t="str">
        <f t="shared" si="261"/>
        <v>18</v>
      </c>
      <c r="F2388">
        <f t="shared" si="262"/>
        <v>2013</v>
      </c>
      <c r="G2388">
        <f t="shared" si="263"/>
        <v>1</v>
      </c>
      <c r="H2388">
        <f t="shared" si="264"/>
        <v>18</v>
      </c>
      <c r="I2388" t="str">
        <f t="shared" si="265"/>
        <v>13</v>
      </c>
    </row>
    <row r="2389" spans="1:9" x14ac:dyDescent="0.25">
      <c r="A2389" s="19">
        <v>41567</v>
      </c>
      <c r="B2389" s="20">
        <v>4.5138888888888888E-2</v>
      </c>
      <c r="C2389" t="str">
        <f t="shared" si="259"/>
        <v>13</v>
      </c>
      <c r="D2389" t="str">
        <f t="shared" si="260"/>
        <v>10</v>
      </c>
      <c r="E2389" t="str">
        <f t="shared" si="261"/>
        <v>20</v>
      </c>
      <c r="F2389">
        <f t="shared" si="262"/>
        <v>2013</v>
      </c>
      <c r="G2389">
        <f t="shared" si="263"/>
        <v>10</v>
      </c>
      <c r="H2389">
        <f t="shared" si="264"/>
        <v>20</v>
      </c>
      <c r="I2389" t="str">
        <f t="shared" si="265"/>
        <v>13</v>
      </c>
    </row>
    <row r="2390" spans="1:9" x14ac:dyDescent="0.25">
      <c r="A2390" s="19">
        <v>41942</v>
      </c>
      <c r="B2390" s="20">
        <v>0.93888888888888888</v>
      </c>
      <c r="C2390" t="str">
        <f t="shared" si="259"/>
        <v>14</v>
      </c>
      <c r="D2390" t="str">
        <f t="shared" si="260"/>
        <v>10</v>
      </c>
      <c r="E2390" t="str">
        <f t="shared" si="261"/>
        <v>30</v>
      </c>
      <c r="F2390">
        <f t="shared" si="262"/>
        <v>2014</v>
      </c>
      <c r="G2390">
        <f t="shared" si="263"/>
        <v>10</v>
      </c>
      <c r="H2390">
        <f t="shared" si="264"/>
        <v>30</v>
      </c>
      <c r="I2390" t="str">
        <f t="shared" si="265"/>
        <v>14</v>
      </c>
    </row>
    <row r="2391" spans="1:9" x14ac:dyDescent="0.25">
      <c r="A2391" s="19">
        <v>41438</v>
      </c>
      <c r="B2391" s="20">
        <v>3.7499999999999999E-2</v>
      </c>
      <c r="C2391" t="str">
        <f t="shared" si="259"/>
        <v>13</v>
      </c>
      <c r="D2391" t="str">
        <f t="shared" si="260"/>
        <v>06</v>
      </c>
      <c r="E2391" t="str">
        <f t="shared" si="261"/>
        <v>13</v>
      </c>
      <c r="F2391">
        <f t="shared" si="262"/>
        <v>2013</v>
      </c>
      <c r="G2391">
        <f t="shared" si="263"/>
        <v>6</v>
      </c>
      <c r="H2391">
        <f t="shared" si="264"/>
        <v>13</v>
      </c>
      <c r="I2391" t="str">
        <f t="shared" si="265"/>
        <v>13</v>
      </c>
    </row>
    <row r="2392" spans="1:9" x14ac:dyDescent="0.25">
      <c r="A2392" s="19">
        <v>42832</v>
      </c>
      <c r="B2392" s="20">
        <v>0.95833333333333337</v>
      </c>
      <c r="C2392" t="str">
        <f t="shared" si="259"/>
        <v>17</v>
      </c>
      <c r="D2392" t="str">
        <f t="shared" si="260"/>
        <v>04</v>
      </c>
      <c r="E2392" t="str">
        <f t="shared" si="261"/>
        <v>07</v>
      </c>
      <c r="F2392">
        <f t="shared" si="262"/>
        <v>2017</v>
      </c>
      <c r="G2392">
        <f t="shared" si="263"/>
        <v>4</v>
      </c>
      <c r="H2392">
        <f t="shared" si="264"/>
        <v>7</v>
      </c>
      <c r="I2392" t="str">
        <f t="shared" si="265"/>
        <v>17</v>
      </c>
    </row>
    <row r="2393" spans="1:9" x14ac:dyDescent="0.25">
      <c r="A2393" s="19">
        <v>42234</v>
      </c>
      <c r="B2393" s="20">
        <v>2.7777777777777779E-3</v>
      </c>
      <c r="C2393" t="str">
        <f t="shared" si="259"/>
        <v>15</v>
      </c>
      <c r="D2393" t="str">
        <f t="shared" si="260"/>
        <v>08</v>
      </c>
      <c r="E2393" t="str">
        <f t="shared" si="261"/>
        <v>18</v>
      </c>
      <c r="F2393">
        <f t="shared" si="262"/>
        <v>2015</v>
      </c>
      <c r="G2393">
        <f t="shared" si="263"/>
        <v>8</v>
      </c>
      <c r="H2393">
        <f t="shared" si="264"/>
        <v>18</v>
      </c>
      <c r="I2393" t="str">
        <f t="shared" si="265"/>
        <v>15</v>
      </c>
    </row>
    <row r="2394" spans="1:9" x14ac:dyDescent="0.25">
      <c r="A2394" s="19">
        <v>41681</v>
      </c>
      <c r="B2394" s="20">
        <v>0.98750000000000004</v>
      </c>
      <c r="C2394" t="str">
        <f t="shared" si="259"/>
        <v>14</v>
      </c>
      <c r="D2394" t="str">
        <f t="shared" si="260"/>
        <v>02</v>
      </c>
      <c r="E2394" t="str">
        <f t="shared" si="261"/>
        <v>11</v>
      </c>
      <c r="F2394">
        <f t="shared" si="262"/>
        <v>2014</v>
      </c>
      <c r="G2394">
        <f t="shared" si="263"/>
        <v>2</v>
      </c>
      <c r="H2394">
        <f t="shared" si="264"/>
        <v>11</v>
      </c>
      <c r="I2394" t="str">
        <f t="shared" si="265"/>
        <v>14</v>
      </c>
    </row>
    <row r="2395" spans="1:9" x14ac:dyDescent="0.25">
      <c r="A2395" s="19">
        <v>41560</v>
      </c>
      <c r="B2395" s="20">
        <v>0.98402777777777772</v>
      </c>
      <c r="C2395" t="str">
        <f t="shared" si="259"/>
        <v>13</v>
      </c>
      <c r="D2395" t="str">
        <f t="shared" si="260"/>
        <v>10</v>
      </c>
      <c r="E2395" t="str">
        <f t="shared" si="261"/>
        <v>13</v>
      </c>
      <c r="F2395">
        <f t="shared" si="262"/>
        <v>2013</v>
      </c>
      <c r="G2395">
        <f t="shared" si="263"/>
        <v>10</v>
      </c>
      <c r="H2395">
        <f t="shared" si="264"/>
        <v>13</v>
      </c>
      <c r="I2395" t="str">
        <f t="shared" si="265"/>
        <v>13</v>
      </c>
    </row>
    <row r="2396" spans="1:9" x14ac:dyDescent="0.25">
      <c r="A2396" s="19">
        <v>41765</v>
      </c>
      <c r="B2396" s="20">
        <v>9.7222222222222224E-3</v>
      </c>
      <c r="C2396" t="str">
        <f t="shared" si="259"/>
        <v>14</v>
      </c>
      <c r="D2396" t="str">
        <f t="shared" si="260"/>
        <v>05</v>
      </c>
      <c r="E2396" t="str">
        <f t="shared" si="261"/>
        <v>06</v>
      </c>
      <c r="F2396">
        <f t="shared" si="262"/>
        <v>2014</v>
      </c>
      <c r="G2396">
        <f t="shared" si="263"/>
        <v>5</v>
      </c>
      <c r="H2396">
        <f t="shared" si="264"/>
        <v>6</v>
      </c>
      <c r="I2396" t="str">
        <f t="shared" si="265"/>
        <v>14</v>
      </c>
    </row>
    <row r="2397" spans="1:9" x14ac:dyDescent="0.25">
      <c r="A2397" s="19">
        <v>42383</v>
      </c>
      <c r="B2397" s="20">
        <v>0.99375000000000002</v>
      </c>
      <c r="C2397" t="str">
        <f t="shared" si="259"/>
        <v>16</v>
      </c>
      <c r="D2397" t="str">
        <f t="shared" si="260"/>
        <v>01</v>
      </c>
      <c r="E2397" t="str">
        <f t="shared" si="261"/>
        <v>14</v>
      </c>
      <c r="F2397">
        <f t="shared" si="262"/>
        <v>2016</v>
      </c>
      <c r="G2397">
        <f t="shared" si="263"/>
        <v>1</v>
      </c>
      <c r="H2397">
        <f t="shared" si="264"/>
        <v>14</v>
      </c>
      <c r="I2397" t="str">
        <f t="shared" si="265"/>
        <v>16</v>
      </c>
    </row>
    <row r="2398" spans="1:9" x14ac:dyDescent="0.25">
      <c r="A2398" s="19">
        <v>41110</v>
      </c>
      <c r="B2398" s="20">
        <v>8.1944444444444445E-2</v>
      </c>
      <c r="C2398" t="str">
        <f t="shared" si="259"/>
        <v>12</v>
      </c>
      <c r="D2398" t="str">
        <f t="shared" si="260"/>
        <v>07</v>
      </c>
      <c r="E2398" t="str">
        <f t="shared" si="261"/>
        <v>20</v>
      </c>
      <c r="F2398">
        <f t="shared" si="262"/>
        <v>2012</v>
      </c>
      <c r="G2398">
        <f t="shared" si="263"/>
        <v>7</v>
      </c>
      <c r="H2398">
        <f t="shared" si="264"/>
        <v>20</v>
      </c>
      <c r="I2398" t="str">
        <f t="shared" si="265"/>
        <v>12</v>
      </c>
    </row>
    <row r="2399" spans="1:9" x14ac:dyDescent="0.25">
      <c r="A2399" s="19">
        <v>41881</v>
      </c>
      <c r="B2399" s="20">
        <v>7.8472222222222221E-2</v>
      </c>
      <c r="C2399" t="str">
        <f t="shared" si="259"/>
        <v>14</v>
      </c>
      <c r="D2399" t="str">
        <f t="shared" si="260"/>
        <v>08</v>
      </c>
      <c r="E2399" t="str">
        <f t="shared" si="261"/>
        <v>30</v>
      </c>
      <c r="F2399">
        <f t="shared" si="262"/>
        <v>2014</v>
      </c>
      <c r="G2399">
        <f t="shared" si="263"/>
        <v>8</v>
      </c>
      <c r="H2399">
        <f t="shared" si="264"/>
        <v>30</v>
      </c>
      <c r="I2399" t="str">
        <f t="shared" si="265"/>
        <v>14</v>
      </c>
    </row>
    <row r="2400" spans="1:9" x14ac:dyDescent="0.25">
      <c r="A2400" s="19">
        <v>41426</v>
      </c>
      <c r="B2400" s="20">
        <v>8.3333333333333332E-3</v>
      </c>
      <c r="C2400" t="str">
        <f t="shared" si="259"/>
        <v>13</v>
      </c>
      <c r="D2400" t="str">
        <f t="shared" si="260"/>
        <v>06</v>
      </c>
      <c r="E2400" t="str">
        <f t="shared" si="261"/>
        <v>01</v>
      </c>
      <c r="F2400">
        <f t="shared" si="262"/>
        <v>2013</v>
      </c>
      <c r="G2400">
        <f t="shared" si="263"/>
        <v>6</v>
      </c>
      <c r="H2400">
        <f t="shared" si="264"/>
        <v>1</v>
      </c>
      <c r="I2400" t="str">
        <f t="shared" si="265"/>
        <v>13</v>
      </c>
    </row>
    <row r="2401" spans="1:9" x14ac:dyDescent="0.25">
      <c r="A2401" s="19">
        <v>42202</v>
      </c>
      <c r="B2401" s="20">
        <v>0.99444444444444446</v>
      </c>
      <c r="C2401" t="str">
        <f t="shared" si="259"/>
        <v>15</v>
      </c>
      <c r="D2401" t="str">
        <f t="shared" si="260"/>
        <v>07</v>
      </c>
      <c r="E2401" t="str">
        <f t="shared" si="261"/>
        <v>17</v>
      </c>
      <c r="F2401">
        <f t="shared" si="262"/>
        <v>2015</v>
      </c>
      <c r="G2401">
        <f t="shared" si="263"/>
        <v>7</v>
      </c>
      <c r="H2401">
        <f t="shared" si="264"/>
        <v>17</v>
      </c>
      <c r="I2401" t="str">
        <f t="shared" si="265"/>
        <v>15</v>
      </c>
    </row>
    <row r="2402" spans="1:9" x14ac:dyDescent="0.25">
      <c r="A2402" s="19">
        <v>42363</v>
      </c>
      <c r="B2402" s="20">
        <v>0.97777777777777775</v>
      </c>
      <c r="C2402" t="str">
        <f t="shared" si="259"/>
        <v>15</v>
      </c>
      <c r="D2402" t="str">
        <f t="shared" si="260"/>
        <v>12</v>
      </c>
      <c r="E2402" t="str">
        <f t="shared" si="261"/>
        <v>25</v>
      </c>
      <c r="F2402">
        <f t="shared" si="262"/>
        <v>2015</v>
      </c>
      <c r="G2402">
        <f t="shared" si="263"/>
        <v>12</v>
      </c>
      <c r="H2402">
        <f t="shared" si="264"/>
        <v>25</v>
      </c>
      <c r="I2402" t="str">
        <f t="shared" si="265"/>
        <v>15</v>
      </c>
    </row>
    <row r="2403" spans="1:9" x14ac:dyDescent="0.25">
      <c r="A2403" s="19">
        <v>41648</v>
      </c>
      <c r="B2403" s="20">
        <v>6.6666666666666666E-2</v>
      </c>
      <c r="C2403" t="str">
        <f t="shared" si="259"/>
        <v>14</v>
      </c>
      <c r="D2403" t="str">
        <f t="shared" si="260"/>
        <v>01</v>
      </c>
      <c r="E2403" t="str">
        <f t="shared" si="261"/>
        <v>09</v>
      </c>
      <c r="F2403">
        <f t="shared" si="262"/>
        <v>2014</v>
      </c>
      <c r="G2403">
        <f t="shared" si="263"/>
        <v>1</v>
      </c>
      <c r="H2403">
        <f t="shared" si="264"/>
        <v>9</v>
      </c>
      <c r="I2403" t="str">
        <f t="shared" si="265"/>
        <v>14</v>
      </c>
    </row>
    <row r="2404" spans="1:9" x14ac:dyDescent="0.25">
      <c r="A2404" s="19">
        <v>41887</v>
      </c>
      <c r="B2404" s="20">
        <v>3.7499999999999999E-2</v>
      </c>
      <c r="C2404" t="str">
        <f t="shared" si="259"/>
        <v>14</v>
      </c>
      <c r="D2404" t="str">
        <f t="shared" si="260"/>
        <v>09</v>
      </c>
      <c r="E2404" t="str">
        <f t="shared" si="261"/>
        <v>05</v>
      </c>
      <c r="F2404">
        <f t="shared" si="262"/>
        <v>2014</v>
      </c>
      <c r="G2404">
        <f t="shared" si="263"/>
        <v>9</v>
      </c>
      <c r="H2404">
        <f t="shared" si="264"/>
        <v>5</v>
      </c>
      <c r="I2404" t="str">
        <f t="shared" si="265"/>
        <v>14</v>
      </c>
    </row>
    <row r="2405" spans="1:9" x14ac:dyDescent="0.25">
      <c r="A2405" s="19">
        <v>41879</v>
      </c>
      <c r="B2405" s="20">
        <v>5.486111111111111E-2</v>
      </c>
      <c r="C2405" t="str">
        <f t="shared" si="259"/>
        <v>14</v>
      </c>
      <c r="D2405" t="str">
        <f t="shared" si="260"/>
        <v>08</v>
      </c>
      <c r="E2405" t="str">
        <f t="shared" si="261"/>
        <v>28</v>
      </c>
      <c r="F2405">
        <f t="shared" si="262"/>
        <v>2014</v>
      </c>
      <c r="G2405">
        <f t="shared" si="263"/>
        <v>8</v>
      </c>
      <c r="H2405">
        <f t="shared" si="264"/>
        <v>28</v>
      </c>
      <c r="I2405" t="str">
        <f t="shared" si="265"/>
        <v>14</v>
      </c>
    </row>
    <row r="2406" spans="1:9" x14ac:dyDescent="0.25">
      <c r="A2406" s="19">
        <v>41517</v>
      </c>
      <c r="B2406" s="20">
        <v>0.99791666666666667</v>
      </c>
      <c r="C2406" t="str">
        <f t="shared" si="259"/>
        <v>13</v>
      </c>
      <c r="D2406" t="str">
        <f t="shared" si="260"/>
        <v>08</v>
      </c>
      <c r="E2406" t="str">
        <f t="shared" si="261"/>
        <v>31</v>
      </c>
      <c r="F2406">
        <f t="shared" si="262"/>
        <v>2013</v>
      </c>
      <c r="G2406">
        <f t="shared" si="263"/>
        <v>8</v>
      </c>
      <c r="H2406">
        <f t="shared" si="264"/>
        <v>31</v>
      </c>
      <c r="I2406" t="str">
        <f t="shared" si="265"/>
        <v>13</v>
      </c>
    </row>
    <row r="2407" spans="1:9" x14ac:dyDescent="0.25">
      <c r="A2407" s="19">
        <v>41080</v>
      </c>
      <c r="B2407" s="20">
        <v>1.5972222222222221E-2</v>
      </c>
      <c r="C2407" t="str">
        <f t="shared" si="259"/>
        <v>12</v>
      </c>
      <c r="D2407" t="str">
        <f t="shared" si="260"/>
        <v>06</v>
      </c>
      <c r="E2407" t="str">
        <f t="shared" si="261"/>
        <v>20</v>
      </c>
      <c r="F2407">
        <f t="shared" si="262"/>
        <v>2012</v>
      </c>
      <c r="G2407">
        <f t="shared" si="263"/>
        <v>6</v>
      </c>
      <c r="H2407">
        <f t="shared" si="264"/>
        <v>20</v>
      </c>
      <c r="I2407" t="str">
        <f t="shared" si="265"/>
        <v>12</v>
      </c>
    </row>
    <row r="2408" spans="1:9" x14ac:dyDescent="0.25">
      <c r="A2408" s="19">
        <v>42105</v>
      </c>
      <c r="B2408" s="20">
        <v>3.1944444444444442E-2</v>
      </c>
      <c r="C2408" t="str">
        <f t="shared" si="259"/>
        <v>15</v>
      </c>
      <c r="D2408" t="str">
        <f t="shared" si="260"/>
        <v>04</v>
      </c>
      <c r="E2408" t="str">
        <f t="shared" si="261"/>
        <v>11</v>
      </c>
      <c r="F2408">
        <f t="shared" si="262"/>
        <v>2015</v>
      </c>
      <c r="G2408">
        <f t="shared" si="263"/>
        <v>4</v>
      </c>
      <c r="H2408">
        <f t="shared" si="264"/>
        <v>11</v>
      </c>
      <c r="I2408" t="str">
        <f t="shared" si="265"/>
        <v>15</v>
      </c>
    </row>
    <row r="2409" spans="1:9" x14ac:dyDescent="0.25">
      <c r="A2409" s="19">
        <v>41343</v>
      </c>
      <c r="B2409" s="20">
        <v>4.4444444444444446E-2</v>
      </c>
      <c r="C2409" t="str">
        <f t="shared" si="259"/>
        <v>13</v>
      </c>
      <c r="D2409" t="str">
        <f t="shared" si="260"/>
        <v>03</v>
      </c>
      <c r="E2409" t="str">
        <f t="shared" si="261"/>
        <v>10</v>
      </c>
      <c r="F2409">
        <f t="shared" si="262"/>
        <v>2013</v>
      </c>
      <c r="G2409">
        <f t="shared" si="263"/>
        <v>3</v>
      </c>
      <c r="H2409">
        <f t="shared" si="264"/>
        <v>10</v>
      </c>
      <c r="I2409" t="str">
        <f t="shared" si="265"/>
        <v>13</v>
      </c>
    </row>
    <row r="2410" spans="1:9" x14ac:dyDescent="0.25">
      <c r="A2410" s="19">
        <v>41975</v>
      </c>
      <c r="B2410" s="20">
        <v>0.99583333333333335</v>
      </c>
      <c r="C2410" t="str">
        <f t="shared" si="259"/>
        <v>14</v>
      </c>
      <c r="D2410" t="str">
        <f t="shared" si="260"/>
        <v>12</v>
      </c>
      <c r="E2410" t="str">
        <f t="shared" si="261"/>
        <v>02</v>
      </c>
      <c r="F2410">
        <f t="shared" si="262"/>
        <v>2014</v>
      </c>
      <c r="G2410">
        <f t="shared" si="263"/>
        <v>12</v>
      </c>
      <c r="H2410">
        <f t="shared" si="264"/>
        <v>2</v>
      </c>
      <c r="I2410" t="str">
        <f t="shared" si="265"/>
        <v>14</v>
      </c>
    </row>
    <row r="2411" spans="1:9" x14ac:dyDescent="0.25">
      <c r="A2411" s="19">
        <v>42180</v>
      </c>
      <c r="B2411" s="20">
        <v>7.9166666666666663E-2</v>
      </c>
      <c r="C2411" t="str">
        <f t="shared" si="259"/>
        <v>15</v>
      </c>
      <c r="D2411" t="str">
        <f t="shared" si="260"/>
        <v>06</v>
      </c>
      <c r="E2411" t="str">
        <f t="shared" si="261"/>
        <v>25</v>
      </c>
      <c r="F2411">
        <f t="shared" si="262"/>
        <v>2015</v>
      </c>
      <c r="G2411">
        <f t="shared" si="263"/>
        <v>6</v>
      </c>
      <c r="H2411">
        <f t="shared" si="264"/>
        <v>25</v>
      </c>
      <c r="I2411" t="str">
        <f t="shared" si="265"/>
        <v>15</v>
      </c>
    </row>
    <row r="2412" spans="1:9" x14ac:dyDescent="0.25">
      <c r="A2412" s="19">
        <v>41917</v>
      </c>
      <c r="B2412" s="20">
        <v>3.472222222222222E-3</v>
      </c>
      <c r="C2412" t="str">
        <f t="shared" si="259"/>
        <v>14</v>
      </c>
      <c r="D2412" t="str">
        <f t="shared" si="260"/>
        <v>10</v>
      </c>
      <c r="E2412" t="str">
        <f t="shared" si="261"/>
        <v>05</v>
      </c>
      <c r="F2412">
        <f t="shared" si="262"/>
        <v>2014</v>
      </c>
      <c r="G2412">
        <f t="shared" si="263"/>
        <v>10</v>
      </c>
      <c r="H2412">
        <f t="shared" si="264"/>
        <v>5</v>
      </c>
      <c r="I2412" t="str">
        <f t="shared" si="265"/>
        <v>14</v>
      </c>
    </row>
    <row r="2413" spans="1:9" x14ac:dyDescent="0.25">
      <c r="A2413" s="19">
        <v>42287</v>
      </c>
      <c r="B2413" s="20">
        <v>0.9770833333333333</v>
      </c>
      <c r="C2413" t="str">
        <f t="shared" si="259"/>
        <v>15</v>
      </c>
      <c r="D2413" t="str">
        <f t="shared" si="260"/>
        <v>10</v>
      </c>
      <c r="E2413" t="str">
        <f t="shared" si="261"/>
        <v>10</v>
      </c>
      <c r="F2413">
        <f t="shared" si="262"/>
        <v>2015</v>
      </c>
      <c r="G2413">
        <f t="shared" si="263"/>
        <v>10</v>
      </c>
      <c r="H2413">
        <f t="shared" si="264"/>
        <v>10</v>
      </c>
      <c r="I2413" t="str">
        <f t="shared" si="265"/>
        <v>15</v>
      </c>
    </row>
    <row r="2414" spans="1:9" x14ac:dyDescent="0.25">
      <c r="A2414" s="19">
        <v>42928</v>
      </c>
      <c r="B2414" s="20">
        <v>7.6388888888888886E-3</v>
      </c>
      <c r="C2414" t="str">
        <f t="shared" si="259"/>
        <v>17</v>
      </c>
      <c r="D2414" t="str">
        <f t="shared" si="260"/>
        <v>07</v>
      </c>
      <c r="E2414" t="str">
        <f t="shared" si="261"/>
        <v>12</v>
      </c>
      <c r="F2414">
        <f t="shared" si="262"/>
        <v>2017</v>
      </c>
      <c r="G2414">
        <f t="shared" si="263"/>
        <v>7</v>
      </c>
      <c r="H2414">
        <f t="shared" si="264"/>
        <v>12</v>
      </c>
      <c r="I2414" t="str">
        <f t="shared" si="265"/>
        <v>17</v>
      </c>
    </row>
    <row r="2415" spans="1:9" x14ac:dyDescent="0.25">
      <c r="A2415" s="19">
        <v>41741</v>
      </c>
      <c r="B2415" s="20">
        <v>3.3333333333333333E-2</v>
      </c>
      <c r="C2415" t="str">
        <f t="shared" si="259"/>
        <v>14</v>
      </c>
      <c r="D2415" t="str">
        <f t="shared" si="260"/>
        <v>04</v>
      </c>
      <c r="E2415" t="str">
        <f t="shared" si="261"/>
        <v>12</v>
      </c>
      <c r="F2415">
        <f t="shared" si="262"/>
        <v>2014</v>
      </c>
      <c r="G2415">
        <f t="shared" si="263"/>
        <v>4</v>
      </c>
      <c r="H2415">
        <f t="shared" si="264"/>
        <v>12</v>
      </c>
      <c r="I2415" t="str">
        <f t="shared" si="265"/>
        <v>14</v>
      </c>
    </row>
    <row r="2416" spans="1:9" x14ac:dyDescent="0.25">
      <c r="A2416" s="19">
        <v>42250</v>
      </c>
      <c r="B2416" s="20">
        <v>0.96458333333333335</v>
      </c>
      <c r="C2416" t="str">
        <f t="shared" si="259"/>
        <v>15</v>
      </c>
      <c r="D2416" t="str">
        <f t="shared" si="260"/>
        <v>09</v>
      </c>
      <c r="E2416" t="str">
        <f t="shared" si="261"/>
        <v>03</v>
      </c>
      <c r="F2416">
        <f t="shared" si="262"/>
        <v>2015</v>
      </c>
      <c r="G2416">
        <f t="shared" si="263"/>
        <v>9</v>
      </c>
      <c r="H2416">
        <f t="shared" si="264"/>
        <v>3</v>
      </c>
      <c r="I2416" t="str">
        <f t="shared" si="265"/>
        <v>15</v>
      </c>
    </row>
    <row r="2417" spans="1:9" x14ac:dyDescent="0.25">
      <c r="A2417" s="19">
        <v>41270</v>
      </c>
      <c r="B2417" s="20">
        <v>0.99444444444444446</v>
      </c>
      <c r="C2417" t="str">
        <f t="shared" si="259"/>
        <v>12</v>
      </c>
      <c r="D2417" t="str">
        <f t="shared" si="260"/>
        <v>12</v>
      </c>
      <c r="E2417" t="str">
        <f t="shared" si="261"/>
        <v>27</v>
      </c>
      <c r="F2417">
        <f t="shared" si="262"/>
        <v>2012</v>
      </c>
      <c r="G2417">
        <f t="shared" si="263"/>
        <v>12</v>
      </c>
      <c r="H2417">
        <f t="shared" si="264"/>
        <v>27</v>
      </c>
      <c r="I2417" t="str">
        <f t="shared" si="265"/>
        <v>12</v>
      </c>
    </row>
    <row r="2418" spans="1:9" x14ac:dyDescent="0.25">
      <c r="A2418" s="19">
        <v>41973</v>
      </c>
      <c r="B2418" s="20">
        <v>0.94930555555555551</v>
      </c>
      <c r="C2418" t="str">
        <f t="shared" si="259"/>
        <v>14</v>
      </c>
      <c r="D2418" t="str">
        <f t="shared" si="260"/>
        <v>11</v>
      </c>
      <c r="E2418" t="str">
        <f t="shared" si="261"/>
        <v>30</v>
      </c>
      <c r="F2418">
        <f t="shared" si="262"/>
        <v>2014</v>
      </c>
      <c r="G2418">
        <f t="shared" si="263"/>
        <v>11</v>
      </c>
      <c r="H2418">
        <f t="shared" si="264"/>
        <v>30</v>
      </c>
      <c r="I2418" t="str">
        <f t="shared" si="265"/>
        <v>14</v>
      </c>
    </row>
    <row r="2419" spans="1:9" x14ac:dyDescent="0.25">
      <c r="A2419" s="19">
        <v>42800</v>
      </c>
      <c r="B2419" s="20">
        <v>6.3888888888888884E-2</v>
      </c>
      <c r="C2419" t="str">
        <f t="shared" si="259"/>
        <v>17</v>
      </c>
      <c r="D2419" t="str">
        <f t="shared" si="260"/>
        <v>03</v>
      </c>
      <c r="E2419" t="str">
        <f t="shared" si="261"/>
        <v>06</v>
      </c>
      <c r="F2419">
        <f t="shared" si="262"/>
        <v>2017</v>
      </c>
      <c r="G2419">
        <f t="shared" si="263"/>
        <v>3</v>
      </c>
      <c r="H2419">
        <f t="shared" si="264"/>
        <v>6</v>
      </c>
      <c r="I2419" t="str">
        <f t="shared" si="265"/>
        <v>17</v>
      </c>
    </row>
    <row r="2420" spans="1:9" x14ac:dyDescent="0.25">
      <c r="A2420" s="19">
        <v>42489</v>
      </c>
      <c r="B2420" s="20">
        <v>0.95833333333333337</v>
      </c>
      <c r="C2420" t="str">
        <f t="shared" si="259"/>
        <v>16</v>
      </c>
      <c r="D2420" t="str">
        <f t="shared" si="260"/>
        <v>04</v>
      </c>
      <c r="E2420" t="str">
        <f t="shared" si="261"/>
        <v>29</v>
      </c>
      <c r="F2420">
        <f t="shared" si="262"/>
        <v>2016</v>
      </c>
      <c r="G2420">
        <f t="shared" si="263"/>
        <v>4</v>
      </c>
      <c r="H2420">
        <f t="shared" si="264"/>
        <v>29</v>
      </c>
      <c r="I2420" t="str">
        <f t="shared" si="265"/>
        <v>16</v>
      </c>
    </row>
    <row r="2421" spans="1:9" x14ac:dyDescent="0.25">
      <c r="A2421" s="19">
        <v>41759</v>
      </c>
      <c r="B2421" s="20">
        <v>5.9722222222222225E-2</v>
      </c>
      <c r="C2421" t="str">
        <f t="shared" si="259"/>
        <v>14</v>
      </c>
      <c r="D2421" t="str">
        <f t="shared" si="260"/>
        <v>04</v>
      </c>
      <c r="E2421" t="str">
        <f t="shared" si="261"/>
        <v>30</v>
      </c>
      <c r="F2421">
        <f t="shared" si="262"/>
        <v>2014</v>
      </c>
      <c r="G2421">
        <f t="shared" si="263"/>
        <v>4</v>
      </c>
      <c r="H2421">
        <f t="shared" si="264"/>
        <v>30</v>
      </c>
      <c r="I2421" t="str">
        <f t="shared" si="265"/>
        <v>14</v>
      </c>
    </row>
    <row r="2422" spans="1:9" x14ac:dyDescent="0.25">
      <c r="A2422" s="19">
        <v>41673</v>
      </c>
      <c r="B2422" s="20">
        <v>0.99583333333333335</v>
      </c>
      <c r="C2422" t="str">
        <f t="shared" si="259"/>
        <v>14</v>
      </c>
      <c r="D2422" t="str">
        <f t="shared" si="260"/>
        <v>02</v>
      </c>
      <c r="E2422" t="str">
        <f t="shared" si="261"/>
        <v>03</v>
      </c>
      <c r="F2422">
        <f t="shared" si="262"/>
        <v>2014</v>
      </c>
      <c r="G2422">
        <f t="shared" si="263"/>
        <v>2</v>
      </c>
      <c r="H2422">
        <f t="shared" si="264"/>
        <v>3</v>
      </c>
      <c r="I2422" t="str">
        <f t="shared" si="265"/>
        <v>14</v>
      </c>
    </row>
    <row r="2423" spans="1:9" x14ac:dyDescent="0.25">
      <c r="A2423" s="19">
        <v>42054</v>
      </c>
      <c r="B2423" s="20">
        <v>0.95972222222222225</v>
      </c>
      <c r="C2423" t="str">
        <f t="shared" si="259"/>
        <v>15</v>
      </c>
      <c r="D2423" t="str">
        <f t="shared" si="260"/>
        <v>02</v>
      </c>
      <c r="E2423" t="str">
        <f t="shared" si="261"/>
        <v>19</v>
      </c>
      <c r="F2423">
        <f t="shared" si="262"/>
        <v>2015</v>
      </c>
      <c r="G2423">
        <f t="shared" si="263"/>
        <v>2</v>
      </c>
      <c r="H2423">
        <f t="shared" si="264"/>
        <v>19</v>
      </c>
      <c r="I2423" t="str">
        <f t="shared" si="265"/>
        <v>15</v>
      </c>
    </row>
    <row r="2424" spans="1:9" x14ac:dyDescent="0.25">
      <c r="A2424" s="19">
        <v>42130</v>
      </c>
      <c r="B2424" s="20">
        <v>3.0555555555555555E-2</v>
      </c>
      <c r="C2424" t="str">
        <f t="shared" si="259"/>
        <v>15</v>
      </c>
      <c r="D2424" t="str">
        <f t="shared" si="260"/>
        <v>05</v>
      </c>
      <c r="E2424" t="str">
        <f t="shared" si="261"/>
        <v>06</v>
      </c>
      <c r="F2424">
        <f t="shared" si="262"/>
        <v>2015</v>
      </c>
      <c r="G2424">
        <f t="shared" si="263"/>
        <v>5</v>
      </c>
      <c r="H2424">
        <f t="shared" si="264"/>
        <v>6</v>
      </c>
      <c r="I2424" t="str">
        <f t="shared" si="265"/>
        <v>15</v>
      </c>
    </row>
    <row r="2425" spans="1:9" x14ac:dyDescent="0.25">
      <c r="A2425" s="19">
        <v>41575</v>
      </c>
      <c r="B2425" s="20">
        <v>1.1805555555555555E-2</v>
      </c>
      <c r="C2425" t="str">
        <f t="shared" si="259"/>
        <v>13</v>
      </c>
      <c r="D2425" t="str">
        <f t="shared" si="260"/>
        <v>10</v>
      </c>
      <c r="E2425" t="str">
        <f t="shared" si="261"/>
        <v>28</v>
      </c>
      <c r="F2425">
        <f t="shared" si="262"/>
        <v>2013</v>
      </c>
      <c r="G2425">
        <f t="shared" si="263"/>
        <v>10</v>
      </c>
      <c r="H2425">
        <f t="shared" si="264"/>
        <v>28</v>
      </c>
      <c r="I2425" t="str">
        <f t="shared" si="265"/>
        <v>13</v>
      </c>
    </row>
    <row r="2426" spans="1:9" x14ac:dyDescent="0.25">
      <c r="A2426" s="19">
        <v>41471</v>
      </c>
      <c r="B2426" s="20">
        <v>1.3888888888888888E-2</v>
      </c>
      <c r="C2426" t="str">
        <f t="shared" si="259"/>
        <v>13</v>
      </c>
      <c r="D2426" t="str">
        <f t="shared" si="260"/>
        <v>07</v>
      </c>
      <c r="E2426" t="str">
        <f t="shared" si="261"/>
        <v>16</v>
      </c>
      <c r="F2426">
        <f t="shared" si="262"/>
        <v>2013</v>
      </c>
      <c r="G2426">
        <f t="shared" si="263"/>
        <v>7</v>
      </c>
      <c r="H2426">
        <f t="shared" si="264"/>
        <v>16</v>
      </c>
      <c r="I2426" t="str">
        <f t="shared" si="265"/>
        <v>13</v>
      </c>
    </row>
    <row r="2427" spans="1:9" x14ac:dyDescent="0.25">
      <c r="A2427" s="19">
        <v>42404</v>
      </c>
      <c r="B2427" s="20">
        <v>0.96527777777777779</v>
      </c>
      <c r="C2427" t="str">
        <f t="shared" si="259"/>
        <v>16</v>
      </c>
      <c r="D2427" t="str">
        <f t="shared" si="260"/>
        <v>02</v>
      </c>
      <c r="E2427" t="str">
        <f t="shared" si="261"/>
        <v>04</v>
      </c>
      <c r="F2427">
        <f t="shared" si="262"/>
        <v>2016</v>
      </c>
      <c r="G2427">
        <f t="shared" si="263"/>
        <v>2</v>
      </c>
      <c r="H2427">
        <f t="shared" si="264"/>
        <v>4</v>
      </c>
      <c r="I2427" t="str">
        <f t="shared" si="265"/>
        <v>16</v>
      </c>
    </row>
    <row r="2428" spans="1:9" x14ac:dyDescent="0.25">
      <c r="A2428" s="19">
        <v>41729</v>
      </c>
      <c r="B2428" s="20">
        <v>8.3333333333333329E-2</v>
      </c>
      <c r="C2428" t="str">
        <f t="shared" si="259"/>
        <v>14</v>
      </c>
      <c r="D2428" t="str">
        <f t="shared" si="260"/>
        <v>03</v>
      </c>
      <c r="E2428" t="str">
        <f t="shared" si="261"/>
        <v>31</v>
      </c>
      <c r="F2428">
        <f t="shared" si="262"/>
        <v>2014</v>
      </c>
      <c r="G2428">
        <f t="shared" si="263"/>
        <v>3</v>
      </c>
      <c r="H2428">
        <f t="shared" si="264"/>
        <v>31</v>
      </c>
      <c r="I2428" t="str">
        <f t="shared" si="265"/>
        <v>14</v>
      </c>
    </row>
    <row r="2429" spans="1:9" x14ac:dyDescent="0.25">
      <c r="A2429" s="19">
        <v>42113</v>
      </c>
      <c r="B2429" s="20">
        <v>0.98958333333333337</v>
      </c>
      <c r="C2429" t="str">
        <f t="shared" si="259"/>
        <v>15</v>
      </c>
      <c r="D2429" t="str">
        <f t="shared" si="260"/>
        <v>04</v>
      </c>
      <c r="E2429" t="str">
        <f t="shared" si="261"/>
        <v>19</v>
      </c>
      <c r="F2429">
        <f t="shared" si="262"/>
        <v>2015</v>
      </c>
      <c r="G2429">
        <f t="shared" si="263"/>
        <v>4</v>
      </c>
      <c r="H2429">
        <f t="shared" si="264"/>
        <v>19</v>
      </c>
      <c r="I2429" t="str">
        <f t="shared" si="265"/>
        <v>15</v>
      </c>
    </row>
    <row r="2430" spans="1:9" x14ac:dyDescent="0.25">
      <c r="A2430" s="19">
        <v>41475</v>
      </c>
      <c r="B2430" s="20">
        <v>2.013888888888889E-2</v>
      </c>
      <c r="C2430" t="str">
        <f t="shared" si="259"/>
        <v>13</v>
      </c>
      <c r="D2430" t="str">
        <f t="shared" si="260"/>
        <v>07</v>
      </c>
      <c r="E2430" t="str">
        <f t="shared" si="261"/>
        <v>20</v>
      </c>
      <c r="F2430">
        <f t="shared" si="262"/>
        <v>2013</v>
      </c>
      <c r="G2430">
        <f t="shared" si="263"/>
        <v>7</v>
      </c>
      <c r="H2430">
        <f t="shared" si="264"/>
        <v>20</v>
      </c>
      <c r="I2430" t="str">
        <f t="shared" si="265"/>
        <v>13</v>
      </c>
    </row>
    <row r="2431" spans="1:9" x14ac:dyDescent="0.25">
      <c r="A2431" s="19">
        <v>41209</v>
      </c>
      <c r="B2431" s="20">
        <v>2.4305555555555556E-2</v>
      </c>
      <c r="C2431" t="str">
        <f t="shared" si="259"/>
        <v>12</v>
      </c>
      <c r="D2431" t="str">
        <f t="shared" si="260"/>
        <v>10</v>
      </c>
      <c r="E2431" t="str">
        <f t="shared" si="261"/>
        <v>27</v>
      </c>
      <c r="F2431">
        <f t="shared" si="262"/>
        <v>2012</v>
      </c>
      <c r="G2431">
        <f t="shared" si="263"/>
        <v>10</v>
      </c>
      <c r="H2431">
        <f t="shared" si="264"/>
        <v>27</v>
      </c>
      <c r="I2431" t="str">
        <f t="shared" si="265"/>
        <v>12</v>
      </c>
    </row>
    <row r="2432" spans="1:9" x14ac:dyDescent="0.25">
      <c r="A2432" s="19">
        <v>41956</v>
      </c>
      <c r="B2432" s="20">
        <v>0.98124999999999996</v>
      </c>
      <c r="C2432" t="str">
        <f t="shared" si="259"/>
        <v>14</v>
      </c>
      <c r="D2432" t="str">
        <f t="shared" si="260"/>
        <v>11</v>
      </c>
      <c r="E2432" t="str">
        <f t="shared" si="261"/>
        <v>13</v>
      </c>
      <c r="F2432">
        <f t="shared" si="262"/>
        <v>2014</v>
      </c>
      <c r="G2432">
        <f t="shared" si="263"/>
        <v>11</v>
      </c>
      <c r="H2432">
        <f t="shared" si="264"/>
        <v>13</v>
      </c>
      <c r="I2432" t="str">
        <f t="shared" si="265"/>
        <v>14</v>
      </c>
    </row>
    <row r="2433" spans="1:9" x14ac:dyDescent="0.25">
      <c r="A2433" s="19">
        <v>41070</v>
      </c>
      <c r="B2433" s="20">
        <v>4.791666666666667E-2</v>
      </c>
      <c r="C2433" t="str">
        <f t="shared" si="259"/>
        <v>12</v>
      </c>
      <c r="D2433" t="str">
        <f t="shared" si="260"/>
        <v>06</v>
      </c>
      <c r="E2433" t="str">
        <f t="shared" si="261"/>
        <v>10</v>
      </c>
      <c r="F2433">
        <f t="shared" si="262"/>
        <v>2012</v>
      </c>
      <c r="G2433">
        <f t="shared" si="263"/>
        <v>6</v>
      </c>
      <c r="H2433">
        <f t="shared" si="264"/>
        <v>10</v>
      </c>
      <c r="I2433" t="str">
        <f t="shared" si="265"/>
        <v>12</v>
      </c>
    </row>
    <row r="2434" spans="1:9" x14ac:dyDescent="0.25">
      <c r="A2434" s="19">
        <v>41297</v>
      </c>
      <c r="B2434" s="20">
        <v>2.361111111111111E-2</v>
      </c>
      <c r="C2434" t="str">
        <f t="shared" si="259"/>
        <v>13</v>
      </c>
      <c r="D2434" t="str">
        <f t="shared" si="260"/>
        <v>01</v>
      </c>
      <c r="E2434" t="str">
        <f t="shared" si="261"/>
        <v>23</v>
      </c>
      <c r="F2434">
        <f t="shared" si="262"/>
        <v>2013</v>
      </c>
      <c r="G2434">
        <f t="shared" si="263"/>
        <v>1</v>
      </c>
      <c r="H2434">
        <f t="shared" si="264"/>
        <v>23</v>
      </c>
      <c r="I2434" t="str">
        <f t="shared" si="265"/>
        <v>13</v>
      </c>
    </row>
    <row r="2435" spans="1:9" x14ac:dyDescent="0.25">
      <c r="A2435" s="19">
        <v>41949</v>
      </c>
      <c r="B2435" s="20">
        <v>2.7777777777777779E-3</v>
      </c>
      <c r="C2435" t="str">
        <f t="shared" ref="C2435:C2498" si="266">TEXT(A2435,"YY")</f>
        <v>14</v>
      </c>
      <c r="D2435" t="str">
        <f t="shared" ref="D2435:D2498" si="267">TEXT(A2435,"mm")</f>
        <v>11</v>
      </c>
      <c r="E2435" t="str">
        <f t="shared" ref="E2435:E2498" si="268">TEXT(A2435,"dd")</f>
        <v>06</v>
      </c>
      <c r="F2435">
        <f t="shared" ref="F2435:F2498" si="269">YEAR($A2435)</f>
        <v>2014</v>
      </c>
      <c r="G2435">
        <f t="shared" ref="G2435:G2498" si="270">MONTH($A2435)</f>
        <v>11</v>
      </c>
      <c r="H2435">
        <f t="shared" ref="H2435:H2498" si="271">DAY($A2435)</f>
        <v>6</v>
      </c>
      <c r="I2435" t="str">
        <f t="shared" ref="I2435:I2498" si="272">TEXT($A2435,"YY")</f>
        <v>14</v>
      </c>
    </row>
    <row r="2436" spans="1:9" x14ac:dyDescent="0.25">
      <c r="A2436" s="19">
        <v>42006</v>
      </c>
      <c r="B2436" s="20">
        <v>1.9444444444444445E-2</v>
      </c>
      <c r="C2436" t="str">
        <f t="shared" si="266"/>
        <v>15</v>
      </c>
      <c r="D2436" t="str">
        <f t="shared" si="267"/>
        <v>01</v>
      </c>
      <c r="E2436" t="str">
        <f t="shared" si="268"/>
        <v>02</v>
      </c>
      <c r="F2436">
        <f t="shared" si="269"/>
        <v>2015</v>
      </c>
      <c r="G2436">
        <f t="shared" si="270"/>
        <v>1</v>
      </c>
      <c r="H2436">
        <f t="shared" si="271"/>
        <v>2</v>
      </c>
      <c r="I2436" t="str">
        <f t="shared" si="272"/>
        <v>15</v>
      </c>
    </row>
    <row r="2437" spans="1:9" x14ac:dyDescent="0.25">
      <c r="A2437" s="19">
        <v>41296</v>
      </c>
      <c r="B2437" s="20">
        <v>0.99097222222222225</v>
      </c>
      <c r="C2437" t="str">
        <f t="shared" si="266"/>
        <v>13</v>
      </c>
      <c r="D2437" t="str">
        <f t="shared" si="267"/>
        <v>01</v>
      </c>
      <c r="E2437" t="str">
        <f t="shared" si="268"/>
        <v>22</v>
      </c>
      <c r="F2437">
        <f t="shared" si="269"/>
        <v>2013</v>
      </c>
      <c r="G2437">
        <f t="shared" si="270"/>
        <v>1</v>
      </c>
      <c r="H2437">
        <f t="shared" si="271"/>
        <v>22</v>
      </c>
      <c r="I2437" t="str">
        <f t="shared" si="272"/>
        <v>13</v>
      </c>
    </row>
    <row r="2438" spans="1:9" x14ac:dyDescent="0.25">
      <c r="A2438" s="19">
        <v>41378</v>
      </c>
      <c r="B2438" s="20">
        <v>1.9444444444444445E-2</v>
      </c>
      <c r="C2438" t="str">
        <f t="shared" si="266"/>
        <v>13</v>
      </c>
      <c r="D2438" t="str">
        <f t="shared" si="267"/>
        <v>04</v>
      </c>
      <c r="E2438" t="str">
        <f t="shared" si="268"/>
        <v>14</v>
      </c>
      <c r="F2438">
        <f t="shared" si="269"/>
        <v>2013</v>
      </c>
      <c r="G2438">
        <f t="shared" si="270"/>
        <v>4</v>
      </c>
      <c r="H2438">
        <f t="shared" si="271"/>
        <v>14</v>
      </c>
      <c r="I2438" t="str">
        <f t="shared" si="272"/>
        <v>13</v>
      </c>
    </row>
    <row r="2439" spans="1:9" x14ac:dyDescent="0.25">
      <c r="A2439" s="19">
        <v>42625</v>
      </c>
      <c r="B2439" s="20">
        <v>0.96180555555555558</v>
      </c>
      <c r="C2439" t="str">
        <f t="shared" si="266"/>
        <v>16</v>
      </c>
      <c r="D2439" t="str">
        <f t="shared" si="267"/>
        <v>09</v>
      </c>
      <c r="E2439" t="str">
        <f t="shared" si="268"/>
        <v>12</v>
      </c>
      <c r="F2439">
        <f t="shared" si="269"/>
        <v>2016</v>
      </c>
      <c r="G2439">
        <f t="shared" si="270"/>
        <v>9</v>
      </c>
      <c r="H2439">
        <f t="shared" si="271"/>
        <v>12</v>
      </c>
      <c r="I2439" t="str">
        <f t="shared" si="272"/>
        <v>16</v>
      </c>
    </row>
    <row r="2440" spans="1:9" x14ac:dyDescent="0.25">
      <c r="A2440" s="19">
        <v>41245</v>
      </c>
      <c r="B2440" s="20">
        <v>1.1805555555555555E-2</v>
      </c>
      <c r="C2440" t="str">
        <f t="shared" si="266"/>
        <v>12</v>
      </c>
      <c r="D2440" t="str">
        <f t="shared" si="267"/>
        <v>12</v>
      </c>
      <c r="E2440" t="str">
        <f t="shared" si="268"/>
        <v>02</v>
      </c>
      <c r="F2440">
        <f t="shared" si="269"/>
        <v>2012</v>
      </c>
      <c r="G2440">
        <f t="shared" si="270"/>
        <v>12</v>
      </c>
      <c r="H2440">
        <f t="shared" si="271"/>
        <v>2</v>
      </c>
      <c r="I2440" t="str">
        <f t="shared" si="272"/>
        <v>12</v>
      </c>
    </row>
    <row r="2441" spans="1:9" x14ac:dyDescent="0.25">
      <c r="A2441" s="19">
        <v>41376</v>
      </c>
      <c r="B2441" s="20">
        <v>3.3333333333333333E-2</v>
      </c>
      <c r="C2441" t="str">
        <f t="shared" si="266"/>
        <v>13</v>
      </c>
      <c r="D2441" t="str">
        <f t="shared" si="267"/>
        <v>04</v>
      </c>
      <c r="E2441" t="str">
        <f t="shared" si="268"/>
        <v>12</v>
      </c>
      <c r="F2441">
        <f t="shared" si="269"/>
        <v>2013</v>
      </c>
      <c r="G2441">
        <f t="shared" si="270"/>
        <v>4</v>
      </c>
      <c r="H2441">
        <f t="shared" si="271"/>
        <v>12</v>
      </c>
      <c r="I2441" t="str">
        <f t="shared" si="272"/>
        <v>13</v>
      </c>
    </row>
    <row r="2442" spans="1:9" x14ac:dyDescent="0.25">
      <c r="A2442" s="19">
        <v>42711</v>
      </c>
      <c r="B2442" s="20">
        <v>6.2500000000000003E-3</v>
      </c>
      <c r="C2442" t="str">
        <f t="shared" si="266"/>
        <v>16</v>
      </c>
      <c r="D2442" t="str">
        <f t="shared" si="267"/>
        <v>12</v>
      </c>
      <c r="E2442" t="str">
        <f t="shared" si="268"/>
        <v>07</v>
      </c>
      <c r="F2442">
        <f t="shared" si="269"/>
        <v>2016</v>
      </c>
      <c r="G2442">
        <f t="shared" si="270"/>
        <v>12</v>
      </c>
      <c r="H2442">
        <f t="shared" si="271"/>
        <v>7</v>
      </c>
      <c r="I2442" t="str">
        <f t="shared" si="272"/>
        <v>16</v>
      </c>
    </row>
    <row r="2443" spans="1:9" x14ac:dyDescent="0.25">
      <c r="A2443" s="19">
        <v>41767</v>
      </c>
      <c r="B2443" s="20">
        <v>6.3194444444444442E-2</v>
      </c>
      <c r="C2443" t="str">
        <f t="shared" si="266"/>
        <v>14</v>
      </c>
      <c r="D2443" t="str">
        <f t="shared" si="267"/>
        <v>05</v>
      </c>
      <c r="E2443" t="str">
        <f t="shared" si="268"/>
        <v>08</v>
      </c>
      <c r="F2443">
        <f t="shared" si="269"/>
        <v>2014</v>
      </c>
      <c r="G2443">
        <f t="shared" si="270"/>
        <v>5</v>
      </c>
      <c r="H2443">
        <f t="shared" si="271"/>
        <v>8</v>
      </c>
      <c r="I2443" t="str">
        <f t="shared" si="272"/>
        <v>14</v>
      </c>
    </row>
    <row r="2444" spans="1:9" x14ac:dyDescent="0.25">
      <c r="A2444" s="19">
        <v>41882</v>
      </c>
      <c r="B2444" s="20">
        <v>1.3888888888888888E-2</v>
      </c>
      <c r="C2444" t="str">
        <f t="shared" si="266"/>
        <v>14</v>
      </c>
      <c r="D2444" t="str">
        <f t="shared" si="267"/>
        <v>08</v>
      </c>
      <c r="E2444" t="str">
        <f t="shared" si="268"/>
        <v>31</v>
      </c>
      <c r="F2444">
        <f t="shared" si="269"/>
        <v>2014</v>
      </c>
      <c r="G2444">
        <f t="shared" si="270"/>
        <v>8</v>
      </c>
      <c r="H2444">
        <f t="shared" si="271"/>
        <v>31</v>
      </c>
      <c r="I2444" t="str">
        <f t="shared" si="272"/>
        <v>14</v>
      </c>
    </row>
    <row r="2445" spans="1:9" x14ac:dyDescent="0.25">
      <c r="A2445" s="19">
        <v>41674</v>
      </c>
      <c r="B2445" s="20">
        <v>3.4722222222222224E-2</v>
      </c>
      <c r="C2445" t="str">
        <f t="shared" si="266"/>
        <v>14</v>
      </c>
      <c r="D2445" t="str">
        <f t="shared" si="267"/>
        <v>02</v>
      </c>
      <c r="E2445" t="str">
        <f t="shared" si="268"/>
        <v>04</v>
      </c>
      <c r="F2445">
        <f t="shared" si="269"/>
        <v>2014</v>
      </c>
      <c r="G2445">
        <f t="shared" si="270"/>
        <v>2</v>
      </c>
      <c r="H2445">
        <f t="shared" si="271"/>
        <v>4</v>
      </c>
      <c r="I2445" t="str">
        <f t="shared" si="272"/>
        <v>14</v>
      </c>
    </row>
    <row r="2446" spans="1:9" x14ac:dyDescent="0.25">
      <c r="A2446" s="19">
        <v>42539</v>
      </c>
      <c r="B2446" s="20">
        <v>0.98541666666666672</v>
      </c>
      <c r="C2446" t="str">
        <f t="shared" si="266"/>
        <v>16</v>
      </c>
      <c r="D2446" t="str">
        <f t="shared" si="267"/>
        <v>06</v>
      </c>
      <c r="E2446" t="str">
        <f t="shared" si="268"/>
        <v>18</v>
      </c>
      <c r="F2446">
        <f t="shared" si="269"/>
        <v>2016</v>
      </c>
      <c r="G2446">
        <f t="shared" si="270"/>
        <v>6</v>
      </c>
      <c r="H2446">
        <f t="shared" si="271"/>
        <v>18</v>
      </c>
      <c r="I2446" t="str">
        <f t="shared" si="272"/>
        <v>16</v>
      </c>
    </row>
    <row r="2447" spans="1:9" x14ac:dyDescent="0.25">
      <c r="A2447" s="19">
        <v>42129</v>
      </c>
      <c r="B2447" s="20">
        <v>3.888888888888889E-2</v>
      </c>
      <c r="C2447" t="str">
        <f t="shared" si="266"/>
        <v>15</v>
      </c>
      <c r="D2447" t="str">
        <f t="shared" si="267"/>
        <v>05</v>
      </c>
      <c r="E2447" t="str">
        <f t="shared" si="268"/>
        <v>05</v>
      </c>
      <c r="F2447">
        <f t="shared" si="269"/>
        <v>2015</v>
      </c>
      <c r="G2447">
        <f t="shared" si="270"/>
        <v>5</v>
      </c>
      <c r="H2447">
        <f t="shared" si="271"/>
        <v>5</v>
      </c>
      <c r="I2447" t="str">
        <f t="shared" si="272"/>
        <v>15</v>
      </c>
    </row>
    <row r="2448" spans="1:9" x14ac:dyDescent="0.25">
      <c r="A2448" s="19">
        <v>41583</v>
      </c>
      <c r="B2448" s="20">
        <v>6.9444444444444447E-4</v>
      </c>
      <c r="C2448" t="str">
        <f t="shared" si="266"/>
        <v>13</v>
      </c>
      <c r="D2448" t="str">
        <f t="shared" si="267"/>
        <v>11</v>
      </c>
      <c r="E2448" t="str">
        <f t="shared" si="268"/>
        <v>05</v>
      </c>
      <c r="F2448">
        <f t="shared" si="269"/>
        <v>2013</v>
      </c>
      <c r="G2448">
        <f t="shared" si="270"/>
        <v>11</v>
      </c>
      <c r="H2448">
        <f t="shared" si="271"/>
        <v>5</v>
      </c>
      <c r="I2448" t="str">
        <f t="shared" si="272"/>
        <v>13</v>
      </c>
    </row>
    <row r="2449" spans="1:9" x14ac:dyDescent="0.25">
      <c r="A2449" s="19">
        <v>41796</v>
      </c>
      <c r="B2449" s="20">
        <v>1.3888888888888888E-2</v>
      </c>
      <c r="C2449" t="str">
        <f t="shared" si="266"/>
        <v>14</v>
      </c>
      <c r="D2449" t="str">
        <f t="shared" si="267"/>
        <v>06</v>
      </c>
      <c r="E2449" t="str">
        <f t="shared" si="268"/>
        <v>06</v>
      </c>
      <c r="F2449">
        <f t="shared" si="269"/>
        <v>2014</v>
      </c>
      <c r="G2449">
        <f t="shared" si="270"/>
        <v>6</v>
      </c>
      <c r="H2449">
        <f t="shared" si="271"/>
        <v>6</v>
      </c>
      <c r="I2449" t="str">
        <f t="shared" si="272"/>
        <v>14</v>
      </c>
    </row>
    <row r="2450" spans="1:9" x14ac:dyDescent="0.25">
      <c r="A2450" s="19">
        <v>42109</v>
      </c>
      <c r="B2450" s="20">
        <v>1.3194444444444444E-2</v>
      </c>
      <c r="C2450" t="str">
        <f t="shared" si="266"/>
        <v>15</v>
      </c>
      <c r="D2450" t="str">
        <f t="shared" si="267"/>
        <v>04</v>
      </c>
      <c r="E2450" t="str">
        <f t="shared" si="268"/>
        <v>15</v>
      </c>
      <c r="F2450">
        <f t="shared" si="269"/>
        <v>2015</v>
      </c>
      <c r="G2450">
        <f t="shared" si="270"/>
        <v>4</v>
      </c>
      <c r="H2450">
        <f t="shared" si="271"/>
        <v>15</v>
      </c>
      <c r="I2450" t="str">
        <f t="shared" si="272"/>
        <v>15</v>
      </c>
    </row>
    <row r="2451" spans="1:9" x14ac:dyDescent="0.25">
      <c r="A2451" s="19">
        <v>41450</v>
      </c>
      <c r="B2451" s="20">
        <v>2.7083333333333334E-2</v>
      </c>
      <c r="C2451" t="str">
        <f t="shared" si="266"/>
        <v>13</v>
      </c>
      <c r="D2451" t="str">
        <f t="shared" si="267"/>
        <v>06</v>
      </c>
      <c r="E2451" t="str">
        <f t="shared" si="268"/>
        <v>25</v>
      </c>
      <c r="F2451">
        <f t="shared" si="269"/>
        <v>2013</v>
      </c>
      <c r="G2451">
        <f t="shared" si="270"/>
        <v>6</v>
      </c>
      <c r="H2451">
        <f t="shared" si="271"/>
        <v>25</v>
      </c>
      <c r="I2451" t="str">
        <f t="shared" si="272"/>
        <v>13</v>
      </c>
    </row>
    <row r="2452" spans="1:9" x14ac:dyDescent="0.25">
      <c r="A2452" s="19">
        <v>41466</v>
      </c>
      <c r="B2452" s="20">
        <v>0.97361111111111109</v>
      </c>
      <c r="C2452" t="str">
        <f t="shared" si="266"/>
        <v>13</v>
      </c>
      <c r="D2452" t="str">
        <f t="shared" si="267"/>
        <v>07</v>
      </c>
      <c r="E2452" t="str">
        <f t="shared" si="268"/>
        <v>11</v>
      </c>
      <c r="F2452">
        <f t="shared" si="269"/>
        <v>2013</v>
      </c>
      <c r="G2452">
        <f t="shared" si="270"/>
        <v>7</v>
      </c>
      <c r="H2452">
        <f t="shared" si="271"/>
        <v>11</v>
      </c>
      <c r="I2452" t="str">
        <f t="shared" si="272"/>
        <v>13</v>
      </c>
    </row>
    <row r="2453" spans="1:9" x14ac:dyDescent="0.25">
      <c r="A2453" s="19">
        <v>41960</v>
      </c>
      <c r="B2453" s="20">
        <v>5.1388888888888887E-2</v>
      </c>
      <c r="C2453" t="str">
        <f t="shared" si="266"/>
        <v>14</v>
      </c>
      <c r="D2453" t="str">
        <f t="shared" si="267"/>
        <v>11</v>
      </c>
      <c r="E2453" t="str">
        <f t="shared" si="268"/>
        <v>17</v>
      </c>
      <c r="F2453">
        <f t="shared" si="269"/>
        <v>2014</v>
      </c>
      <c r="G2453">
        <f t="shared" si="270"/>
        <v>11</v>
      </c>
      <c r="H2453">
        <f t="shared" si="271"/>
        <v>17</v>
      </c>
      <c r="I2453" t="str">
        <f t="shared" si="272"/>
        <v>14</v>
      </c>
    </row>
    <row r="2454" spans="1:9" x14ac:dyDescent="0.25">
      <c r="A2454" s="19">
        <v>41254</v>
      </c>
      <c r="B2454" s="20">
        <v>2.7777777777777779E-3</v>
      </c>
      <c r="C2454" t="str">
        <f t="shared" si="266"/>
        <v>12</v>
      </c>
      <c r="D2454" t="str">
        <f t="shared" si="267"/>
        <v>12</v>
      </c>
      <c r="E2454" t="str">
        <f t="shared" si="268"/>
        <v>11</v>
      </c>
      <c r="F2454">
        <f t="shared" si="269"/>
        <v>2012</v>
      </c>
      <c r="G2454">
        <f t="shared" si="270"/>
        <v>12</v>
      </c>
      <c r="H2454">
        <f t="shared" si="271"/>
        <v>11</v>
      </c>
      <c r="I2454" t="str">
        <f t="shared" si="272"/>
        <v>12</v>
      </c>
    </row>
    <row r="2455" spans="1:9" x14ac:dyDescent="0.25">
      <c r="A2455" s="19">
        <v>41404</v>
      </c>
      <c r="B2455" s="20">
        <v>6.9444444444444448E-2</v>
      </c>
      <c r="C2455" t="str">
        <f t="shared" si="266"/>
        <v>13</v>
      </c>
      <c r="D2455" t="str">
        <f t="shared" si="267"/>
        <v>05</v>
      </c>
      <c r="E2455" t="str">
        <f t="shared" si="268"/>
        <v>10</v>
      </c>
      <c r="F2455">
        <f t="shared" si="269"/>
        <v>2013</v>
      </c>
      <c r="G2455">
        <f t="shared" si="270"/>
        <v>5</v>
      </c>
      <c r="H2455">
        <f t="shared" si="271"/>
        <v>10</v>
      </c>
      <c r="I2455" t="str">
        <f t="shared" si="272"/>
        <v>13</v>
      </c>
    </row>
    <row r="2456" spans="1:9" x14ac:dyDescent="0.25">
      <c r="A2456" s="19">
        <v>41889</v>
      </c>
      <c r="B2456" s="20">
        <v>2.8472222222222222E-2</v>
      </c>
      <c r="C2456" t="str">
        <f t="shared" si="266"/>
        <v>14</v>
      </c>
      <c r="D2456" t="str">
        <f t="shared" si="267"/>
        <v>09</v>
      </c>
      <c r="E2456" t="str">
        <f t="shared" si="268"/>
        <v>07</v>
      </c>
      <c r="F2456">
        <f t="shared" si="269"/>
        <v>2014</v>
      </c>
      <c r="G2456">
        <f t="shared" si="270"/>
        <v>9</v>
      </c>
      <c r="H2456">
        <f t="shared" si="271"/>
        <v>7</v>
      </c>
      <c r="I2456" t="str">
        <f t="shared" si="272"/>
        <v>14</v>
      </c>
    </row>
    <row r="2457" spans="1:9" x14ac:dyDescent="0.25">
      <c r="A2457" s="19">
        <v>41885</v>
      </c>
      <c r="B2457" s="20">
        <v>0.97291666666666665</v>
      </c>
      <c r="C2457" t="str">
        <f t="shared" si="266"/>
        <v>14</v>
      </c>
      <c r="D2457" t="str">
        <f t="shared" si="267"/>
        <v>09</v>
      </c>
      <c r="E2457" t="str">
        <f t="shared" si="268"/>
        <v>03</v>
      </c>
      <c r="F2457">
        <f t="shared" si="269"/>
        <v>2014</v>
      </c>
      <c r="G2457">
        <f t="shared" si="270"/>
        <v>9</v>
      </c>
      <c r="H2457">
        <f t="shared" si="271"/>
        <v>3</v>
      </c>
      <c r="I2457" t="str">
        <f t="shared" si="272"/>
        <v>14</v>
      </c>
    </row>
    <row r="2458" spans="1:9" x14ac:dyDescent="0.25">
      <c r="A2458" s="19">
        <v>41188</v>
      </c>
      <c r="B2458" s="20">
        <v>1.0416666666666666E-2</v>
      </c>
      <c r="C2458" t="str">
        <f t="shared" si="266"/>
        <v>12</v>
      </c>
      <c r="D2458" t="str">
        <f t="shared" si="267"/>
        <v>10</v>
      </c>
      <c r="E2458" t="str">
        <f t="shared" si="268"/>
        <v>06</v>
      </c>
      <c r="F2458">
        <f t="shared" si="269"/>
        <v>2012</v>
      </c>
      <c r="G2458">
        <f t="shared" si="270"/>
        <v>10</v>
      </c>
      <c r="H2458">
        <f t="shared" si="271"/>
        <v>6</v>
      </c>
      <c r="I2458" t="str">
        <f t="shared" si="272"/>
        <v>12</v>
      </c>
    </row>
    <row r="2459" spans="1:9" x14ac:dyDescent="0.25">
      <c r="A2459" s="19">
        <v>42724</v>
      </c>
      <c r="B2459" s="20">
        <v>3.2638888888888891E-2</v>
      </c>
      <c r="C2459" t="str">
        <f t="shared" si="266"/>
        <v>16</v>
      </c>
      <c r="D2459" t="str">
        <f t="shared" si="267"/>
        <v>12</v>
      </c>
      <c r="E2459" t="str">
        <f t="shared" si="268"/>
        <v>20</v>
      </c>
      <c r="F2459">
        <f t="shared" si="269"/>
        <v>2016</v>
      </c>
      <c r="G2459">
        <f t="shared" si="270"/>
        <v>12</v>
      </c>
      <c r="H2459">
        <f t="shared" si="271"/>
        <v>20</v>
      </c>
      <c r="I2459" t="str">
        <f t="shared" si="272"/>
        <v>16</v>
      </c>
    </row>
    <row r="2460" spans="1:9" x14ac:dyDescent="0.25">
      <c r="A2460" s="19">
        <v>42879</v>
      </c>
      <c r="B2460" s="20">
        <v>0.95347222222222228</v>
      </c>
      <c r="C2460" t="str">
        <f t="shared" si="266"/>
        <v>17</v>
      </c>
      <c r="D2460" t="str">
        <f t="shared" si="267"/>
        <v>05</v>
      </c>
      <c r="E2460" t="str">
        <f t="shared" si="268"/>
        <v>24</v>
      </c>
      <c r="F2460">
        <f t="shared" si="269"/>
        <v>2017</v>
      </c>
      <c r="G2460">
        <f t="shared" si="270"/>
        <v>5</v>
      </c>
      <c r="H2460">
        <f t="shared" si="271"/>
        <v>24</v>
      </c>
      <c r="I2460" t="str">
        <f t="shared" si="272"/>
        <v>17</v>
      </c>
    </row>
    <row r="2461" spans="1:9" x14ac:dyDescent="0.25">
      <c r="A2461" s="19">
        <v>42592</v>
      </c>
      <c r="B2461" s="20">
        <v>3.7499999999999999E-2</v>
      </c>
      <c r="C2461" t="str">
        <f t="shared" si="266"/>
        <v>16</v>
      </c>
      <c r="D2461" t="str">
        <f t="shared" si="267"/>
        <v>08</v>
      </c>
      <c r="E2461" t="str">
        <f t="shared" si="268"/>
        <v>10</v>
      </c>
      <c r="F2461">
        <f t="shared" si="269"/>
        <v>2016</v>
      </c>
      <c r="G2461">
        <f t="shared" si="270"/>
        <v>8</v>
      </c>
      <c r="H2461">
        <f t="shared" si="271"/>
        <v>10</v>
      </c>
      <c r="I2461" t="str">
        <f t="shared" si="272"/>
        <v>16</v>
      </c>
    </row>
    <row r="2462" spans="1:9" x14ac:dyDescent="0.25">
      <c r="A2462" s="19">
        <v>41639</v>
      </c>
      <c r="B2462" s="20">
        <v>5.1388888888888887E-2</v>
      </c>
      <c r="C2462" t="str">
        <f t="shared" si="266"/>
        <v>13</v>
      </c>
      <c r="D2462" t="str">
        <f t="shared" si="267"/>
        <v>12</v>
      </c>
      <c r="E2462" t="str">
        <f t="shared" si="268"/>
        <v>31</v>
      </c>
      <c r="F2462">
        <f t="shared" si="269"/>
        <v>2013</v>
      </c>
      <c r="G2462">
        <f t="shared" si="270"/>
        <v>12</v>
      </c>
      <c r="H2462">
        <f t="shared" si="271"/>
        <v>31</v>
      </c>
      <c r="I2462" t="str">
        <f t="shared" si="272"/>
        <v>13</v>
      </c>
    </row>
    <row r="2463" spans="1:9" x14ac:dyDescent="0.25">
      <c r="A2463" s="19">
        <v>41337</v>
      </c>
      <c r="B2463" s="20">
        <v>7.3611111111111113E-2</v>
      </c>
      <c r="C2463" t="str">
        <f t="shared" si="266"/>
        <v>13</v>
      </c>
      <c r="D2463" t="str">
        <f t="shared" si="267"/>
        <v>03</v>
      </c>
      <c r="E2463" t="str">
        <f t="shared" si="268"/>
        <v>04</v>
      </c>
      <c r="F2463">
        <f t="shared" si="269"/>
        <v>2013</v>
      </c>
      <c r="G2463">
        <f t="shared" si="270"/>
        <v>3</v>
      </c>
      <c r="H2463">
        <f t="shared" si="271"/>
        <v>4</v>
      </c>
      <c r="I2463" t="str">
        <f t="shared" si="272"/>
        <v>13</v>
      </c>
    </row>
    <row r="2464" spans="1:9" x14ac:dyDescent="0.25">
      <c r="A2464" s="19">
        <v>41396</v>
      </c>
      <c r="B2464" s="20">
        <v>2.2222222222222223E-2</v>
      </c>
      <c r="C2464" t="str">
        <f t="shared" si="266"/>
        <v>13</v>
      </c>
      <c r="D2464" t="str">
        <f t="shared" si="267"/>
        <v>05</v>
      </c>
      <c r="E2464" t="str">
        <f t="shared" si="268"/>
        <v>02</v>
      </c>
      <c r="F2464">
        <f t="shared" si="269"/>
        <v>2013</v>
      </c>
      <c r="G2464">
        <f t="shared" si="270"/>
        <v>5</v>
      </c>
      <c r="H2464">
        <f t="shared" si="271"/>
        <v>2</v>
      </c>
      <c r="I2464" t="str">
        <f t="shared" si="272"/>
        <v>13</v>
      </c>
    </row>
    <row r="2465" spans="1:9" x14ac:dyDescent="0.25">
      <c r="A2465" s="19">
        <v>41084</v>
      </c>
      <c r="B2465" s="20">
        <v>1.1111111111111112E-2</v>
      </c>
      <c r="C2465" t="str">
        <f t="shared" si="266"/>
        <v>12</v>
      </c>
      <c r="D2465" t="str">
        <f t="shared" si="267"/>
        <v>06</v>
      </c>
      <c r="E2465" t="str">
        <f t="shared" si="268"/>
        <v>24</v>
      </c>
      <c r="F2465">
        <f t="shared" si="269"/>
        <v>2012</v>
      </c>
      <c r="G2465">
        <f t="shared" si="270"/>
        <v>6</v>
      </c>
      <c r="H2465">
        <f t="shared" si="271"/>
        <v>24</v>
      </c>
      <c r="I2465" t="str">
        <f t="shared" si="272"/>
        <v>12</v>
      </c>
    </row>
    <row r="2466" spans="1:9" x14ac:dyDescent="0.25">
      <c r="A2466" s="19">
        <v>41821</v>
      </c>
      <c r="B2466" s="20">
        <v>7.3611111111111113E-2</v>
      </c>
      <c r="C2466" t="str">
        <f t="shared" si="266"/>
        <v>14</v>
      </c>
      <c r="D2466" t="str">
        <f t="shared" si="267"/>
        <v>07</v>
      </c>
      <c r="E2466" t="str">
        <f t="shared" si="268"/>
        <v>01</v>
      </c>
      <c r="F2466">
        <f t="shared" si="269"/>
        <v>2014</v>
      </c>
      <c r="G2466">
        <f t="shared" si="270"/>
        <v>7</v>
      </c>
      <c r="H2466">
        <f t="shared" si="271"/>
        <v>1</v>
      </c>
      <c r="I2466" t="str">
        <f t="shared" si="272"/>
        <v>14</v>
      </c>
    </row>
    <row r="2467" spans="1:9" x14ac:dyDescent="0.25">
      <c r="A2467" s="19">
        <v>41172</v>
      </c>
      <c r="B2467" s="20">
        <v>5.2777777777777778E-2</v>
      </c>
      <c r="C2467" t="str">
        <f t="shared" si="266"/>
        <v>12</v>
      </c>
      <c r="D2467" t="str">
        <f t="shared" si="267"/>
        <v>09</v>
      </c>
      <c r="E2467" t="str">
        <f t="shared" si="268"/>
        <v>20</v>
      </c>
      <c r="F2467">
        <f t="shared" si="269"/>
        <v>2012</v>
      </c>
      <c r="G2467">
        <f t="shared" si="270"/>
        <v>9</v>
      </c>
      <c r="H2467">
        <f t="shared" si="271"/>
        <v>20</v>
      </c>
      <c r="I2467" t="str">
        <f t="shared" si="272"/>
        <v>12</v>
      </c>
    </row>
    <row r="2468" spans="1:9" x14ac:dyDescent="0.25">
      <c r="A2468" s="19">
        <v>42023</v>
      </c>
      <c r="B2468" s="20">
        <v>4.7222222222222221E-2</v>
      </c>
      <c r="C2468" t="str">
        <f t="shared" si="266"/>
        <v>15</v>
      </c>
      <c r="D2468" t="str">
        <f t="shared" si="267"/>
        <v>01</v>
      </c>
      <c r="E2468" t="str">
        <f t="shared" si="268"/>
        <v>19</v>
      </c>
      <c r="F2468">
        <f t="shared" si="269"/>
        <v>2015</v>
      </c>
      <c r="G2468">
        <f t="shared" si="270"/>
        <v>1</v>
      </c>
      <c r="H2468">
        <f t="shared" si="271"/>
        <v>19</v>
      </c>
      <c r="I2468" t="str">
        <f t="shared" si="272"/>
        <v>15</v>
      </c>
    </row>
    <row r="2469" spans="1:9" x14ac:dyDescent="0.25">
      <c r="A2469" s="19">
        <v>42026</v>
      </c>
      <c r="B2469" s="20">
        <v>5.6250000000000001E-2</v>
      </c>
      <c r="C2469" t="str">
        <f t="shared" si="266"/>
        <v>15</v>
      </c>
      <c r="D2469" t="str">
        <f t="shared" si="267"/>
        <v>01</v>
      </c>
      <c r="E2469" t="str">
        <f t="shared" si="268"/>
        <v>22</v>
      </c>
      <c r="F2469">
        <f t="shared" si="269"/>
        <v>2015</v>
      </c>
      <c r="G2469">
        <f t="shared" si="270"/>
        <v>1</v>
      </c>
      <c r="H2469">
        <f t="shared" si="271"/>
        <v>22</v>
      </c>
      <c r="I2469" t="str">
        <f t="shared" si="272"/>
        <v>15</v>
      </c>
    </row>
    <row r="2470" spans="1:9" x14ac:dyDescent="0.25">
      <c r="A2470" s="19">
        <v>42581</v>
      </c>
      <c r="B2470" s="20">
        <v>0.98819444444444449</v>
      </c>
      <c r="C2470" t="str">
        <f t="shared" si="266"/>
        <v>16</v>
      </c>
      <c r="D2470" t="str">
        <f t="shared" si="267"/>
        <v>07</v>
      </c>
      <c r="E2470" t="str">
        <f t="shared" si="268"/>
        <v>30</v>
      </c>
      <c r="F2470">
        <f t="shared" si="269"/>
        <v>2016</v>
      </c>
      <c r="G2470">
        <f t="shared" si="270"/>
        <v>7</v>
      </c>
      <c r="H2470">
        <f t="shared" si="271"/>
        <v>30</v>
      </c>
      <c r="I2470" t="str">
        <f t="shared" si="272"/>
        <v>16</v>
      </c>
    </row>
    <row r="2471" spans="1:9" x14ac:dyDescent="0.25">
      <c r="A2471" s="19">
        <v>41916</v>
      </c>
      <c r="B2471" s="20">
        <v>5.5555555555555552E-2</v>
      </c>
      <c r="C2471" t="str">
        <f t="shared" si="266"/>
        <v>14</v>
      </c>
      <c r="D2471" t="str">
        <f t="shared" si="267"/>
        <v>10</v>
      </c>
      <c r="E2471" t="str">
        <f t="shared" si="268"/>
        <v>04</v>
      </c>
      <c r="F2471">
        <f t="shared" si="269"/>
        <v>2014</v>
      </c>
      <c r="G2471">
        <f t="shared" si="270"/>
        <v>10</v>
      </c>
      <c r="H2471">
        <f t="shared" si="271"/>
        <v>4</v>
      </c>
      <c r="I2471" t="str">
        <f t="shared" si="272"/>
        <v>14</v>
      </c>
    </row>
    <row r="2472" spans="1:9" x14ac:dyDescent="0.25">
      <c r="A2472" s="19">
        <v>41865</v>
      </c>
      <c r="B2472" s="20">
        <v>7.6388888888888886E-3</v>
      </c>
      <c r="C2472" t="str">
        <f t="shared" si="266"/>
        <v>14</v>
      </c>
      <c r="D2472" t="str">
        <f t="shared" si="267"/>
        <v>08</v>
      </c>
      <c r="E2472" t="str">
        <f t="shared" si="268"/>
        <v>14</v>
      </c>
      <c r="F2472">
        <f t="shared" si="269"/>
        <v>2014</v>
      </c>
      <c r="G2472">
        <f t="shared" si="270"/>
        <v>8</v>
      </c>
      <c r="H2472">
        <f t="shared" si="271"/>
        <v>14</v>
      </c>
      <c r="I2472" t="str">
        <f t="shared" si="272"/>
        <v>14</v>
      </c>
    </row>
    <row r="2473" spans="1:9" x14ac:dyDescent="0.25">
      <c r="A2473" s="19">
        <v>42622</v>
      </c>
      <c r="B2473" s="20">
        <v>0.97986111111111107</v>
      </c>
      <c r="C2473" t="str">
        <f t="shared" si="266"/>
        <v>16</v>
      </c>
      <c r="D2473" t="str">
        <f t="shared" si="267"/>
        <v>09</v>
      </c>
      <c r="E2473" t="str">
        <f t="shared" si="268"/>
        <v>09</v>
      </c>
      <c r="F2473">
        <f t="shared" si="269"/>
        <v>2016</v>
      </c>
      <c r="G2473">
        <f t="shared" si="270"/>
        <v>9</v>
      </c>
      <c r="H2473">
        <f t="shared" si="271"/>
        <v>9</v>
      </c>
      <c r="I2473" t="str">
        <f t="shared" si="272"/>
        <v>16</v>
      </c>
    </row>
    <row r="2474" spans="1:9" x14ac:dyDescent="0.25">
      <c r="A2474" s="19">
        <v>41338</v>
      </c>
      <c r="B2474" s="20">
        <v>4.4444444444444446E-2</v>
      </c>
      <c r="C2474" t="str">
        <f t="shared" si="266"/>
        <v>13</v>
      </c>
      <c r="D2474" t="str">
        <f t="shared" si="267"/>
        <v>03</v>
      </c>
      <c r="E2474" t="str">
        <f t="shared" si="268"/>
        <v>05</v>
      </c>
      <c r="F2474">
        <f t="shared" si="269"/>
        <v>2013</v>
      </c>
      <c r="G2474">
        <f t="shared" si="270"/>
        <v>3</v>
      </c>
      <c r="H2474">
        <f t="shared" si="271"/>
        <v>5</v>
      </c>
      <c r="I2474" t="str">
        <f t="shared" si="272"/>
        <v>13</v>
      </c>
    </row>
    <row r="2475" spans="1:9" x14ac:dyDescent="0.25">
      <c r="A2475" s="19">
        <v>41541</v>
      </c>
      <c r="B2475" s="20">
        <v>3.4027777777777775E-2</v>
      </c>
      <c r="C2475" t="str">
        <f t="shared" si="266"/>
        <v>13</v>
      </c>
      <c r="D2475" t="str">
        <f t="shared" si="267"/>
        <v>09</v>
      </c>
      <c r="E2475" t="str">
        <f t="shared" si="268"/>
        <v>24</v>
      </c>
      <c r="F2475">
        <f t="shared" si="269"/>
        <v>2013</v>
      </c>
      <c r="G2475">
        <f t="shared" si="270"/>
        <v>9</v>
      </c>
      <c r="H2475">
        <f t="shared" si="271"/>
        <v>24</v>
      </c>
      <c r="I2475" t="str">
        <f t="shared" si="272"/>
        <v>13</v>
      </c>
    </row>
    <row r="2476" spans="1:9" x14ac:dyDescent="0.25">
      <c r="A2476" s="19">
        <v>42136</v>
      </c>
      <c r="B2476" s="20">
        <v>0.98333333333333328</v>
      </c>
      <c r="C2476" t="str">
        <f t="shared" si="266"/>
        <v>15</v>
      </c>
      <c r="D2476" t="str">
        <f t="shared" si="267"/>
        <v>05</v>
      </c>
      <c r="E2476" t="str">
        <f t="shared" si="268"/>
        <v>12</v>
      </c>
      <c r="F2476">
        <f t="shared" si="269"/>
        <v>2015</v>
      </c>
      <c r="G2476">
        <f t="shared" si="270"/>
        <v>5</v>
      </c>
      <c r="H2476">
        <f t="shared" si="271"/>
        <v>12</v>
      </c>
      <c r="I2476" t="str">
        <f t="shared" si="272"/>
        <v>15</v>
      </c>
    </row>
    <row r="2477" spans="1:9" x14ac:dyDescent="0.25">
      <c r="A2477" s="19">
        <v>41675</v>
      </c>
      <c r="B2477" s="20">
        <v>7.7777777777777779E-2</v>
      </c>
      <c r="C2477" t="str">
        <f t="shared" si="266"/>
        <v>14</v>
      </c>
      <c r="D2477" t="str">
        <f t="shared" si="267"/>
        <v>02</v>
      </c>
      <c r="E2477" t="str">
        <f t="shared" si="268"/>
        <v>05</v>
      </c>
      <c r="F2477">
        <f t="shared" si="269"/>
        <v>2014</v>
      </c>
      <c r="G2477">
        <f t="shared" si="270"/>
        <v>2</v>
      </c>
      <c r="H2477">
        <f t="shared" si="271"/>
        <v>5</v>
      </c>
      <c r="I2477" t="str">
        <f t="shared" si="272"/>
        <v>14</v>
      </c>
    </row>
    <row r="2478" spans="1:9" x14ac:dyDescent="0.25">
      <c r="A2478" s="19">
        <v>42437</v>
      </c>
      <c r="B2478" s="20">
        <v>2.361111111111111E-2</v>
      </c>
      <c r="C2478" t="str">
        <f t="shared" si="266"/>
        <v>16</v>
      </c>
      <c r="D2478" t="str">
        <f t="shared" si="267"/>
        <v>03</v>
      </c>
      <c r="E2478" t="str">
        <f t="shared" si="268"/>
        <v>08</v>
      </c>
      <c r="F2478">
        <f t="shared" si="269"/>
        <v>2016</v>
      </c>
      <c r="G2478">
        <f t="shared" si="270"/>
        <v>3</v>
      </c>
      <c r="H2478">
        <f t="shared" si="271"/>
        <v>8</v>
      </c>
      <c r="I2478" t="str">
        <f t="shared" si="272"/>
        <v>16</v>
      </c>
    </row>
    <row r="2479" spans="1:9" x14ac:dyDescent="0.25">
      <c r="A2479" s="19">
        <v>41444</v>
      </c>
      <c r="B2479" s="20">
        <v>6.7361111111111108E-2</v>
      </c>
      <c r="C2479" t="str">
        <f t="shared" si="266"/>
        <v>13</v>
      </c>
      <c r="D2479" t="str">
        <f t="shared" si="267"/>
        <v>06</v>
      </c>
      <c r="E2479" t="str">
        <f t="shared" si="268"/>
        <v>19</v>
      </c>
      <c r="F2479">
        <f t="shared" si="269"/>
        <v>2013</v>
      </c>
      <c r="G2479">
        <f t="shared" si="270"/>
        <v>6</v>
      </c>
      <c r="H2479">
        <f t="shared" si="271"/>
        <v>19</v>
      </c>
      <c r="I2479" t="str">
        <f t="shared" si="272"/>
        <v>13</v>
      </c>
    </row>
    <row r="2480" spans="1:9" x14ac:dyDescent="0.25">
      <c r="A2480" s="19">
        <v>41238</v>
      </c>
      <c r="B2480" s="20">
        <v>5.5555555555555558E-3</v>
      </c>
      <c r="C2480" t="str">
        <f t="shared" si="266"/>
        <v>12</v>
      </c>
      <c r="D2480" t="str">
        <f t="shared" si="267"/>
        <v>11</v>
      </c>
      <c r="E2480" t="str">
        <f t="shared" si="268"/>
        <v>25</v>
      </c>
      <c r="F2480">
        <f t="shared" si="269"/>
        <v>2012</v>
      </c>
      <c r="G2480">
        <f t="shared" si="270"/>
        <v>11</v>
      </c>
      <c r="H2480">
        <f t="shared" si="271"/>
        <v>25</v>
      </c>
      <c r="I2480" t="str">
        <f t="shared" si="272"/>
        <v>12</v>
      </c>
    </row>
    <row r="2481" spans="1:9" x14ac:dyDescent="0.25">
      <c r="A2481" s="19">
        <v>41354</v>
      </c>
      <c r="B2481" s="20">
        <v>3.6805555555555557E-2</v>
      </c>
      <c r="C2481" t="str">
        <f t="shared" si="266"/>
        <v>13</v>
      </c>
      <c r="D2481" t="str">
        <f t="shared" si="267"/>
        <v>03</v>
      </c>
      <c r="E2481" t="str">
        <f t="shared" si="268"/>
        <v>21</v>
      </c>
      <c r="F2481">
        <f t="shared" si="269"/>
        <v>2013</v>
      </c>
      <c r="G2481">
        <f t="shared" si="270"/>
        <v>3</v>
      </c>
      <c r="H2481">
        <f t="shared" si="271"/>
        <v>21</v>
      </c>
      <c r="I2481" t="str">
        <f t="shared" si="272"/>
        <v>13</v>
      </c>
    </row>
    <row r="2482" spans="1:9" x14ac:dyDescent="0.25">
      <c r="A2482" s="19">
        <v>41976</v>
      </c>
      <c r="B2482" s="20">
        <v>0.93958333333333333</v>
      </c>
      <c r="C2482" t="str">
        <f t="shared" si="266"/>
        <v>14</v>
      </c>
      <c r="D2482" t="str">
        <f t="shared" si="267"/>
        <v>12</v>
      </c>
      <c r="E2482" t="str">
        <f t="shared" si="268"/>
        <v>03</v>
      </c>
      <c r="F2482">
        <f t="shared" si="269"/>
        <v>2014</v>
      </c>
      <c r="G2482">
        <f t="shared" si="270"/>
        <v>12</v>
      </c>
      <c r="H2482">
        <f t="shared" si="271"/>
        <v>3</v>
      </c>
      <c r="I2482" t="str">
        <f t="shared" si="272"/>
        <v>14</v>
      </c>
    </row>
    <row r="2483" spans="1:9" x14ac:dyDescent="0.25">
      <c r="A2483" s="19">
        <v>41816</v>
      </c>
      <c r="B2483" s="20">
        <v>5.2777777777777778E-2</v>
      </c>
      <c r="C2483" t="str">
        <f t="shared" si="266"/>
        <v>14</v>
      </c>
      <c r="D2483" t="str">
        <f t="shared" si="267"/>
        <v>06</v>
      </c>
      <c r="E2483" t="str">
        <f t="shared" si="268"/>
        <v>26</v>
      </c>
      <c r="F2483">
        <f t="shared" si="269"/>
        <v>2014</v>
      </c>
      <c r="G2483">
        <f t="shared" si="270"/>
        <v>6</v>
      </c>
      <c r="H2483">
        <f t="shared" si="271"/>
        <v>26</v>
      </c>
      <c r="I2483" t="str">
        <f t="shared" si="272"/>
        <v>14</v>
      </c>
    </row>
    <row r="2484" spans="1:9" x14ac:dyDescent="0.25">
      <c r="A2484" s="19">
        <v>41872</v>
      </c>
      <c r="B2484" s="20">
        <v>4.791666666666667E-2</v>
      </c>
      <c r="C2484" t="str">
        <f t="shared" si="266"/>
        <v>14</v>
      </c>
      <c r="D2484" t="str">
        <f t="shared" si="267"/>
        <v>08</v>
      </c>
      <c r="E2484" t="str">
        <f t="shared" si="268"/>
        <v>21</v>
      </c>
      <c r="F2484">
        <f t="shared" si="269"/>
        <v>2014</v>
      </c>
      <c r="G2484">
        <f t="shared" si="270"/>
        <v>8</v>
      </c>
      <c r="H2484">
        <f t="shared" si="271"/>
        <v>21</v>
      </c>
      <c r="I2484" t="str">
        <f t="shared" si="272"/>
        <v>14</v>
      </c>
    </row>
    <row r="2485" spans="1:9" x14ac:dyDescent="0.25">
      <c r="A2485" s="19">
        <v>42622</v>
      </c>
      <c r="B2485" s="20">
        <v>0.94930555555555551</v>
      </c>
      <c r="C2485" t="str">
        <f t="shared" si="266"/>
        <v>16</v>
      </c>
      <c r="D2485" t="str">
        <f t="shared" si="267"/>
        <v>09</v>
      </c>
      <c r="E2485" t="str">
        <f t="shared" si="268"/>
        <v>09</v>
      </c>
      <c r="F2485">
        <f t="shared" si="269"/>
        <v>2016</v>
      </c>
      <c r="G2485">
        <f t="shared" si="270"/>
        <v>9</v>
      </c>
      <c r="H2485">
        <f t="shared" si="271"/>
        <v>9</v>
      </c>
      <c r="I2485" t="str">
        <f t="shared" si="272"/>
        <v>16</v>
      </c>
    </row>
    <row r="2486" spans="1:9" x14ac:dyDescent="0.25">
      <c r="A2486" s="19">
        <v>41225</v>
      </c>
      <c r="B2486" s="20">
        <v>0.99097222222222225</v>
      </c>
      <c r="C2486" t="str">
        <f t="shared" si="266"/>
        <v>12</v>
      </c>
      <c r="D2486" t="str">
        <f t="shared" si="267"/>
        <v>11</v>
      </c>
      <c r="E2486" t="str">
        <f t="shared" si="268"/>
        <v>12</v>
      </c>
      <c r="F2486">
        <f t="shared" si="269"/>
        <v>2012</v>
      </c>
      <c r="G2486">
        <f t="shared" si="270"/>
        <v>11</v>
      </c>
      <c r="H2486">
        <f t="shared" si="271"/>
        <v>12</v>
      </c>
      <c r="I2486" t="str">
        <f t="shared" si="272"/>
        <v>12</v>
      </c>
    </row>
    <row r="2487" spans="1:9" x14ac:dyDescent="0.25">
      <c r="A2487" s="19">
        <v>41512</v>
      </c>
      <c r="B2487" s="20">
        <v>1.2500000000000001E-2</v>
      </c>
      <c r="C2487" t="str">
        <f t="shared" si="266"/>
        <v>13</v>
      </c>
      <c r="D2487" t="str">
        <f t="shared" si="267"/>
        <v>08</v>
      </c>
      <c r="E2487" t="str">
        <f t="shared" si="268"/>
        <v>26</v>
      </c>
      <c r="F2487">
        <f t="shared" si="269"/>
        <v>2013</v>
      </c>
      <c r="G2487">
        <f t="shared" si="270"/>
        <v>8</v>
      </c>
      <c r="H2487">
        <f t="shared" si="271"/>
        <v>26</v>
      </c>
      <c r="I2487" t="str">
        <f t="shared" si="272"/>
        <v>13</v>
      </c>
    </row>
    <row r="2488" spans="1:9" x14ac:dyDescent="0.25">
      <c r="A2488" s="19">
        <v>42215</v>
      </c>
      <c r="B2488" s="20">
        <v>8.3333333333333332E-3</v>
      </c>
      <c r="C2488" t="str">
        <f t="shared" si="266"/>
        <v>15</v>
      </c>
      <c r="D2488" t="str">
        <f t="shared" si="267"/>
        <v>07</v>
      </c>
      <c r="E2488" t="str">
        <f t="shared" si="268"/>
        <v>30</v>
      </c>
      <c r="F2488">
        <f t="shared" si="269"/>
        <v>2015</v>
      </c>
      <c r="G2488">
        <f t="shared" si="270"/>
        <v>7</v>
      </c>
      <c r="H2488">
        <f t="shared" si="271"/>
        <v>30</v>
      </c>
      <c r="I2488" t="str">
        <f t="shared" si="272"/>
        <v>15</v>
      </c>
    </row>
    <row r="2489" spans="1:9" x14ac:dyDescent="0.25">
      <c r="A2489" s="19">
        <v>41602</v>
      </c>
      <c r="B2489" s="20">
        <v>0.9868055555555556</v>
      </c>
      <c r="C2489" t="str">
        <f t="shared" si="266"/>
        <v>13</v>
      </c>
      <c r="D2489" t="str">
        <f t="shared" si="267"/>
        <v>11</v>
      </c>
      <c r="E2489" t="str">
        <f t="shared" si="268"/>
        <v>24</v>
      </c>
      <c r="F2489">
        <f t="shared" si="269"/>
        <v>2013</v>
      </c>
      <c r="G2489">
        <f t="shared" si="270"/>
        <v>11</v>
      </c>
      <c r="H2489">
        <f t="shared" si="271"/>
        <v>24</v>
      </c>
      <c r="I2489" t="str">
        <f t="shared" si="272"/>
        <v>13</v>
      </c>
    </row>
    <row r="2490" spans="1:9" x14ac:dyDescent="0.25">
      <c r="A2490" s="19">
        <v>41201</v>
      </c>
      <c r="B2490" s="20">
        <v>0.10347222222222222</v>
      </c>
      <c r="C2490" t="str">
        <f t="shared" si="266"/>
        <v>12</v>
      </c>
      <c r="D2490" t="str">
        <f t="shared" si="267"/>
        <v>10</v>
      </c>
      <c r="E2490" t="str">
        <f t="shared" si="268"/>
        <v>19</v>
      </c>
      <c r="F2490">
        <f t="shared" si="269"/>
        <v>2012</v>
      </c>
      <c r="G2490">
        <f t="shared" si="270"/>
        <v>10</v>
      </c>
      <c r="H2490">
        <f t="shared" si="271"/>
        <v>19</v>
      </c>
      <c r="I2490" t="str">
        <f t="shared" si="272"/>
        <v>12</v>
      </c>
    </row>
    <row r="2491" spans="1:9" x14ac:dyDescent="0.25">
      <c r="A2491" s="19">
        <v>42655</v>
      </c>
      <c r="B2491" s="20">
        <v>0.99791666666666667</v>
      </c>
      <c r="C2491" t="str">
        <f t="shared" si="266"/>
        <v>16</v>
      </c>
      <c r="D2491" t="str">
        <f t="shared" si="267"/>
        <v>10</v>
      </c>
      <c r="E2491" t="str">
        <f t="shared" si="268"/>
        <v>12</v>
      </c>
      <c r="F2491">
        <f t="shared" si="269"/>
        <v>2016</v>
      </c>
      <c r="G2491">
        <f t="shared" si="270"/>
        <v>10</v>
      </c>
      <c r="H2491">
        <f t="shared" si="271"/>
        <v>12</v>
      </c>
      <c r="I2491" t="str">
        <f t="shared" si="272"/>
        <v>16</v>
      </c>
    </row>
    <row r="2492" spans="1:9" x14ac:dyDescent="0.25">
      <c r="A2492" s="19">
        <v>42089</v>
      </c>
      <c r="B2492" s="20">
        <v>0.95486111111111116</v>
      </c>
      <c r="C2492" t="str">
        <f t="shared" si="266"/>
        <v>15</v>
      </c>
      <c r="D2492" t="str">
        <f t="shared" si="267"/>
        <v>03</v>
      </c>
      <c r="E2492" t="str">
        <f t="shared" si="268"/>
        <v>26</v>
      </c>
      <c r="F2492">
        <f t="shared" si="269"/>
        <v>2015</v>
      </c>
      <c r="G2492">
        <f t="shared" si="270"/>
        <v>3</v>
      </c>
      <c r="H2492">
        <f t="shared" si="271"/>
        <v>26</v>
      </c>
      <c r="I2492" t="str">
        <f t="shared" si="272"/>
        <v>15</v>
      </c>
    </row>
    <row r="2493" spans="1:9" x14ac:dyDescent="0.25">
      <c r="A2493" s="19">
        <v>42542</v>
      </c>
      <c r="B2493" s="20">
        <v>0.99722222222222223</v>
      </c>
      <c r="C2493" t="str">
        <f t="shared" si="266"/>
        <v>16</v>
      </c>
      <c r="D2493" t="str">
        <f t="shared" si="267"/>
        <v>06</v>
      </c>
      <c r="E2493" t="str">
        <f t="shared" si="268"/>
        <v>21</v>
      </c>
      <c r="F2493">
        <f t="shared" si="269"/>
        <v>2016</v>
      </c>
      <c r="G2493">
        <f t="shared" si="270"/>
        <v>6</v>
      </c>
      <c r="H2493">
        <f t="shared" si="271"/>
        <v>21</v>
      </c>
      <c r="I2493" t="str">
        <f t="shared" si="272"/>
        <v>16</v>
      </c>
    </row>
    <row r="2494" spans="1:9" x14ac:dyDescent="0.25">
      <c r="A2494" s="19">
        <v>41949</v>
      </c>
      <c r="B2494" s="20">
        <v>3.1944444444444442E-2</v>
      </c>
      <c r="C2494" t="str">
        <f t="shared" si="266"/>
        <v>14</v>
      </c>
      <c r="D2494" t="str">
        <f t="shared" si="267"/>
        <v>11</v>
      </c>
      <c r="E2494" t="str">
        <f t="shared" si="268"/>
        <v>06</v>
      </c>
      <c r="F2494">
        <f t="shared" si="269"/>
        <v>2014</v>
      </c>
      <c r="G2494">
        <f t="shared" si="270"/>
        <v>11</v>
      </c>
      <c r="H2494">
        <f t="shared" si="271"/>
        <v>6</v>
      </c>
      <c r="I2494" t="str">
        <f t="shared" si="272"/>
        <v>14</v>
      </c>
    </row>
    <row r="2495" spans="1:9" x14ac:dyDescent="0.25">
      <c r="A2495" s="19">
        <v>42476</v>
      </c>
      <c r="B2495" s="20">
        <v>0.98333333333333328</v>
      </c>
      <c r="C2495" t="str">
        <f t="shared" si="266"/>
        <v>16</v>
      </c>
      <c r="D2495" t="str">
        <f t="shared" si="267"/>
        <v>04</v>
      </c>
      <c r="E2495" t="str">
        <f t="shared" si="268"/>
        <v>16</v>
      </c>
      <c r="F2495">
        <f t="shared" si="269"/>
        <v>2016</v>
      </c>
      <c r="G2495">
        <f t="shared" si="270"/>
        <v>4</v>
      </c>
      <c r="H2495">
        <f t="shared" si="271"/>
        <v>16</v>
      </c>
      <c r="I2495" t="str">
        <f t="shared" si="272"/>
        <v>16</v>
      </c>
    </row>
    <row r="2496" spans="1:9" x14ac:dyDescent="0.25">
      <c r="A2496" s="19">
        <v>42789</v>
      </c>
      <c r="B2496" s="20">
        <v>0.99930555555555556</v>
      </c>
      <c r="C2496" t="str">
        <f t="shared" si="266"/>
        <v>17</v>
      </c>
      <c r="D2496" t="str">
        <f t="shared" si="267"/>
        <v>02</v>
      </c>
      <c r="E2496" t="str">
        <f t="shared" si="268"/>
        <v>23</v>
      </c>
      <c r="F2496">
        <f t="shared" si="269"/>
        <v>2017</v>
      </c>
      <c r="G2496">
        <f t="shared" si="270"/>
        <v>2</v>
      </c>
      <c r="H2496">
        <f t="shared" si="271"/>
        <v>23</v>
      </c>
      <c r="I2496" t="str">
        <f t="shared" si="272"/>
        <v>17</v>
      </c>
    </row>
    <row r="2497" spans="1:9" x14ac:dyDescent="0.25">
      <c r="A2497" s="19">
        <v>42544</v>
      </c>
      <c r="B2497" s="20">
        <v>2.013888888888889E-2</v>
      </c>
      <c r="C2497" t="str">
        <f t="shared" si="266"/>
        <v>16</v>
      </c>
      <c r="D2497" t="str">
        <f t="shared" si="267"/>
        <v>06</v>
      </c>
      <c r="E2497" t="str">
        <f t="shared" si="268"/>
        <v>23</v>
      </c>
      <c r="F2497">
        <f t="shared" si="269"/>
        <v>2016</v>
      </c>
      <c r="G2497">
        <f t="shared" si="270"/>
        <v>6</v>
      </c>
      <c r="H2497">
        <f t="shared" si="271"/>
        <v>23</v>
      </c>
      <c r="I2497" t="str">
        <f t="shared" si="272"/>
        <v>16</v>
      </c>
    </row>
    <row r="2498" spans="1:9" x14ac:dyDescent="0.25">
      <c r="A2498" s="19">
        <v>41774</v>
      </c>
      <c r="B2498" s="20">
        <v>4.1666666666666664E-2</v>
      </c>
      <c r="C2498" t="str">
        <f t="shared" si="266"/>
        <v>14</v>
      </c>
      <c r="D2498" t="str">
        <f t="shared" si="267"/>
        <v>05</v>
      </c>
      <c r="E2498" t="str">
        <f t="shared" si="268"/>
        <v>15</v>
      </c>
      <c r="F2498">
        <f t="shared" si="269"/>
        <v>2014</v>
      </c>
      <c r="G2498">
        <f t="shared" si="270"/>
        <v>5</v>
      </c>
      <c r="H2498">
        <f t="shared" si="271"/>
        <v>15</v>
      </c>
      <c r="I2498" t="str">
        <f t="shared" si="272"/>
        <v>14</v>
      </c>
    </row>
    <row r="2499" spans="1:9" x14ac:dyDescent="0.25">
      <c r="A2499" s="19">
        <v>41735</v>
      </c>
      <c r="B2499" s="20">
        <v>1.6666666666666666E-2</v>
      </c>
      <c r="C2499" t="str">
        <f t="shared" ref="C2499:C2562" si="273">TEXT(A2499,"YY")</f>
        <v>14</v>
      </c>
      <c r="D2499" t="str">
        <f t="shared" ref="D2499:D2562" si="274">TEXT(A2499,"mm")</f>
        <v>04</v>
      </c>
      <c r="E2499" t="str">
        <f t="shared" ref="E2499:E2562" si="275">TEXT(A2499,"dd")</f>
        <v>06</v>
      </c>
      <c r="F2499">
        <f t="shared" ref="F2499:F2562" si="276">YEAR($A2499)</f>
        <v>2014</v>
      </c>
      <c r="G2499">
        <f t="shared" ref="G2499:G2562" si="277">MONTH($A2499)</f>
        <v>4</v>
      </c>
      <c r="H2499">
        <f t="shared" ref="H2499:H2562" si="278">DAY($A2499)</f>
        <v>6</v>
      </c>
      <c r="I2499" t="str">
        <f t="shared" ref="I2499:I2562" si="279">TEXT($A2499,"YY")</f>
        <v>14</v>
      </c>
    </row>
    <row r="2500" spans="1:9" x14ac:dyDescent="0.25">
      <c r="A2500" s="19">
        <v>41486</v>
      </c>
      <c r="B2500" s="20">
        <v>3.4722222222222224E-2</v>
      </c>
      <c r="C2500" t="str">
        <f t="shared" si="273"/>
        <v>13</v>
      </c>
      <c r="D2500" t="str">
        <f t="shared" si="274"/>
        <v>07</v>
      </c>
      <c r="E2500" t="str">
        <f t="shared" si="275"/>
        <v>31</v>
      </c>
      <c r="F2500">
        <f t="shared" si="276"/>
        <v>2013</v>
      </c>
      <c r="G2500">
        <f t="shared" si="277"/>
        <v>7</v>
      </c>
      <c r="H2500">
        <f t="shared" si="278"/>
        <v>31</v>
      </c>
      <c r="I2500" t="str">
        <f t="shared" si="279"/>
        <v>13</v>
      </c>
    </row>
    <row r="2501" spans="1:9" x14ac:dyDescent="0.25">
      <c r="A2501" s="19">
        <v>41360</v>
      </c>
      <c r="B2501" s="20">
        <v>0.97152777777777777</v>
      </c>
      <c r="C2501" t="str">
        <f t="shared" si="273"/>
        <v>13</v>
      </c>
      <c r="D2501" t="str">
        <f t="shared" si="274"/>
        <v>03</v>
      </c>
      <c r="E2501" t="str">
        <f t="shared" si="275"/>
        <v>27</v>
      </c>
      <c r="F2501">
        <f t="shared" si="276"/>
        <v>2013</v>
      </c>
      <c r="G2501">
        <f t="shared" si="277"/>
        <v>3</v>
      </c>
      <c r="H2501">
        <f t="shared" si="278"/>
        <v>27</v>
      </c>
      <c r="I2501" t="str">
        <f t="shared" si="279"/>
        <v>13</v>
      </c>
    </row>
    <row r="2502" spans="1:9" x14ac:dyDescent="0.25">
      <c r="A2502" s="19">
        <v>42159</v>
      </c>
      <c r="B2502" s="20">
        <v>2.5000000000000001E-2</v>
      </c>
      <c r="C2502" t="str">
        <f t="shared" si="273"/>
        <v>15</v>
      </c>
      <c r="D2502" t="str">
        <f t="shared" si="274"/>
        <v>06</v>
      </c>
      <c r="E2502" t="str">
        <f t="shared" si="275"/>
        <v>04</v>
      </c>
      <c r="F2502">
        <f t="shared" si="276"/>
        <v>2015</v>
      </c>
      <c r="G2502">
        <f t="shared" si="277"/>
        <v>6</v>
      </c>
      <c r="H2502">
        <f t="shared" si="278"/>
        <v>4</v>
      </c>
      <c r="I2502" t="str">
        <f t="shared" si="279"/>
        <v>15</v>
      </c>
    </row>
    <row r="2503" spans="1:9" x14ac:dyDescent="0.25">
      <c r="A2503" s="19">
        <v>41153</v>
      </c>
      <c r="B2503" s="20">
        <v>6.1805555555555558E-2</v>
      </c>
      <c r="C2503" t="str">
        <f t="shared" si="273"/>
        <v>12</v>
      </c>
      <c r="D2503" t="str">
        <f t="shared" si="274"/>
        <v>09</v>
      </c>
      <c r="E2503" t="str">
        <f t="shared" si="275"/>
        <v>01</v>
      </c>
      <c r="F2503">
        <f t="shared" si="276"/>
        <v>2012</v>
      </c>
      <c r="G2503">
        <f t="shared" si="277"/>
        <v>9</v>
      </c>
      <c r="H2503">
        <f t="shared" si="278"/>
        <v>1</v>
      </c>
      <c r="I2503" t="str">
        <f t="shared" si="279"/>
        <v>12</v>
      </c>
    </row>
    <row r="2504" spans="1:9" x14ac:dyDescent="0.25">
      <c r="A2504" s="19">
        <v>41131</v>
      </c>
      <c r="B2504" s="20">
        <v>3.888888888888889E-2</v>
      </c>
      <c r="C2504" t="str">
        <f t="shared" si="273"/>
        <v>12</v>
      </c>
      <c r="D2504" t="str">
        <f t="shared" si="274"/>
        <v>08</v>
      </c>
      <c r="E2504" t="str">
        <f t="shared" si="275"/>
        <v>10</v>
      </c>
      <c r="F2504">
        <f t="shared" si="276"/>
        <v>2012</v>
      </c>
      <c r="G2504">
        <f t="shared" si="277"/>
        <v>8</v>
      </c>
      <c r="H2504">
        <f t="shared" si="278"/>
        <v>10</v>
      </c>
      <c r="I2504" t="str">
        <f t="shared" si="279"/>
        <v>12</v>
      </c>
    </row>
    <row r="2505" spans="1:9" x14ac:dyDescent="0.25">
      <c r="A2505" s="19">
        <v>41698</v>
      </c>
      <c r="B2505" s="20">
        <v>0.9916666666666667</v>
      </c>
      <c r="C2505" t="str">
        <f t="shared" si="273"/>
        <v>14</v>
      </c>
      <c r="D2505" t="str">
        <f t="shared" si="274"/>
        <v>02</v>
      </c>
      <c r="E2505" t="str">
        <f t="shared" si="275"/>
        <v>28</v>
      </c>
      <c r="F2505">
        <f t="shared" si="276"/>
        <v>2014</v>
      </c>
      <c r="G2505">
        <f t="shared" si="277"/>
        <v>2</v>
      </c>
      <c r="H2505">
        <f t="shared" si="278"/>
        <v>28</v>
      </c>
      <c r="I2505" t="str">
        <f t="shared" si="279"/>
        <v>14</v>
      </c>
    </row>
    <row r="2506" spans="1:9" x14ac:dyDescent="0.25">
      <c r="A2506" s="19">
        <v>41575</v>
      </c>
      <c r="B2506" s="20">
        <v>1.5972222222222221E-2</v>
      </c>
      <c r="C2506" t="str">
        <f t="shared" si="273"/>
        <v>13</v>
      </c>
      <c r="D2506" t="str">
        <f t="shared" si="274"/>
        <v>10</v>
      </c>
      <c r="E2506" t="str">
        <f t="shared" si="275"/>
        <v>28</v>
      </c>
      <c r="F2506">
        <f t="shared" si="276"/>
        <v>2013</v>
      </c>
      <c r="G2506">
        <f t="shared" si="277"/>
        <v>10</v>
      </c>
      <c r="H2506">
        <f t="shared" si="278"/>
        <v>28</v>
      </c>
      <c r="I2506" t="str">
        <f t="shared" si="279"/>
        <v>13</v>
      </c>
    </row>
    <row r="2507" spans="1:9" x14ac:dyDescent="0.25">
      <c r="A2507" s="19">
        <v>41933</v>
      </c>
      <c r="B2507" s="20">
        <v>4.1666666666666664E-2</v>
      </c>
      <c r="C2507" t="str">
        <f t="shared" si="273"/>
        <v>14</v>
      </c>
      <c r="D2507" t="str">
        <f t="shared" si="274"/>
        <v>10</v>
      </c>
      <c r="E2507" t="str">
        <f t="shared" si="275"/>
        <v>21</v>
      </c>
      <c r="F2507">
        <f t="shared" si="276"/>
        <v>2014</v>
      </c>
      <c r="G2507">
        <f t="shared" si="277"/>
        <v>10</v>
      </c>
      <c r="H2507">
        <f t="shared" si="278"/>
        <v>21</v>
      </c>
      <c r="I2507" t="str">
        <f t="shared" si="279"/>
        <v>14</v>
      </c>
    </row>
    <row r="2508" spans="1:9" x14ac:dyDescent="0.25">
      <c r="A2508" s="19">
        <v>42341</v>
      </c>
      <c r="B2508" s="20">
        <v>0.96111111111111114</v>
      </c>
      <c r="C2508" t="str">
        <f t="shared" si="273"/>
        <v>15</v>
      </c>
      <c r="D2508" t="str">
        <f t="shared" si="274"/>
        <v>12</v>
      </c>
      <c r="E2508" t="str">
        <f t="shared" si="275"/>
        <v>03</v>
      </c>
      <c r="F2508">
        <f t="shared" si="276"/>
        <v>2015</v>
      </c>
      <c r="G2508">
        <f t="shared" si="277"/>
        <v>12</v>
      </c>
      <c r="H2508">
        <f t="shared" si="278"/>
        <v>3</v>
      </c>
      <c r="I2508" t="str">
        <f t="shared" si="279"/>
        <v>15</v>
      </c>
    </row>
    <row r="2509" spans="1:9" x14ac:dyDescent="0.25">
      <c r="A2509" s="19">
        <v>42526</v>
      </c>
      <c r="B2509" s="20">
        <v>0.98055555555555551</v>
      </c>
      <c r="C2509" t="str">
        <f t="shared" si="273"/>
        <v>16</v>
      </c>
      <c r="D2509" t="str">
        <f t="shared" si="274"/>
        <v>06</v>
      </c>
      <c r="E2509" t="str">
        <f t="shared" si="275"/>
        <v>05</v>
      </c>
      <c r="F2509">
        <f t="shared" si="276"/>
        <v>2016</v>
      </c>
      <c r="G2509">
        <f t="shared" si="277"/>
        <v>6</v>
      </c>
      <c r="H2509">
        <f t="shared" si="278"/>
        <v>5</v>
      </c>
      <c r="I2509" t="str">
        <f t="shared" si="279"/>
        <v>16</v>
      </c>
    </row>
    <row r="2510" spans="1:9" x14ac:dyDescent="0.25">
      <c r="A2510" s="19">
        <v>42484</v>
      </c>
      <c r="B2510" s="20">
        <v>0.94930555555555551</v>
      </c>
      <c r="C2510" t="str">
        <f t="shared" si="273"/>
        <v>16</v>
      </c>
      <c r="D2510" t="str">
        <f t="shared" si="274"/>
        <v>04</v>
      </c>
      <c r="E2510" t="str">
        <f t="shared" si="275"/>
        <v>24</v>
      </c>
      <c r="F2510">
        <f t="shared" si="276"/>
        <v>2016</v>
      </c>
      <c r="G2510">
        <f t="shared" si="277"/>
        <v>4</v>
      </c>
      <c r="H2510">
        <f t="shared" si="278"/>
        <v>24</v>
      </c>
      <c r="I2510" t="str">
        <f t="shared" si="279"/>
        <v>16</v>
      </c>
    </row>
    <row r="2511" spans="1:9" x14ac:dyDescent="0.25">
      <c r="A2511" s="19">
        <v>41855</v>
      </c>
      <c r="B2511" s="20">
        <v>0.05</v>
      </c>
      <c r="C2511" t="str">
        <f t="shared" si="273"/>
        <v>14</v>
      </c>
      <c r="D2511" t="str">
        <f t="shared" si="274"/>
        <v>08</v>
      </c>
      <c r="E2511" t="str">
        <f t="shared" si="275"/>
        <v>04</v>
      </c>
      <c r="F2511">
        <f t="shared" si="276"/>
        <v>2014</v>
      </c>
      <c r="G2511">
        <f t="shared" si="277"/>
        <v>8</v>
      </c>
      <c r="H2511">
        <f t="shared" si="278"/>
        <v>4</v>
      </c>
      <c r="I2511" t="str">
        <f t="shared" si="279"/>
        <v>14</v>
      </c>
    </row>
    <row r="2512" spans="1:9" x14ac:dyDescent="0.25">
      <c r="A2512" s="19">
        <v>41711</v>
      </c>
      <c r="B2512" s="20">
        <v>3.125E-2</v>
      </c>
      <c r="C2512" t="str">
        <f t="shared" si="273"/>
        <v>14</v>
      </c>
      <c r="D2512" t="str">
        <f t="shared" si="274"/>
        <v>03</v>
      </c>
      <c r="E2512" t="str">
        <f t="shared" si="275"/>
        <v>13</v>
      </c>
      <c r="F2512">
        <f t="shared" si="276"/>
        <v>2014</v>
      </c>
      <c r="G2512">
        <f t="shared" si="277"/>
        <v>3</v>
      </c>
      <c r="H2512">
        <f t="shared" si="278"/>
        <v>13</v>
      </c>
      <c r="I2512" t="str">
        <f t="shared" si="279"/>
        <v>14</v>
      </c>
    </row>
    <row r="2513" spans="1:9" x14ac:dyDescent="0.25">
      <c r="A2513" s="19">
        <v>41428</v>
      </c>
      <c r="B2513" s="20">
        <v>0.9604166666666667</v>
      </c>
      <c r="C2513" t="str">
        <f t="shared" si="273"/>
        <v>13</v>
      </c>
      <c r="D2513" t="str">
        <f t="shared" si="274"/>
        <v>06</v>
      </c>
      <c r="E2513" t="str">
        <f t="shared" si="275"/>
        <v>03</v>
      </c>
      <c r="F2513">
        <f t="shared" si="276"/>
        <v>2013</v>
      </c>
      <c r="G2513">
        <f t="shared" si="277"/>
        <v>6</v>
      </c>
      <c r="H2513">
        <f t="shared" si="278"/>
        <v>3</v>
      </c>
      <c r="I2513" t="str">
        <f t="shared" si="279"/>
        <v>13</v>
      </c>
    </row>
    <row r="2514" spans="1:9" x14ac:dyDescent="0.25">
      <c r="A2514" s="19">
        <v>42527</v>
      </c>
      <c r="B2514" s="20">
        <v>9.8611111111111108E-2</v>
      </c>
      <c r="C2514" t="str">
        <f t="shared" si="273"/>
        <v>16</v>
      </c>
      <c r="D2514" t="str">
        <f t="shared" si="274"/>
        <v>06</v>
      </c>
      <c r="E2514" t="str">
        <f t="shared" si="275"/>
        <v>06</v>
      </c>
      <c r="F2514">
        <f t="shared" si="276"/>
        <v>2016</v>
      </c>
      <c r="G2514">
        <f t="shared" si="277"/>
        <v>6</v>
      </c>
      <c r="H2514">
        <f t="shared" si="278"/>
        <v>6</v>
      </c>
      <c r="I2514" t="str">
        <f t="shared" si="279"/>
        <v>16</v>
      </c>
    </row>
    <row r="2515" spans="1:9" x14ac:dyDescent="0.25">
      <c r="A2515" s="19">
        <v>41422</v>
      </c>
      <c r="B2515" s="20">
        <v>0.98402777777777772</v>
      </c>
      <c r="C2515" t="str">
        <f t="shared" si="273"/>
        <v>13</v>
      </c>
      <c r="D2515" t="str">
        <f t="shared" si="274"/>
        <v>05</v>
      </c>
      <c r="E2515" t="str">
        <f t="shared" si="275"/>
        <v>28</v>
      </c>
      <c r="F2515">
        <f t="shared" si="276"/>
        <v>2013</v>
      </c>
      <c r="G2515">
        <f t="shared" si="277"/>
        <v>5</v>
      </c>
      <c r="H2515">
        <f t="shared" si="278"/>
        <v>28</v>
      </c>
      <c r="I2515" t="str">
        <f t="shared" si="279"/>
        <v>13</v>
      </c>
    </row>
    <row r="2516" spans="1:9" x14ac:dyDescent="0.25">
      <c r="A2516" s="19">
        <v>42182</v>
      </c>
      <c r="B2516" s="20">
        <v>0.98888888888888893</v>
      </c>
      <c r="C2516" t="str">
        <f t="shared" si="273"/>
        <v>15</v>
      </c>
      <c r="D2516" t="str">
        <f t="shared" si="274"/>
        <v>06</v>
      </c>
      <c r="E2516" t="str">
        <f t="shared" si="275"/>
        <v>27</v>
      </c>
      <c r="F2516">
        <f t="shared" si="276"/>
        <v>2015</v>
      </c>
      <c r="G2516">
        <f t="shared" si="277"/>
        <v>6</v>
      </c>
      <c r="H2516">
        <f t="shared" si="278"/>
        <v>27</v>
      </c>
      <c r="I2516" t="str">
        <f t="shared" si="279"/>
        <v>15</v>
      </c>
    </row>
    <row r="2517" spans="1:9" x14ac:dyDescent="0.25">
      <c r="A2517" s="19">
        <v>41960</v>
      </c>
      <c r="B2517" s="20">
        <v>4.3749999999999997E-2</v>
      </c>
      <c r="C2517" t="str">
        <f t="shared" si="273"/>
        <v>14</v>
      </c>
      <c r="D2517" t="str">
        <f t="shared" si="274"/>
        <v>11</v>
      </c>
      <c r="E2517" t="str">
        <f t="shared" si="275"/>
        <v>17</v>
      </c>
      <c r="F2517">
        <f t="shared" si="276"/>
        <v>2014</v>
      </c>
      <c r="G2517">
        <f t="shared" si="277"/>
        <v>11</v>
      </c>
      <c r="H2517">
        <f t="shared" si="278"/>
        <v>17</v>
      </c>
      <c r="I2517" t="str">
        <f t="shared" si="279"/>
        <v>14</v>
      </c>
    </row>
    <row r="2518" spans="1:9" x14ac:dyDescent="0.25">
      <c r="A2518" s="19">
        <v>42233</v>
      </c>
      <c r="B2518" s="20">
        <v>5.6250000000000001E-2</v>
      </c>
      <c r="C2518" t="str">
        <f t="shared" si="273"/>
        <v>15</v>
      </c>
      <c r="D2518" t="str">
        <f t="shared" si="274"/>
        <v>08</v>
      </c>
      <c r="E2518" t="str">
        <f t="shared" si="275"/>
        <v>17</v>
      </c>
      <c r="F2518">
        <f t="shared" si="276"/>
        <v>2015</v>
      </c>
      <c r="G2518">
        <f t="shared" si="277"/>
        <v>8</v>
      </c>
      <c r="H2518">
        <f t="shared" si="278"/>
        <v>17</v>
      </c>
      <c r="I2518" t="str">
        <f t="shared" si="279"/>
        <v>15</v>
      </c>
    </row>
    <row r="2519" spans="1:9" x14ac:dyDescent="0.25">
      <c r="A2519" s="19">
        <v>41137</v>
      </c>
      <c r="B2519" s="20">
        <v>8.3333333333333329E-2</v>
      </c>
      <c r="C2519" t="str">
        <f t="shared" si="273"/>
        <v>12</v>
      </c>
      <c r="D2519" t="str">
        <f t="shared" si="274"/>
        <v>08</v>
      </c>
      <c r="E2519" t="str">
        <f t="shared" si="275"/>
        <v>16</v>
      </c>
      <c r="F2519">
        <f t="shared" si="276"/>
        <v>2012</v>
      </c>
      <c r="G2519">
        <f t="shared" si="277"/>
        <v>8</v>
      </c>
      <c r="H2519">
        <f t="shared" si="278"/>
        <v>16</v>
      </c>
      <c r="I2519" t="str">
        <f t="shared" si="279"/>
        <v>12</v>
      </c>
    </row>
    <row r="2520" spans="1:9" x14ac:dyDescent="0.25">
      <c r="A2520" s="19">
        <v>41797</v>
      </c>
      <c r="B2520" s="20">
        <v>0.97152777777777777</v>
      </c>
      <c r="C2520" t="str">
        <f t="shared" si="273"/>
        <v>14</v>
      </c>
      <c r="D2520" t="str">
        <f t="shared" si="274"/>
        <v>06</v>
      </c>
      <c r="E2520" t="str">
        <f t="shared" si="275"/>
        <v>07</v>
      </c>
      <c r="F2520">
        <f t="shared" si="276"/>
        <v>2014</v>
      </c>
      <c r="G2520">
        <f t="shared" si="277"/>
        <v>6</v>
      </c>
      <c r="H2520">
        <f t="shared" si="278"/>
        <v>7</v>
      </c>
      <c r="I2520" t="str">
        <f t="shared" si="279"/>
        <v>14</v>
      </c>
    </row>
    <row r="2521" spans="1:9" x14ac:dyDescent="0.25">
      <c r="A2521" s="19">
        <v>42240</v>
      </c>
      <c r="B2521" s="20">
        <v>0.95208333333333328</v>
      </c>
      <c r="C2521" t="str">
        <f t="shared" si="273"/>
        <v>15</v>
      </c>
      <c r="D2521" t="str">
        <f t="shared" si="274"/>
        <v>08</v>
      </c>
      <c r="E2521" t="str">
        <f t="shared" si="275"/>
        <v>24</v>
      </c>
      <c r="F2521">
        <f t="shared" si="276"/>
        <v>2015</v>
      </c>
      <c r="G2521">
        <f t="shared" si="277"/>
        <v>8</v>
      </c>
      <c r="H2521">
        <f t="shared" si="278"/>
        <v>24</v>
      </c>
      <c r="I2521" t="str">
        <f t="shared" si="279"/>
        <v>15</v>
      </c>
    </row>
    <row r="2522" spans="1:9" x14ac:dyDescent="0.25">
      <c r="A2522" s="19">
        <v>41990</v>
      </c>
      <c r="B2522" s="20">
        <v>0.92500000000000004</v>
      </c>
      <c r="C2522" t="str">
        <f t="shared" si="273"/>
        <v>14</v>
      </c>
      <c r="D2522" t="str">
        <f t="shared" si="274"/>
        <v>12</v>
      </c>
      <c r="E2522" t="str">
        <f t="shared" si="275"/>
        <v>17</v>
      </c>
      <c r="F2522">
        <f t="shared" si="276"/>
        <v>2014</v>
      </c>
      <c r="G2522">
        <f t="shared" si="277"/>
        <v>12</v>
      </c>
      <c r="H2522">
        <f t="shared" si="278"/>
        <v>17</v>
      </c>
      <c r="I2522" t="str">
        <f t="shared" si="279"/>
        <v>14</v>
      </c>
    </row>
    <row r="2523" spans="1:9" x14ac:dyDescent="0.25">
      <c r="A2523" s="19">
        <v>41907</v>
      </c>
      <c r="B2523" s="20">
        <v>0.9819444444444444</v>
      </c>
      <c r="C2523" t="str">
        <f t="shared" si="273"/>
        <v>14</v>
      </c>
      <c r="D2523" t="str">
        <f t="shared" si="274"/>
        <v>09</v>
      </c>
      <c r="E2523" t="str">
        <f t="shared" si="275"/>
        <v>25</v>
      </c>
      <c r="F2523">
        <f t="shared" si="276"/>
        <v>2014</v>
      </c>
      <c r="G2523">
        <f t="shared" si="277"/>
        <v>9</v>
      </c>
      <c r="H2523">
        <f t="shared" si="278"/>
        <v>25</v>
      </c>
      <c r="I2523" t="str">
        <f t="shared" si="279"/>
        <v>14</v>
      </c>
    </row>
    <row r="2524" spans="1:9" x14ac:dyDescent="0.25">
      <c r="A2524" s="19">
        <v>42543</v>
      </c>
      <c r="B2524" s="20">
        <v>2.6388888888888889E-2</v>
      </c>
      <c r="C2524" t="str">
        <f t="shared" si="273"/>
        <v>16</v>
      </c>
      <c r="D2524" t="str">
        <f t="shared" si="274"/>
        <v>06</v>
      </c>
      <c r="E2524" t="str">
        <f t="shared" si="275"/>
        <v>22</v>
      </c>
      <c r="F2524">
        <f t="shared" si="276"/>
        <v>2016</v>
      </c>
      <c r="G2524">
        <f t="shared" si="277"/>
        <v>6</v>
      </c>
      <c r="H2524">
        <f t="shared" si="278"/>
        <v>22</v>
      </c>
      <c r="I2524" t="str">
        <f t="shared" si="279"/>
        <v>16</v>
      </c>
    </row>
    <row r="2525" spans="1:9" x14ac:dyDescent="0.25">
      <c r="A2525" s="19">
        <v>41177</v>
      </c>
      <c r="B2525" s="20">
        <v>5.2777777777777778E-2</v>
      </c>
      <c r="C2525" t="str">
        <f t="shared" si="273"/>
        <v>12</v>
      </c>
      <c r="D2525" t="str">
        <f t="shared" si="274"/>
        <v>09</v>
      </c>
      <c r="E2525" t="str">
        <f t="shared" si="275"/>
        <v>25</v>
      </c>
      <c r="F2525">
        <f t="shared" si="276"/>
        <v>2012</v>
      </c>
      <c r="G2525">
        <f t="shared" si="277"/>
        <v>9</v>
      </c>
      <c r="H2525">
        <f t="shared" si="278"/>
        <v>25</v>
      </c>
      <c r="I2525" t="str">
        <f t="shared" si="279"/>
        <v>12</v>
      </c>
    </row>
    <row r="2526" spans="1:9" x14ac:dyDescent="0.25">
      <c r="A2526" s="19">
        <v>42848</v>
      </c>
      <c r="B2526" s="20">
        <v>1.6666666666666666E-2</v>
      </c>
      <c r="C2526" t="str">
        <f t="shared" si="273"/>
        <v>17</v>
      </c>
      <c r="D2526" t="str">
        <f t="shared" si="274"/>
        <v>04</v>
      </c>
      <c r="E2526" t="str">
        <f t="shared" si="275"/>
        <v>23</v>
      </c>
      <c r="F2526">
        <f t="shared" si="276"/>
        <v>2017</v>
      </c>
      <c r="G2526">
        <f t="shared" si="277"/>
        <v>4</v>
      </c>
      <c r="H2526">
        <f t="shared" si="278"/>
        <v>23</v>
      </c>
      <c r="I2526" t="str">
        <f t="shared" si="279"/>
        <v>17</v>
      </c>
    </row>
    <row r="2527" spans="1:9" x14ac:dyDescent="0.25">
      <c r="A2527" s="19">
        <v>42263</v>
      </c>
      <c r="B2527" s="20">
        <v>3.0555555555555555E-2</v>
      </c>
      <c r="C2527" t="str">
        <f t="shared" si="273"/>
        <v>15</v>
      </c>
      <c r="D2527" t="str">
        <f t="shared" si="274"/>
        <v>09</v>
      </c>
      <c r="E2527" t="str">
        <f t="shared" si="275"/>
        <v>16</v>
      </c>
      <c r="F2527">
        <f t="shared" si="276"/>
        <v>2015</v>
      </c>
      <c r="G2527">
        <f t="shared" si="277"/>
        <v>9</v>
      </c>
      <c r="H2527">
        <f t="shared" si="278"/>
        <v>16</v>
      </c>
      <c r="I2527" t="str">
        <f t="shared" si="279"/>
        <v>15</v>
      </c>
    </row>
    <row r="2528" spans="1:9" x14ac:dyDescent="0.25">
      <c r="A2528" s="19">
        <v>42366</v>
      </c>
      <c r="B2528" s="20">
        <v>0.98541666666666672</v>
      </c>
      <c r="C2528" t="str">
        <f t="shared" si="273"/>
        <v>15</v>
      </c>
      <c r="D2528" t="str">
        <f t="shared" si="274"/>
        <v>12</v>
      </c>
      <c r="E2528" t="str">
        <f t="shared" si="275"/>
        <v>28</v>
      </c>
      <c r="F2528">
        <f t="shared" si="276"/>
        <v>2015</v>
      </c>
      <c r="G2528">
        <f t="shared" si="277"/>
        <v>12</v>
      </c>
      <c r="H2528">
        <f t="shared" si="278"/>
        <v>28</v>
      </c>
      <c r="I2528" t="str">
        <f t="shared" si="279"/>
        <v>15</v>
      </c>
    </row>
    <row r="2529" spans="1:9" x14ac:dyDescent="0.25">
      <c r="A2529" s="19">
        <v>41995</v>
      </c>
      <c r="B2529" s="20">
        <v>1.7361111111111112E-2</v>
      </c>
      <c r="C2529" t="str">
        <f t="shared" si="273"/>
        <v>14</v>
      </c>
      <c r="D2529" t="str">
        <f t="shared" si="274"/>
        <v>12</v>
      </c>
      <c r="E2529" t="str">
        <f t="shared" si="275"/>
        <v>22</v>
      </c>
      <c r="F2529">
        <f t="shared" si="276"/>
        <v>2014</v>
      </c>
      <c r="G2529">
        <f t="shared" si="277"/>
        <v>12</v>
      </c>
      <c r="H2529">
        <f t="shared" si="278"/>
        <v>22</v>
      </c>
      <c r="I2529" t="str">
        <f t="shared" si="279"/>
        <v>14</v>
      </c>
    </row>
    <row r="2530" spans="1:9" x14ac:dyDescent="0.25">
      <c r="A2530" s="19">
        <v>41502</v>
      </c>
      <c r="B2530" s="20">
        <v>4.3055555555555555E-2</v>
      </c>
      <c r="C2530" t="str">
        <f t="shared" si="273"/>
        <v>13</v>
      </c>
      <c r="D2530" t="str">
        <f t="shared" si="274"/>
        <v>08</v>
      </c>
      <c r="E2530" t="str">
        <f t="shared" si="275"/>
        <v>16</v>
      </c>
      <c r="F2530">
        <f t="shared" si="276"/>
        <v>2013</v>
      </c>
      <c r="G2530">
        <f t="shared" si="277"/>
        <v>8</v>
      </c>
      <c r="H2530">
        <f t="shared" si="278"/>
        <v>16</v>
      </c>
      <c r="I2530" t="str">
        <f t="shared" si="279"/>
        <v>13</v>
      </c>
    </row>
    <row r="2531" spans="1:9" x14ac:dyDescent="0.25">
      <c r="A2531" s="19">
        <v>41333</v>
      </c>
      <c r="B2531" s="20">
        <v>0.99513888888888891</v>
      </c>
      <c r="C2531" t="str">
        <f t="shared" si="273"/>
        <v>13</v>
      </c>
      <c r="D2531" t="str">
        <f t="shared" si="274"/>
        <v>02</v>
      </c>
      <c r="E2531" t="str">
        <f t="shared" si="275"/>
        <v>28</v>
      </c>
      <c r="F2531">
        <f t="shared" si="276"/>
        <v>2013</v>
      </c>
      <c r="G2531">
        <f t="shared" si="277"/>
        <v>2</v>
      </c>
      <c r="H2531">
        <f t="shared" si="278"/>
        <v>28</v>
      </c>
      <c r="I2531" t="str">
        <f t="shared" si="279"/>
        <v>13</v>
      </c>
    </row>
    <row r="2532" spans="1:9" x14ac:dyDescent="0.25">
      <c r="A2532" s="19">
        <v>42168</v>
      </c>
      <c r="B2532" s="20">
        <v>5.6944444444444443E-2</v>
      </c>
      <c r="C2532" t="str">
        <f t="shared" si="273"/>
        <v>15</v>
      </c>
      <c r="D2532" t="str">
        <f t="shared" si="274"/>
        <v>06</v>
      </c>
      <c r="E2532" t="str">
        <f t="shared" si="275"/>
        <v>13</v>
      </c>
      <c r="F2532">
        <f t="shared" si="276"/>
        <v>2015</v>
      </c>
      <c r="G2532">
        <f t="shared" si="277"/>
        <v>6</v>
      </c>
      <c r="H2532">
        <f t="shared" si="278"/>
        <v>13</v>
      </c>
      <c r="I2532" t="str">
        <f t="shared" si="279"/>
        <v>15</v>
      </c>
    </row>
    <row r="2533" spans="1:9" x14ac:dyDescent="0.25">
      <c r="A2533" s="19">
        <v>42020</v>
      </c>
      <c r="B2533" s="20">
        <v>0.96805555555555556</v>
      </c>
      <c r="C2533" t="str">
        <f t="shared" si="273"/>
        <v>15</v>
      </c>
      <c r="D2533" t="str">
        <f t="shared" si="274"/>
        <v>01</v>
      </c>
      <c r="E2533" t="str">
        <f t="shared" si="275"/>
        <v>16</v>
      </c>
      <c r="F2533">
        <f t="shared" si="276"/>
        <v>2015</v>
      </c>
      <c r="G2533">
        <f t="shared" si="277"/>
        <v>1</v>
      </c>
      <c r="H2533">
        <f t="shared" si="278"/>
        <v>16</v>
      </c>
      <c r="I2533" t="str">
        <f t="shared" si="279"/>
        <v>15</v>
      </c>
    </row>
    <row r="2534" spans="1:9" x14ac:dyDescent="0.25">
      <c r="A2534" s="19">
        <v>41984</v>
      </c>
      <c r="B2534" s="20">
        <v>0.94652777777777775</v>
      </c>
      <c r="C2534" t="str">
        <f t="shared" si="273"/>
        <v>14</v>
      </c>
      <c r="D2534" t="str">
        <f t="shared" si="274"/>
        <v>12</v>
      </c>
      <c r="E2534" t="str">
        <f t="shared" si="275"/>
        <v>11</v>
      </c>
      <c r="F2534">
        <f t="shared" si="276"/>
        <v>2014</v>
      </c>
      <c r="G2534">
        <f t="shared" si="277"/>
        <v>12</v>
      </c>
      <c r="H2534">
        <f t="shared" si="278"/>
        <v>11</v>
      </c>
      <c r="I2534" t="str">
        <f t="shared" si="279"/>
        <v>14</v>
      </c>
    </row>
    <row r="2535" spans="1:9" x14ac:dyDescent="0.25">
      <c r="A2535" s="19">
        <v>41995</v>
      </c>
      <c r="B2535" s="20">
        <v>0.99513888888888891</v>
      </c>
      <c r="C2535" t="str">
        <f t="shared" si="273"/>
        <v>14</v>
      </c>
      <c r="D2535" t="str">
        <f t="shared" si="274"/>
        <v>12</v>
      </c>
      <c r="E2535" t="str">
        <f t="shared" si="275"/>
        <v>22</v>
      </c>
      <c r="F2535">
        <f t="shared" si="276"/>
        <v>2014</v>
      </c>
      <c r="G2535">
        <f t="shared" si="277"/>
        <v>12</v>
      </c>
      <c r="H2535">
        <f t="shared" si="278"/>
        <v>22</v>
      </c>
      <c r="I2535" t="str">
        <f t="shared" si="279"/>
        <v>14</v>
      </c>
    </row>
    <row r="2536" spans="1:9" x14ac:dyDescent="0.25">
      <c r="A2536" s="19">
        <v>42065</v>
      </c>
      <c r="B2536" s="20">
        <v>5.7638888888888892E-2</v>
      </c>
      <c r="C2536" t="str">
        <f t="shared" si="273"/>
        <v>15</v>
      </c>
      <c r="D2536" t="str">
        <f t="shared" si="274"/>
        <v>03</v>
      </c>
      <c r="E2536" t="str">
        <f t="shared" si="275"/>
        <v>02</v>
      </c>
      <c r="F2536">
        <f t="shared" si="276"/>
        <v>2015</v>
      </c>
      <c r="G2536">
        <f t="shared" si="277"/>
        <v>3</v>
      </c>
      <c r="H2536">
        <f t="shared" si="278"/>
        <v>2</v>
      </c>
      <c r="I2536" t="str">
        <f t="shared" si="279"/>
        <v>15</v>
      </c>
    </row>
    <row r="2537" spans="1:9" x14ac:dyDescent="0.25">
      <c r="A2537" s="19">
        <v>42763</v>
      </c>
      <c r="B2537" s="20">
        <v>0.97222222222222221</v>
      </c>
      <c r="C2537" t="str">
        <f t="shared" si="273"/>
        <v>17</v>
      </c>
      <c r="D2537" t="str">
        <f t="shared" si="274"/>
        <v>01</v>
      </c>
      <c r="E2537" t="str">
        <f t="shared" si="275"/>
        <v>28</v>
      </c>
      <c r="F2537">
        <f t="shared" si="276"/>
        <v>2017</v>
      </c>
      <c r="G2537">
        <f t="shared" si="277"/>
        <v>1</v>
      </c>
      <c r="H2537">
        <f t="shared" si="278"/>
        <v>28</v>
      </c>
      <c r="I2537" t="str">
        <f t="shared" si="279"/>
        <v>17</v>
      </c>
    </row>
    <row r="2538" spans="1:9" x14ac:dyDescent="0.25">
      <c r="A2538" s="19">
        <v>41662</v>
      </c>
      <c r="B2538" s="20">
        <v>2.2916666666666665E-2</v>
      </c>
      <c r="C2538" t="str">
        <f t="shared" si="273"/>
        <v>14</v>
      </c>
      <c r="D2538" t="str">
        <f t="shared" si="274"/>
        <v>01</v>
      </c>
      <c r="E2538" t="str">
        <f t="shared" si="275"/>
        <v>23</v>
      </c>
      <c r="F2538">
        <f t="shared" si="276"/>
        <v>2014</v>
      </c>
      <c r="G2538">
        <f t="shared" si="277"/>
        <v>1</v>
      </c>
      <c r="H2538">
        <f t="shared" si="278"/>
        <v>23</v>
      </c>
      <c r="I2538" t="str">
        <f t="shared" si="279"/>
        <v>14</v>
      </c>
    </row>
    <row r="2539" spans="1:9" x14ac:dyDescent="0.25">
      <c r="A2539" s="19">
        <v>42476</v>
      </c>
      <c r="B2539" s="20">
        <v>0.97499999999999998</v>
      </c>
      <c r="C2539" t="str">
        <f t="shared" si="273"/>
        <v>16</v>
      </c>
      <c r="D2539" t="str">
        <f t="shared" si="274"/>
        <v>04</v>
      </c>
      <c r="E2539" t="str">
        <f t="shared" si="275"/>
        <v>16</v>
      </c>
      <c r="F2539">
        <f t="shared" si="276"/>
        <v>2016</v>
      </c>
      <c r="G2539">
        <f t="shared" si="277"/>
        <v>4</v>
      </c>
      <c r="H2539">
        <f t="shared" si="278"/>
        <v>16</v>
      </c>
      <c r="I2539" t="str">
        <f t="shared" si="279"/>
        <v>16</v>
      </c>
    </row>
    <row r="2540" spans="1:9" x14ac:dyDescent="0.25">
      <c r="A2540" s="19">
        <v>41804</v>
      </c>
      <c r="B2540" s="20">
        <v>0.98958333333333337</v>
      </c>
      <c r="C2540" t="str">
        <f t="shared" si="273"/>
        <v>14</v>
      </c>
      <c r="D2540" t="str">
        <f t="shared" si="274"/>
        <v>06</v>
      </c>
      <c r="E2540" t="str">
        <f t="shared" si="275"/>
        <v>14</v>
      </c>
      <c r="F2540">
        <f t="shared" si="276"/>
        <v>2014</v>
      </c>
      <c r="G2540">
        <f t="shared" si="277"/>
        <v>6</v>
      </c>
      <c r="H2540">
        <f t="shared" si="278"/>
        <v>14</v>
      </c>
      <c r="I2540" t="str">
        <f t="shared" si="279"/>
        <v>14</v>
      </c>
    </row>
    <row r="2541" spans="1:9" x14ac:dyDescent="0.25">
      <c r="A2541" s="19">
        <v>42055</v>
      </c>
      <c r="B2541" s="20">
        <v>8.1944444444444445E-2</v>
      </c>
      <c r="C2541" t="str">
        <f t="shared" si="273"/>
        <v>15</v>
      </c>
      <c r="D2541" t="str">
        <f t="shared" si="274"/>
        <v>02</v>
      </c>
      <c r="E2541" t="str">
        <f t="shared" si="275"/>
        <v>20</v>
      </c>
      <c r="F2541">
        <f t="shared" si="276"/>
        <v>2015</v>
      </c>
      <c r="G2541">
        <f t="shared" si="277"/>
        <v>2</v>
      </c>
      <c r="H2541">
        <f t="shared" si="278"/>
        <v>20</v>
      </c>
      <c r="I2541" t="str">
        <f t="shared" si="279"/>
        <v>15</v>
      </c>
    </row>
    <row r="2542" spans="1:9" x14ac:dyDescent="0.25">
      <c r="A2542" s="19">
        <v>42210</v>
      </c>
      <c r="B2542" s="20">
        <v>2.013888888888889E-2</v>
      </c>
      <c r="C2542" t="str">
        <f t="shared" si="273"/>
        <v>15</v>
      </c>
      <c r="D2542" t="str">
        <f t="shared" si="274"/>
        <v>07</v>
      </c>
      <c r="E2542" t="str">
        <f t="shared" si="275"/>
        <v>25</v>
      </c>
      <c r="F2542">
        <f t="shared" si="276"/>
        <v>2015</v>
      </c>
      <c r="G2542">
        <f t="shared" si="277"/>
        <v>7</v>
      </c>
      <c r="H2542">
        <f t="shared" si="278"/>
        <v>25</v>
      </c>
      <c r="I2542" t="str">
        <f t="shared" si="279"/>
        <v>15</v>
      </c>
    </row>
    <row r="2543" spans="1:9" x14ac:dyDescent="0.25">
      <c r="A2543" s="19">
        <v>42251</v>
      </c>
      <c r="B2543" s="20">
        <v>1.7361111111111112E-2</v>
      </c>
      <c r="C2543" t="str">
        <f t="shared" si="273"/>
        <v>15</v>
      </c>
      <c r="D2543" t="str">
        <f t="shared" si="274"/>
        <v>09</v>
      </c>
      <c r="E2543" t="str">
        <f t="shared" si="275"/>
        <v>04</v>
      </c>
      <c r="F2543">
        <f t="shared" si="276"/>
        <v>2015</v>
      </c>
      <c r="G2543">
        <f t="shared" si="277"/>
        <v>9</v>
      </c>
      <c r="H2543">
        <f t="shared" si="278"/>
        <v>4</v>
      </c>
      <c r="I2543" t="str">
        <f t="shared" si="279"/>
        <v>15</v>
      </c>
    </row>
    <row r="2544" spans="1:9" x14ac:dyDescent="0.25">
      <c r="A2544" s="19">
        <v>41768</v>
      </c>
      <c r="B2544" s="20">
        <v>3.3333333333333333E-2</v>
      </c>
      <c r="C2544" t="str">
        <f t="shared" si="273"/>
        <v>14</v>
      </c>
      <c r="D2544" t="str">
        <f t="shared" si="274"/>
        <v>05</v>
      </c>
      <c r="E2544" t="str">
        <f t="shared" si="275"/>
        <v>09</v>
      </c>
      <c r="F2544">
        <f t="shared" si="276"/>
        <v>2014</v>
      </c>
      <c r="G2544">
        <f t="shared" si="277"/>
        <v>5</v>
      </c>
      <c r="H2544">
        <f t="shared" si="278"/>
        <v>9</v>
      </c>
      <c r="I2544" t="str">
        <f t="shared" si="279"/>
        <v>14</v>
      </c>
    </row>
    <row r="2545" spans="1:9" x14ac:dyDescent="0.25">
      <c r="A2545" s="19">
        <v>41427</v>
      </c>
      <c r="B2545" s="20">
        <v>7.7777777777777779E-2</v>
      </c>
      <c r="C2545" t="str">
        <f t="shared" si="273"/>
        <v>13</v>
      </c>
      <c r="D2545" t="str">
        <f t="shared" si="274"/>
        <v>06</v>
      </c>
      <c r="E2545" t="str">
        <f t="shared" si="275"/>
        <v>02</v>
      </c>
      <c r="F2545">
        <f t="shared" si="276"/>
        <v>2013</v>
      </c>
      <c r="G2545">
        <f t="shared" si="277"/>
        <v>6</v>
      </c>
      <c r="H2545">
        <f t="shared" si="278"/>
        <v>2</v>
      </c>
      <c r="I2545" t="str">
        <f t="shared" si="279"/>
        <v>13</v>
      </c>
    </row>
    <row r="2546" spans="1:9" x14ac:dyDescent="0.25">
      <c r="A2546" s="19">
        <v>42263</v>
      </c>
      <c r="B2546" s="20">
        <v>1.1805555555555555E-2</v>
      </c>
      <c r="C2546" t="str">
        <f t="shared" si="273"/>
        <v>15</v>
      </c>
      <c r="D2546" t="str">
        <f t="shared" si="274"/>
        <v>09</v>
      </c>
      <c r="E2546" t="str">
        <f t="shared" si="275"/>
        <v>16</v>
      </c>
      <c r="F2546">
        <f t="shared" si="276"/>
        <v>2015</v>
      </c>
      <c r="G2546">
        <f t="shared" si="277"/>
        <v>9</v>
      </c>
      <c r="H2546">
        <f t="shared" si="278"/>
        <v>16</v>
      </c>
      <c r="I2546" t="str">
        <f t="shared" si="279"/>
        <v>15</v>
      </c>
    </row>
    <row r="2547" spans="1:9" x14ac:dyDescent="0.25">
      <c r="A2547" s="19">
        <v>41430</v>
      </c>
      <c r="B2547" s="20">
        <v>7.4305555555555555E-2</v>
      </c>
      <c r="C2547" t="str">
        <f t="shared" si="273"/>
        <v>13</v>
      </c>
      <c r="D2547" t="str">
        <f t="shared" si="274"/>
        <v>06</v>
      </c>
      <c r="E2547" t="str">
        <f t="shared" si="275"/>
        <v>05</v>
      </c>
      <c r="F2547">
        <f t="shared" si="276"/>
        <v>2013</v>
      </c>
      <c r="G2547">
        <f t="shared" si="277"/>
        <v>6</v>
      </c>
      <c r="H2547">
        <f t="shared" si="278"/>
        <v>5</v>
      </c>
      <c r="I2547" t="str">
        <f t="shared" si="279"/>
        <v>13</v>
      </c>
    </row>
    <row r="2548" spans="1:9" x14ac:dyDescent="0.25">
      <c r="A2548" s="19">
        <v>42055</v>
      </c>
      <c r="B2548" s="20">
        <v>1.8055555555555554E-2</v>
      </c>
      <c r="C2548" t="str">
        <f t="shared" si="273"/>
        <v>15</v>
      </c>
      <c r="D2548" t="str">
        <f t="shared" si="274"/>
        <v>02</v>
      </c>
      <c r="E2548" t="str">
        <f t="shared" si="275"/>
        <v>20</v>
      </c>
      <c r="F2548">
        <f t="shared" si="276"/>
        <v>2015</v>
      </c>
      <c r="G2548">
        <f t="shared" si="277"/>
        <v>2</v>
      </c>
      <c r="H2548">
        <f t="shared" si="278"/>
        <v>20</v>
      </c>
      <c r="I2548" t="str">
        <f t="shared" si="279"/>
        <v>15</v>
      </c>
    </row>
    <row r="2549" spans="1:9" x14ac:dyDescent="0.25">
      <c r="A2549" s="19">
        <v>41359</v>
      </c>
      <c r="B2549" s="20">
        <v>4.027777777777778E-2</v>
      </c>
      <c r="C2549" t="str">
        <f t="shared" si="273"/>
        <v>13</v>
      </c>
      <c r="D2549" t="str">
        <f t="shared" si="274"/>
        <v>03</v>
      </c>
      <c r="E2549" t="str">
        <f t="shared" si="275"/>
        <v>26</v>
      </c>
      <c r="F2549">
        <f t="shared" si="276"/>
        <v>2013</v>
      </c>
      <c r="G2549">
        <f t="shared" si="277"/>
        <v>3</v>
      </c>
      <c r="H2549">
        <f t="shared" si="278"/>
        <v>26</v>
      </c>
      <c r="I2549" t="str">
        <f t="shared" si="279"/>
        <v>13</v>
      </c>
    </row>
    <row r="2550" spans="1:9" x14ac:dyDescent="0.25">
      <c r="A2550" s="19">
        <v>41852</v>
      </c>
      <c r="B2550" s="20">
        <v>4.4444444444444446E-2</v>
      </c>
      <c r="C2550" t="str">
        <f t="shared" si="273"/>
        <v>14</v>
      </c>
      <c r="D2550" t="str">
        <f t="shared" si="274"/>
        <v>08</v>
      </c>
      <c r="E2550" t="str">
        <f t="shared" si="275"/>
        <v>01</v>
      </c>
      <c r="F2550">
        <f t="shared" si="276"/>
        <v>2014</v>
      </c>
      <c r="G2550">
        <f t="shared" si="277"/>
        <v>8</v>
      </c>
      <c r="H2550">
        <f t="shared" si="278"/>
        <v>1</v>
      </c>
      <c r="I2550" t="str">
        <f t="shared" si="279"/>
        <v>14</v>
      </c>
    </row>
    <row r="2551" spans="1:9" x14ac:dyDescent="0.25">
      <c r="A2551" s="19">
        <v>42275</v>
      </c>
      <c r="B2551" s="20">
        <v>0.98055555555555551</v>
      </c>
      <c r="C2551" t="str">
        <f t="shared" si="273"/>
        <v>15</v>
      </c>
      <c r="D2551" t="str">
        <f t="shared" si="274"/>
        <v>09</v>
      </c>
      <c r="E2551" t="str">
        <f t="shared" si="275"/>
        <v>28</v>
      </c>
      <c r="F2551">
        <f t="shared" si="276"/>
        <v>2015</v>
      </c>
      <c r="G2551">
        <f t="shared" si="277"/>
        <v>9</v>
      </c>
      <c r="H2551">
        <f t="shared" si="278"/>
        <v>28</v>
      </c>
      <c r="I2551" t="str">
        <f t="shared" si="279"/>
        <v>15</v>
      </c>
    </row>
    <row r="2552" spans="1:9" x14ac:dyDescent="0.25">
      <c r="A2552" s="19">
        <v>42637</v>
      </c>
      <c r="B2552" s="20">
        <v>0.9604166666666667</v>
      </c>
      <c r="C2552" t="str">
        <f t="shared" si="273"/>
        <v>16</v>
      </c>
      <c r="D2552" t="str">
        <f t="shared" si="274"/>
        <v>09</v>
      </c>
      <c r="E2552" t="str">
        <f t="shared" si="275"/>
        <v>24</v>
      </c>
      <c r="F2552">
        <f t="shared" si="276"/>
        <v>2016</v>
      </c>
      <c r="G2552">
        <f t="shared" si="277"/>
        <v>9</v>
      </c>
      <c r="H2552">
        <f t="shared" si="278"/>
        <v>24</v>
      </c>
      <c r="I2552" t="str">
        <f t="shared" si="279"/>
        <v>16</v>
      </c>
    </row>
    <row r="2553" spans="1:9" x14ac:dyDescent="0.25">
      <c r="A2553" s="19">
        <v>42026</v>
      </c>
      <c r="B2553" s="20">
        <v>0.97013888888888888</v>
      </c>
      <c r="C2553" t="str">
        <f t="shared" si="273"/>
        <v>15</v>
      </c>
      <c r="D2553" t="str">
        <f t="shared" si="274"/>
        <v>01</v>
      </c>
      <c r="E2553" t="str">
        <f t="shared" si="275"/>
        <v>22</v>
      </c>
      <c r="F2553">
        <f t="shared" si="276"/>
        <v>2015</v>
      </c>
      <c r="G2553">
        <f t="shared" si="277"/>
        <v>1</v>
      </c>
      <c r="H2553">
        <f t="shared" si="278"/>
        <v>22</v>
      </c>
      <c r="I2553" t="str">
        <f t="shared" si="279"/>
        <v>15</v>
      </c>
    </row>
    <row r="2554" spans="1:9" x14ac:dyDescent="0.25">
      <c r="A2554" s="19">
        <v>41051</v>
      </c>
      <c r="B2554" s="20">
        <v>0.99722222222222223</v>
      </c>
      <c r="C2554" t="str">
        <f t="shared" si="273"/>
        <v>12</v>
      </c>
      <c r="D2554" t="str">
        <f t="shared" si="274"/>
        <v>05</v>
      </c>
      <c r="E2554" t="str">
        <f t="shared" si="275"/>
        <v>22</v>
      </c>
      <c r="F2554">
        <f t="shared" si="276"/>
        <v>2012</v>
      </c>
      <c r="G2554">
        <f t="shared" si="277"/>
        <v>5</v>
      </c>
      <c r="H2554">
        <f t="shared" si="278"/>
        <v>22</v>
      </c>
      <c r="I2554" t="str">
        <f t="shared" si="279"/>
        <v>12</v>
      </c>
    </row>
    <row r="2555" spans="1:9" x14ac:dyDescent="0.25">
      <c r="A2555" s="19">
        <v>42039</v>
      </c>
      <c r="B2555" s="20">
        <v>3.4722222222222224E-2</v>
      </c>
      <c r="C2555" t="str">
        <f t="shared" si="273"/>
        <v>15</v>
      </c>
      <c r="D2555" t="str">
        <f t="shared" si="274"/>
        <v>02</v>
      </c>
      <c r="E2555" t="str">
        <f t="shared" si="275"/>
        <v>04</v>
      </c>
      <c r="F2555">
        <f t="shared" si="276"/>
        <v>2015</v>
      </c>
      <c r="G2555">
        <f t="shared" si="277"/>
        <v>2</v>
      </c>
      <c r="H2555">
        <f t="shared" si="278"/>
        <v>4</v>
      </c>
      <c r="I2555" t="str">
        <f t="shared" si="279"/>
        <v>15</v>
      </c>
    </row>
    <row r="2556" spans="1:9" x14ac:dyDescent="0.25">
      <c r="A2556" s="19">
        <v>41370</v>
      </c>
      <c r="B2556" s="20">
        <v>0.97638888888888886</v>
      </c>
      <c r="C2556" t="str">
        <f t="shared" si="273"/>
        <v>13</v>
      </c>
      <c r="D2556" t="str">
        <f t="shared" si="274"/>
        <v>04</v>
      </c>
      <c r="E2556" t="str">
        <f t="shared" si="275"/>
        <v>06</v>
      </c>
      <c r="F2556">
        <f t="shared" si="276"/>
        <v>2013</v>
      </c>
      <c r="G2556">
        <f t="shared" si="277"/>
        <v>4</v>
      </c>
      <c r="H2556">
        <f t="shared" si="278"/>
        <v>6</v>
      </c>
      <c r="I2556" t="str">
        <f t="shared" si="279"/>
        <v>13</v>
      </c>
    </row>
    <row r="2557" spans="1:9" x14ac:dyDescent="0.25">
      <c r="A2557" s="19">
        <v>42032</v>
      </c>
      <c r="B2557" s="20">
        <v>3.0555555555555555E-2</v>
      </c>
      <c r="C2557" t="str">
        <f t="shared" si="273"/>
        <v>15</v>
      </c>
      <c r="D2557" t="str">
        <f t="shared" si="274"/>
        <v>01</v>
      </c>
      <c r="E2557" t="str">
        <f t="shared" si="275"/>
        <v>28</v>
      </c>
      <c r="F2557">
        <f t="shared" si="276"/>
        <v>2015</v>
      </c>
      <c r="G2557">
        <f t="shared" si="277"/>
        <v>1</v>
      </c>
      <c r="H2557">
        <f t="shared" si="278"/>
        <v>28</v>
      </c>
      <c r="I2557" t="str">
        <f t="shared" si="279"/>
        <v>15</v>
      </c>
    </row>
    <row r="2558" spans="1:9" x14ac:dyDescent="0.25">
      <c r="A2558" s="19">
        <v>41425</v>
      </c>
      <c r="B2558" s="20">
        <v>7.0833333333333331E-2</v>
      </c>
      <c r="C2558" t="str">
        <f t="shared" si="273"/>
        <v>13</v>
      </c>
      <c r="D2558" t="str">
        <f t="shared" si="274"/>
        <v>05</v>
      </c>
      <c r="E2558" t="str">
        <f t="shared" si="275"/>
        <v>31</v>
      </c>
      <c r="F2558">
        <f t="shared" si="276"/>
        <v>2013</v>
      </c>
      <c r="G2558">
        <f t="shared" si="277"/>
        <v>5</v>
      </c>
      <c r="H2558">
        <f t="shared" si="278"/>
        <v>31</v>
      </c>
      <c r="I2558" t="str">
        <f t="shared" si="279"/>
        <v>13</v>
      </c>
    </row>
    <row r="2559" spans="1:9" x14ac:dyDescent="0.25">
      <c r="A2559" s="19">
        <v>41828</v>
      </c>
      <c r="B2559" s="20">
        <v>4.0972222222222222E-2</v>
      </c>
      <c r="C2559" t="str">
        <f t="shared" si="273"/>
        <v>14</v>
      </c>
      <c r="D2559" t="str">
        <f t="shared" si="274"/>
        <v>07</v>
      </c>
      <c r="E2559" t="str">
        <f t="shared" si="275"/>
        <v>08</v>
      </c>
      <c r="F2559">
        <f t="shared" si="276"/>
        <v>2014</v>
      </c>
      <c r="G2559">
        <f t="shared" si="277"/>
        <v>7</v>
      </c>
      <c r="H2559">
        <f t="shared" si="278"/>
        <v>8</v>
      </c>
      <c r="I2559" t="str">
        <f t="shared" si="279"/>
        <v>14</v>
      </c>
    </row>
    <row r="2560" spans="1:9" x14ac:dyDescent="0.25">
      <c r="A2560" s="19">
        <v>42065</v>
      </c>
      <c r="B2560" s="20">
        <v>0</v>
      </c>
      <c r="C2560" t="str">
        <f t="shared" si="273"/>
        <v>15</v>
      </c>
      <c r="D2560" t="str">
        <f t="shared" si="274"/>
        <v>03</v>
      </c>
      <c r="E2560" t="str">
        <f t="shared" si="275"/>
        <v>02</v>
      </c>
      <c r="F2560">
        <f t="shared" si="276"/>
        <v>2015</v>
      </c>
      <c r="G2560">
        <f t="shared" si="277"/>
        <v>3</v>
      </c>
      <c r="H2560">
        <f t="shared" si="278"/>
        <v>2</v>
      </c>
      <c r="I2560" t="str">
        <f t="shared" si="279"/>
        <v>15</v>
      </c>
    </row>
    <row r="2561" spans="1:9" x14ac:dyDescent="0.25">
      <c r="A2561" s="19">
        <v>41535</v>
      </c>
      <c r="B2561" s="20">
        <v>3.0555555555555555E-2</v>
      </c>
      <c r="C2561" t="str">
        <f t="shared" si="273"/>
        <v>13</v>
      </c>
      <c r="D2561" t="str">
        <f t="shared" si="274"/>
        <v>09</v>
      </c>
      <c r="E2561" t="str">
        <f t="shared" si="275"/>
        <v>18</v>
      </c>
      <c r="F2561">
        <f t="shared" si="276"/>
        <v>2013</v>
      </c>
      <c r="G2561">
        <f t="shared" si="277"/>
        <v>9</v>
      </c>
      <c r="H2561">
        <f t="shared" si="278"/>
        <v>18</v>
      </c>
      <c r="I2561" t="str">
        <f t="shared" si="279"/>
        <v>13</v>
      </c>
    </row>
    <row r="2562" spans="1:9" x14ac:dyDescent="0.25">
      <c r="A2562" s="19">
        <v>42162</v>
      </c>
      <c r="B2562" s="20">
        <v>5.7638888888888892E-2</v>
      </c>
      <c r="C2562" t="str">
        <f t="shared" si="273"/>
        <v>15</v>
      </c>
      <c r="D2562" t="str">
        <f t="shared" si="274"/>
        <v>06</v>
      </c>
      <c r="E2562" t="str">
        <f t="shared" si="275"/>
        <v>07</v>
      </c>
      <c r="F2562">
        <f t="shared" si="276"/>
        <v>2015</v>
      </c>
      <c r="G2562">
        <f t="shared" si="277"/>
        <v>6</v>
      </c>
      <c r="H2562">
        <f t="shared" si="278"/>
        <v>7</v>
      </c>
      <c r="I2562" t="str">
        <f t="shared" si="279"/>
        <v>15</v>
      </c>
    </row>
    <row r="2563" spans="1:9" x14ac:dyDescent="0.25">
      <c r="A2563" s="19">
        <v>41549</v>
      </c>
      <c r="B2563" s="20">
        <v>7.3611111111111113E-2</v>
      </c>
      <c r="C2563" t="str">
        <f t="shared" ref="C2563:C2626" si="280">TEXT(A2563,"YY")</f>
        <v>13</v>
      </c>
      <c r="D2563" t="str">
        <f t="shared" ref="D2563:D2626" si="281">TEXT(A2563,"mm")</f>
        <v>10</v>
      </c>
      <c r="E2563" t="str">
        <f t="shared" ref="E2563:E2626" si="282">TEXT(A2563,"dd")</f>
        <v>02</v>
      </c>
      <c r="F2563">
        <f t="shared" ref="F2563:F2626" si="283">YEAR($A2563)</f>
        <v>2013</v>
      </c>
      <c r="G2563">
        <f t="shared" ref="G2563:G2626" si="284">MONTH($A2563)</f>
        <v>10</v>
      </c>
      <c r="H2563">
        <f t="shared" ref="H2563:H2626" si="285">DAY($A2563)</f>
        <v>2</v>
      </c>
      <c r="I2563" t="str">
        <f t="shared" ref="I2563:I2626" si="286">TEXT($A2563,"YY")</f>
        <v>13</v>
      </c>
    </row>
    <row r="2564" spans="1:9" x14ac:dyDescent="0.25">
      <c r="A2564" s="19">
        <v>41994</v>
      </c>
      <c r="B2564" s="20">
        <v>0.94791666666666663</v>
      </c>
      <c r="C2564" t="str">
        <f t="shared" si="280"/>
        <v>14</v>
      </c>
      <c r="D2564" t="str">
        <f t="shared" si="281"/>
        <v>12</v>
      </c>
      <c r="E2564" t="str">
        <f t="shared" si="282"/>
        <v>21</v>
      </c>
      <c r="F2564">
        <f t="shared" si="283"/>
        <v>2014</v>
      </c>
      <c r="G2564">
        <f t="shared" si="284"/>
        <v>12</v>
      </c>
      <c r="H2564">
        <f t="shared" si="285"/>
        <v>21</v>
      </c>
      <c r="I2564" t="str">
        <f t="shared" si="286"/>
        <v>14</v>
      </c>
    </row>
    <row r="2565" spans="1:9" x14ac:dyDescent="0.25">
      <c r="A2565" s="19">
        <v>41465</v>
      </c>
      <c r="B2565" s="20">
        <v>0.96111111111111114</v>
      </c>
      <c r="C2565" t="str">
        <f t="shared" si="280"/>
        <v>13</v>
      </c>
      <c r="D2565" t="str">
        <f t="shared" si="281"/>
        <v>07</v>
      </c>
      <c r="E2565" t="str">
        <f t="shared" si="282"/>
        <v>10</v>
      </c>
      <c r="F2565">
        <f t="shared" si="283"/>
        <v>2013</v>
      </c>
      <c r="G2565">
        <f t="shared" si="284"/>
        <v>7</v>
      </c>
      <c r="H2565">
        <f t="shared" si="285"/>
        <v>10</v>
      </c>
      <c r="I2565" t="str">
        <f t="shared" si="286"/>
        <v>13</v>
      </c>
    </row>
    <row r="2566" spans="1:9" x14ac:dyDescent="0.25">
      <c r="A2566" s="19">
        <v>41332</v>
      </c>
      <c r="B2566" s="20">
        <v>1.5972222222222221E-2</v>
      </c>
      <c r="C2566" t="str">
        <f t="shared" si="280"/>
        <v>13</v>
      </c>
      <c r="D2566" t="str">
        <f t="shared" si="281"/>
        <v>02</v>
      </c>
      <c r="E2566" t="str">
        <f t="shared" si="282"/>
        <v>27</v>
      </c>
      <c r="F2566">
        <f t="shared" si="283"/>
        <v>2013</v>
      </c>
      <c r="G2566">
        <f t="shared" si="284"/>
        <v>2</v>
      </c>
      <c r="H2566">
        <f t="shared" si="285"/>
        <v>27</v>
      </c>
      <c r="I2566" t="str">
        <f t="shared" si="286"/>
        <v>13</v>
      </c>
    </row>
    <row r="2567" spans="1:9" x14ac:dyDescent="0.25">
      <c r="A2567" s="19">
        <v>41669</v>
      </c>
      <c r="B2567" s="20">
        <v>0.97013888888888888</v>
      </c>
      <c r="C2567" t="str">
        <f t="shared" si="280"/>
        <v>14</v>
      </c>
      <c r="D2567" t="str">
        <f t="shared" si="281"/>
        <v>01</v>
      </c>
      <c r="E2567" t="str">
        <f t="shared" si="282"/>
        <v>30</v>
      </c>
      <c r="F2567">
        <f t="shared" si="283"/>
        <v>2014</v>
      </c>
      <c r="G2567">
        <f t="shared" si="284"/>
        <v>1</v>
      </c>
      <c r="H2567">
        <f t="shared" si="285"/>
        <v>30</v>
      </c>
      <c r="I2567" t="str">
        <f t="shared" si="286"/>
        <v>14</v>
      </c>
    </row>
    <row r="2568" spans="1:9" x14ac:dyDescent="0.25">
      <c r="A2568" s="19">
        <v>41498</v>
      </c>
      <c r="B2568" s="20">
        <v>2.9861111111111113E-2</v>
      </c>
      <c r="C2568" t="str">
        <f t="shared" si="280"/>
        <v>13</v>
      </c>
      <c r="D2568" t="str">
        <f t="shared" si="281"/>
        <v>08</v>
      </c>
      <c r="E2568" t="str">
        <f t="shared" si="282"/>
        <v>12</v>
      </c>
      <c r="F2568">
        <f t="shared" si="283"/>
        <v>2013</v>
      </c>
      <c r="G2568">
        <f t="shared" si="284"/>
        <v>8</v>
      </c>
      <c r="H2568">
        <f t="shared" si="285"/>
        <v>12</v>
      </c>
      <c r="I2568" t="str">
        <f t="shared" si="286"/>
        <v>13</v>
      </c>
    </row>
    <row r="2569" spans="1:9" x14ac:dyDescent="0.25">
      <c r="A2569" s="19">
        <v>42067</v>
      </c>
      <c r="B2569" s="20">
        <v>0.98055555555555551</v>
      </c>
      <c r="C2569" t="str">
        <f t="shared" si="280"/>
        <v>15</v>
      </c>
      <c r="D2569" t="str">
        <f t="shared" si="281"/>
        <v>03</v>
      </c>
      <c r="E2569" t="str">
        <f t="shared" si="282"/>
        <v>04</v>
      </c>
      <c r="F2569">
        <f t="shared" si="283"/>
        <v>2015</v>
      </c>
      <c r="G2569">
        <f t="shared" si="284"/>
        <v>3</v>
      </c>
      <c r="H2569">
        <f t="shared" si="285"/>
        <v>4</v>
      </c>
      <c r="I2569" t="str">
        <f t="shared" si="286"/>
        <v>15</v>
      </c>
    </row>
    <row r="2570" spans="1:9" x14ac:dyDescent="0.25">
      <c r="A2570" s="19">
        <v>41862</v>
      </c>
      <c r="B2570" s="20">
        <v>0.95486111111111116</v>
      </c>
      <c r="C2570" t="str">
        <f t="shared" si="280"/>
        <v>14</v>
      </c>
      <c r="D2570" t="str">
        <f t="shared" si="281"/>
        <v>08</v>
      </c>
      <c r="E2570" t="str">
        <f t="shared" si="282"/>
        <v>11</v>
      </c>
      <c r="F2570">
        <f t="shared" si="283"/>
        <v>2014</v>
      </c>
      <c r="G2570">
        <f t="shared" si="284"/>
        <v>8</v>
      </c>
      <c r="H2570">
        <f t="shared" si="285"/>
        <v>11</v>
      </c>
      <c r="I2570" t="str">
        <f t="shared" si="286"/>
        <v>14</v>
      </c>
    </row>
    <row r="2571" spans="1:9" x14ac:dyDescent="0.25">
      <c r="A2571" s="19">
        <v>41826</v>
      </c>
      <c r="B2571" s="20">
        <v>0.9819444444444444</v>
      </c>
      <c r="C2571" t="str">
        <f t="shared" si="280"/>
        <v>14</v>
      </c>
      <c r="D2571" t="str">
        <f t="shared" si="281"/>
        <v>07</v>
      </c>
      <c r="E2571" t="str">
        <f t="shared" si="282"/>
        <v>06</v>
      </c>
      <c r="F2571">
        <f t="shared" si="283"/>
        <v>2014</v>
      </c>
      <c r="G2571">
        <f t="shared" si="284"/>
        <v>7</v>
      </c>
      <c r="H2571">
        <f t="shared" si="285"/>
        <v>6</v>
      </c>
      <c r="I2571" t="str">
        <f t="shared" si="286"/>
        <v>14</v>
      </c>
    </row>
    <row r="2572" spans="1:9" x14ac:dyDescent="0.25">
      <c r="A2572" s="19">
        <v>41039</v>
      </c>
      <c r="B2572" s="20">
        <v>0.05</v>
      </c>
      <c r="C2572" t="str">
        <f t="shared" si="280"/>
        <v>12</v>
      </c>
      <c r="D2572" t="str">
        <f t="shared" si="281"/>
        <v>05</v>
      </c>
      <c r="E2572" t="str">
        <f t="shared" si="282"/>
        <v>10</v>
      </c>
      <c r="F2572">
        <f t="shared" si="283"/>
        <v>2012</v>
      </c>
      <c r="G2572">
        <f t="shared" si="284"/>
        <v>5</v>
      </c>
      <c r="H2572">
        <f t="shared" si="285"/>
        <v>10</v>
      </c>
      <c r="I2572" t="str">
        <f t="shared" si="286"/>
        <v>12</v>
      </c>
    </row>
    <row r="2573" spans="1:9" x14ac:dyDescent="0.25">
      <c r="A2573" s="19">
        <v>42097</v>
      </c>
      <c r="B2573" s="20">
        <v>2.0833333333333333E-3</v>
      </c>
      <c r="C2573" t="str">
        <f t="shared" si="280"/>
        <v>15</v>
      </c>
      <c r="D2573" t="str">
        <f t="shared" si="281"/>
        <v>04</v>
      </c>
      <c r="E2573" t="str">
        <f t="shared" si="282"/>
        <v>03</v>
      </c>
      <c r="F2573">
        <f t="shared" si="283"/>
        <v>2015</v>
      </c>
      <c r="G2573">
        <f t="shared" si="284"/>
        <v>4</v>
      </c>
      <c r="H2573">
        <f t="shared" si="285"/>
        <v>3</v>
      </c>
      <c r="I2573" t="str">
        <f t="shared" si="286"/>
        <v>15</v>
      </c>
    </row>
    <row r="2574" spans="1:9" x14ac:dyDescent="0.25">
      <c r="A2574" s="19">
        <v>42153</v>
      </c>
      <c r="B2574" s="20">
        <v>6.9444444444444448E-2</v>
      </c>
      <c r="C2574" t="str">
        <f t="shared" si="280"/>
        <v>15</v>
      </c>
      <c r="D2574" t="str">
        <f t="shared" si="281"/>
        <v>05</v>
      </c>
      <c r="E2574" t="str">
        <f t="shared" si="282"/>
        <v>29</v>
      </c>
      <c r="F2574">
        <f t="shared" si="283"/>
        <v>2015</v>
      </c>
      <c r="G2574">
        <f t="shared" si="284"/>
        <v>5</v>
      </c>
      <c r="H2574">
        <f t="shared" si="285"/>
        <v>29</v>
      </c>
      <c r="I2574" t="str">
        <f t="shared" si="286"/>
        <v>15</v>
      </c>
    </row>
    <row r="2575" spans="1:9" x14ac:dyDescent="0.25">
      <c r="A2575" s="19">
        <v>41314</v>
      </c>
      <c r="B2575" s="20">
        <v>2.6388888888888889E-2</v>
      </c>
      <c r="C2575" t="str">
        <f t="shared" si="280"/>
        <v>13</v>
      </c>
      <c r="D2575" t="str">
        <f t="shared" si="281"/>
        <v>02</v>
      </c>
      <c r="E2575" t="str">
        <f t="shared" si="282"/>
        <v>09</v>
      </c>
      <c r="F2575">
        <f t="shared" si="283"/>
        <v>2013</v>
      </c>
      <c r="G2575">
        <f t="shared" si="284"/>
        <v>2</v>
      </c>
      <c r="H2575">
        <f t="shared" si="285"/>
        <v>9</v>
      </c>
      <c r="I2575" t="str">
        <f t="shared" si="286"/>
        <v>13</v>
      </c>
    </row>
    <row r="2576" spans="1:9" x14ac:dyDescent="0.25">
      <c r="A2576" s="19">
        <v>41085</v>
      </c>
      <c r="B2576" s="20">
        <v>2.013888888888889E-2</v>
      </c>
      <c r="C2576" t="str">
        <f t="shared" si="280"/>
        <v>12</v>
      </c>
      <c r="D2576" t="str">
        <f t="shared" si="281"/>
        <v>06</v>
      </c>
      <c r="E2576" t="str">
        <f t="shared" si="282"/>
        <v>25</v>
      </c>
      <c r="F2576">
        <f t="shared" si="283"/>
        <v>2012</v>
      </c>
      <c r="G2576">
        <f t="shared" si="284"/>
        <v>6</v>
      </c>
      <c r="H2576">
        <f t="shared" si="285"/>
        <v>25</v>
      </c>
      <c r="I2576" t="str">
        <f t="shared" si="286"/>
        <v>12</v>
      </c>
    </row>
    <row r="2577" spans="1:9" x14ac:dyDescent="0.25">
      <c r="A2577" s="19">
        <v>42403</v>
      </c>
      <c r="B2577" s="20">
        <v>0.95763888888888893</v>
      </c>
      <c r="C2577" t="str">
        <f t="shared" si="280"/>
        <v>16</v>
      </c>
      <c r="D2577" t="str">
        <f t="shared" si="281"/>
        <v>02</v>
      </c>
      <c r="E2577" t="str">
        <f t="shared" si="282"/>
        <v>03</v>
      </c>
      <c r="F2577">
        <f t="shared" si="283"/>
        <v>2016</v>
      </c>
      <c r="G2577">
        <f t="shared" si="284"/>
        <v>2</v>
      </c>
      <c r="H2577">
        <f t="shared" si="285"/>
        <v>3</v>
      </c>
      <c r="I2577" t="str">
        <f t="shared" si="286"/>
        <v>16</v>
      </c>
    </row>
    <row r="2578" spans="1:9" x14ac:dyDescent="0.25">
      <c r="A2578" s="19">
        <v>42201</v>
      </c>
      <c r="B2578" s="20">
        <v>0.96180555555555558</v>
      </c>
      <c r="C2578" t="str">
        <f t="shared" si="280"/>
        <v>15</v>
      </c>
      <c r="D2578" t="str">
        <f t="shared" si="281"/>
        <v>07</v>
      </c>
      <c r="E2578" t="str">
        <f t="shared" si="282"/>
        <v>16</v>
      </c>
      <c r="F2578">
        <f t="shared" si="283"/>
        <v>2015</v>
      </c>
      <c r="G2578">
        <f t="shared" si="284"/>
        <v>7</v>
      </c>
      <c r="H2578">
        <f t="shared" si="285"/>
        <v>16</v>
      </c>
      <c r="I2578" t="str">
        <f t="shared" si="286"/>
        <v>15</v>
      </c>
    </row>
    <row r="2579" spans="1:9" x14ac:dyDescent="0.25">
      <c r="A2579" s="19">
        <v>41970</v>
      </c>
      <c r="B2579" s="20">
        <v>0.95833333333333337</v>
      </c>
      <c r="C2579" t="str">
        <f t="shared" si="280"/>
        <v>14</v>
      </c>
      <c r="D2579" t="str">
        <f t="shared" si="281"/>
        <v>11</v>
      </c>
      <c r="E2579" t="str">
        <f t="shared" si="282"/>
        <v>27</v>
      </c>
      <c r="F2579">
        <f t="shared" si="283"/>
        <v>2014</v>
      </c>
      <c r="G2579">
        <f t="shared" si="284"/>
        <v>11</v>
      </c>
      <c r="H2579">
        <f t="shared" si="285"/>
        <v>27</v>
      </c>
      <c r="I2579" t="str">
        <f t="shared" si="286"/>
        <v>14</v>
      </c>
    </row>
    <row r="2580" spans="1:9" x14ac:dyDescent="0.25">
      <c r="A2580" s="19">
        <v>42187</v>
      </c>
      <c r="B2580" s="20">
        <v>6.3888888888888884E-2</v>
      </c>
      <c r="C2580" t="str">
        <f t="shared" si="280"/>
        <v>15</v>
      </c>
      <c r="D2580" t="str">
        <f t="shared" si="281"/>
        <v>07</v>
      </c>
      <c r="E2580" t="str">
        <f t="shared" si="282"/>
        <v>02</v>
      </c>
      <c r="F2580">
        <f t="shared" si="283"/>
        <v>2015</v>
      </c>
      <c r="G2580">
        <f t="shared" si="284"/>
        <v>7</v>
      </c>
      <c r="H2580">
        <f t="shared" si="285"/>
        <v>2</v>
      </c>
      <c r="I2580" t="str">
        <f t="shared" si="286"/>
        <v>15</v>
      </c>
    </row>
    <row r="2581" spans="1:9" x14ac:dyDescent="0.25">
      <c r="A2581" s="19">
        <v>42651</v>
      </c>
      <c r="B2581" s="20">
        <v>6.9444444444444447E-4</v>
      </c>
      <c r="C2581" t="str">
        <f t="shared" si="280"/>
        <v>16</v>
      </c>
      <c r="D2581" t="str">
        <f t="shared" si="281"/>
        <v>10</v>
      </c>
      <c r="E2581" t="str">
        <f t="shared" si="282"/>
        <v>08</v>
      </c>
      <c r="F2581">
        <f t="shared" si="283"/>
        <v>2016</v>
      </c>
      <c r="G2581">
        <f t="shared" si="284"/>
        <v>10</v>
      </c>
      <c r="H2581">
        <f t="shared" si="285"/>
        <v>8</v>
      </c>
      <c r="I2581" t="str">
        <f t="shared" si="286"/>
        <v>16</v>
      </c>
    </row>
    <row r="2582" spans="1:9" x14ac:dyDescent="0.25">
      <c r="A2582" s="19">
        <v>41124</v>
      </c>
      <c r="B2582" s="20">
        <v>5.0694444444444445E-2</v>
      </c>
      <c r="C2582" t="str">
        <f t="shared" si="280"/>
        <v>12</v>
      </c>
      <c r="D2582" t="str">
        <f t="shared" si="281"/>
        <v>08</v>
      </c>
      <c r="E2582" t="str">
        <f t="shared" si="282"/>
        <v>03</v>
      </c>
      <c r="F2582">
        <f t="shared" si="283"/>
        <v>2012</v>
      </c>
      <c r="G2582">
        <f t="shared" si="284"/>
        <v>8</v>
      </c>
      <c r="H2582">
        <f t="shared" si="285"/>
        <v>3</v>
      </c>
      <c r="I2582" t="str">
        <f t="shared" si="286"/>
        <v>12</v>
      </c>
    </row>
    <row r="2583" spans="1:9" x14ac:dyDescent="0.25">
      <c r="A2583" s="19">
        <v>42555</v>
      </c>
      <c r="B2583" s="20">
        <v>0.99791666666666667</v>
      </c>
      <c r="C2583" t="str">
        <f t="shared" si="280"/>
        <v>16</v>
      </c>
      <c r="D2583" t="str">
        <f t="shared" si="281"/>
        <v>07</v>
      </c>
      <c r="E2583" t="str">
        <f t="shared" si="282"/>
        <v>04</v>
      </c>
      <c r="F2583">
        <f t="shared" si="283"/>
        <v>2016</v>
      </c>
      <c r="G2583">
        <f t="shared" si="284"/>
        <v>7</v>
      </c>
      <c r="H2583">
        <f t="shared" si="285"/>
        <v>4</v>
      </c>
      <c r="I2583" t="str">
        <f t="shared" si="286"/>
        <v>16</v>
      </c>
    </row>
    <row r="2584" spans="1:9" x14ac:dyDescent="0.25">
      <c r="A2584" s="19">
        <v>42655</v>
      </c>
      <c r="B2584" s="20">
        <v>1.8055555555555554E-2</v>
      </c>
      <c r="C2584" t="str">
        <f t="shared" si="280"/>
        <v>16</v>
      </c>
      <c r="D2584" t="str">
        <f t="shared" si="281"/>
        <v>10</v>
      </c>
      <c r="E2584" t="str">
        <f t="shared" si="282"/>
        <v>12</v>
      </c>
      <c r="F2584">
        <f t="shared" si="283"/>
        <v>2016</v>
      </c>
      <c r="G2584">
        <f t="shared" si="284"/>
        <v>10</v>
      </c>
      <c r="H2584">
        <f t="shared" si="285"/>
        <v>12</v>
      </c>
      <c r="I2584" t="str">
        <f t="shared" si="286"/>
        <v>16</v>
      </c>
    </row>
    <row r="2585" spans="1:9" x14ac:dyDescent="0.25">
      <c r="A2585" s="19">
        <v>41569</v>
      </c>
      <c r="B2585" s="20">
        <v>6.9444444444444441E-3</v>
      </c>
      <c r="C2585" t="str">
        <f t="shared" si="280"/>
        <v>13</v>
      </c>
      <c r="D2585" t="str">
        <f t="shared" si="281"/>
        <v>10</v>
      </c>
      <c r="E2585" t="str">
        <f t="shared" si="282"/>
        <v>22</v>
      </c>
      <c r="F2585">
        <f t="shared" si="283"/>
        <v>2013</v>
      </c>
      <c r="G2585">
        <f t="shared" si="284"/>
        <v>10</v>
      </c>
      <c r="H2585">
        <f t="shared" si="285"/>
        <v>22</v>
      </c>
      <c r="I2585" t="str">
        <f t="shared" si="286"/>
        <v>13</v>
      </c>
    </row>
    <row r="2586" spans="1:9" x14ac:dyDescent="0.25">
      <c r="A2586" s="19">
        <v>42691</v>
      </c>
      <c r="B2586" s="20">
        <v>6.9444444444444441E-3</v>
      </c>
      <c r="C2586" t="str">
        <f t="shared" si="280"/>
        <v>16</v>
      </c>
      <c r="D2586" t="str">
        <f t="shared" si="281"/>
        <v>11</v>
      </c>
      <c r="E2586" t="str">
        <f t="shared" si="282"/>
        <v>17</v>
      </c>
      <c r="F2586">
        <f t="shared" si="283"/>
        <v>2016</v>
      </c>
      <c r="G2586">
        <f t="shared" si="284"/>
        <v>11</v>
      </c>
      <c r="H2586">
        <f t="shared" si="285"/>
        <v>17</v>
      </c>
      <c r="I2586" t="str">
        <f t="shared" si="286"/>
        <v>16</v>
      </c>
    </row>
    <row r="2587" spans="1:9" x14ac:dyDescent="0.25">
      <c r="A2587" s="19">
        <v>41666</v>
      </c>
      <c r="B2587" s="20">
        <v>8.2638888888888887E-2</v>
      </c>
      <c r="C2587" t="str">
        <f t="shared" si="280"/>
        <v>14</v>
      </c>
      <c r="D2587" t="str">
        <f t="shared" si="281"/>
        <v>01</v>
      </c>
      <c r="E2587" t="str">
        <f t="shared" si="282"/>
        <v>27</v>
      </c>
      <c r="F2587">
        <f t="shared" si="283"/>
        <v>2014</v>
      </c>
      <c r="G2587">
        <f t="shared" si="284"/>
        <v>1</v>
      </c>
      <c r="H2587">
        <f t="shared" si="285"/>
        <v>27</v>
      </c>
      <c r="I2587" t="str">
        <f t="shared" si="286"/>
        <v>14</v>
      </c>
    </row>
    <row r="2588" spans="1:9" x14ac:dyDescent="0.25">
      <c r="A2588" s="19">
        <v>42135</v>
      </c>
      <c r="B2588" s="20">
        <v>0.97847222222222219</v>
      </c>
      <c r="C2588" t="str">
        <f t="shared" si="280"/>
        <v>15</v>
      </c>
      <c r="D2588" t="str">
        <f t="shared" si="281"/>
        <v>05</v>
      </c>
      <c r="E2588" t="str">
        <f t="shared" si="282"/>
        <v>11</v>
      </c>
      <c r="F2588">
        <f t="shared" si="283"/>
        <v>2015</v>
      </c>
      <c r="G2588">
        <f t="shared" si="284"/>
        <v>5</v>
      </c>
      <c r="H2588">
        <f t="shared" si="285"/>
        <v>11</v>
      </c>
      <c r="I2588" t="str">
        <f t="shared" si="286"/>
        <v>15</v>
      </c>
    </row>
    <row r="2589" spans="1:9" x14ac:dyDescent="0.25">
      <c r="A2589" s="19">
        <v>41721</v>
      </c>
      <c r="B2589" s="20">
        <v>0</v>
      </c>
      <c r="C2589" t="str">
        <f t="shared" si="280"/>
        <v>14</v>
      </c>
      <c r="D2589" t="str">
        <f t="shared" si="281"/>
        <v>03</v>
      </c>
      <c r="E2589" t="str">
        <f t="shared" si="282"/>
        <v>23</v>
      </c>
      <c r="F2589">
        <f t="shared" si="283"/>
        <v>2014</v>
      </c>
      <c r="G2589">
        <f t="shared" si="284"/>
        <v>3</v>
      </c>
      <c r="H2589">
        <f t="shared" si="285"/>
        <v>23</v>
      </c>
      <c r="I2589" t="str">
        <f t="shared" si="286"/>
        <v>14</v>
      </c>
    </row>
    <row r="2590" spans="1:9" x14ac:dyDescent="0.25">
      <c r="A2590" s="19">
        <v>41171</v>
      </c>
      <c r="B2590" s="20">
        <v>5.2777777777777778E-2</v>
      </c>
      <c r="C2590" t="str">
        <f t="shared" si="280"/>
        <v>12</v>
      </c>
      <c r="D2590" t="str">
        <f t="shared" si="281"/>
        <v>09</v>
      </c>
      <c r="E2590" t="str">
        <f t="shared" si="282"/>
        <v>19</v>
      </c>
      <c r="F2590">
        <f t="shared" si="283"/>
        <v>2012</v>
      </c>
      <c r="G2590">
        <f t="shared" si="284"/>
        <v>9</v>
      </c>
      <c r="H2590">
        <f t="shared" si="285"/>
        <v>19</v>
      </c>
      <c r="I2590" t="str">
        <f t="shared" si="286"/>
        <v>12</v>
      </c>
    </row>
    <row r="2591" spans="1:9" x14ac:dyDescent="0.25">
      <c r="A2591" s="19">
        <v>41288</v>
      </c>
      <c r="B2591" s="20">
        <v>0.99236111111111114</v>
      </c>
      <c r="C2591" t="str">
        <f t="shared" si="280"/>
        <v>13</v>
      </c>
      <c r="D2591" t="str">
        <f t="shared" si="281"/>
        <v>01</v>
      </c>
      <c r="E2591" t="str">
        <f t="shared" si="282"/>
        <v>14</v>
      </c>
      <c r="F2591">
        <f t="shared" si="283"/>
        <v>2013</v>
      </c>
      <c r="G2591">
        <f t="shared" si="284"/>
        <v>1</v>
      </c>
      <c r="H2591">
        <f t="shared" si="285"/>
        <v>14</v>
      </c>
      <c r="I2591" t="str">
        <f t="shared" si="286"/>
        <v>13</v>
      </c>
    </row>
    <row r="2592" spans="1:9" x14ac:dyDescent="0.25">
      <c r="A2592" s="19">
        <v>41885</v>
      </c>
      <c r="B2592" s="20">
        <v>0.95833333333333337</v>
      </c>
      <c r="C2592" t="str">
        <f t="shared" si="280"/>
        <v>14</v>
      </c>
      <c r="D2592" t="str">
        <f t="shared" si="281"/>
        <v>09</v>
      </c>
      <c r="E2592" t="str">
        <f t="shared" si="282"/>
        <v>03</v>
      </c>
      <c r="F2592">
        <f t="shared" si="283"/>
        <v>2014</v>
      </c>
      <c r="G2592">
        <f t="shared" si="284"/>
        <v>9</v>
      </c>
      <c r="H2592">
        <f t="shared" si="285"/>
        <v>3</v>
      </c>
      <c r="I2592" t="str">
        <f t="shared" si="286"/>
        <v>14</v>
      </c>
    </row>
    <row r="2593" spans="1:9" x14ac:dyDescent="0.25">
      <c r="A2593" s="19">
        <v>41828</v>
      </c>
      <c r="B2593" s="20">
        <v>5.0694444444444445E-2</v>
      </c>
      <c r="C2593" t="str">
        <f t="shared" si="280"/>
        <v>14</v>
      </c>
      <c r="D2593" t="str">
        <f t="shared" si="281"/>
        <v>07</v>
      </c>
      <c r="E2593" t="str">
        <f t="shared" si="282"/>
        <v>08</v>
      </c>
      <c r="F2593">
        <f t="shared" si="283"/>
        <v>2014</v>
      </c>
      <c r="G2593">
        <f t="shared" si="284"/>
        <v>7</v>
      </c>
      <c r="H2593">
        <f t="shared" si="285"/>
        <v>8</v>
      </c>
      <c r="I2593" t="str">
        <f t="shared" si="286"/>
        <v>14</v>
      </c>
    </row>
    <row r="2594" spans="1:9" x14ac:dyDescent="0.25">
      <c r="A2594" s="19">
        <v>41748</v>
      </c>
      <c r="B2594" s="20">
        <v>5.7638888888888892E-2</v>
      </c>
      <c r="C2594" t="str">
        <f t="shared" si="280"/>
        <v>14</v>
      </c>
      <c r="D2594" t="str">
        <f t="shared" si="281"/>
        <v>04</v>
      </c>
      <c r="E2594" t="str">
        <f t="shared" si="282"/>
        <v>19</v>
      </c>
      <c r="F2594">
        <f t="shared" si="283"/>
        <v>2014</v>
      </c>
      <c r="G2594">
        <f t="shared" si="284"/>
        <v>4</v>
      </c>
      <c r="H2594">
        <f t="shared" si="285"/>
        <v>19</v>
      </c>
      <c r="I2594" t="str">
        <f t="shared" si="286"/>
        <v>14</v>
      </c>
    </row>
    <row r="2595" spans="1:9" x14ac:dyDescent="0.25">
      <c r="A2595" s="19">
        <v>42245</v>
      </c>
      <c r="B2595" s="20">
        <v>2.7777777777777776E-2</v>
      </c>
      <c r="C2595" t="str">
        <f t="shared" si="280"/>
        <v>15</v>
      </c>
      <c r="D2595" t="str">
        <f t="shared" si="281"/>
        <v>08</v>
      </c>
      <c r="E2595" t="str">
        <f t="shared" si="282"/>
        <v>29</v>
      </c>
      <c r="F2595">
        <f t="shared" si="283"/>
        <v>2015</v>
      </c>
      <c r="G2595">
        <f t="shared" si="284"/>
        <v>8</v>
      </c>
      <c r="H2595">
        <f t="shared" si="285"/>
        <v>29</v>
      </c>
      <c r="I2595" t="str">
        <f t="shared" si="286"/>
        <v>15</v>
      </c>
    </row>
    <row r="2596" spans="1:9" x14ac:dyDescent="0.25">
      <c r="A2596" s="19">
        <v>42304</v>
      </c>
      <c r="B2596" s="20">
        <v>0.99305555555555558</v>
      </c>
      <c r="C2596" t="str">
        <f t="shared" si="280"/>
        <v>15</v>
      </c>
      <c r="D2596" t="str">
        <f t="shared" si="281"/>
        <v>10</v>
      </c>
      <c r="E2596" t="str">
        <f t="shared" si="282"/>
        <v>27</v>
      </c>
      <c r="F2596">
        <f t="shared" si="283"/>
        <v>2015</v>
      </c>
      <c r="G2596">
        <f t="shared" si="284"/>
        <v>10</v>
      </c>
      <c r="H2596">
        <f t="shared" si="285"/>
        <v>27</v>
      </c>
      <c r="I2596" t="str">
        <f t="shared" si="286"/>
        <v>15</v>
      </c>
    </row>
    <row r="2597" spans="1:9" x14ac:dyDescent="0.25">
      <c r="A2597" s="19">
        <v>41152</v>
      </c>
      <c r="B2597" s="20">
        <v>6.9444444444444448E-2</v>
      </c>
      <c r="C2597" t="str">
        <f t="shared" si="280"/>
        <v>12</v>
      </c>
      <c r="D2597" t="str">
        <f t="shared" si="281"/>
        <v>08</v>
      </c>
      <c r="E2597" t="str">
        <f t="shared" si="282"/>
        <v>31</v>
      </c>
      <c r="F2597">
        <f t="shared" si="283"/>
        <v>2012</v>
      </c>
      <c r="G2597">
        <f t="shared" si="284"/>
        <v>8</v>
      </c>
      <c r="H2597">
        <f t="shared" si="285"/>
        <v>31</v>
      </c>
      <c r="I2597" t="str">
        <f t="shared" si="286"/>
        <v>12</v>
      </c>
    </row>
    <row r="2598" spans="1:9" x14ac:dyDescent="0.25">
      <c r="A2598" s="19">
        <v>41620</v>
      </c>
      <c r="B2598" s="20">
        <v>0.96527777777777779</v>
      </c>
      <c r="C2598" t="str">
        <f t="shared" si="280"/>
        <v>13</v>
      </c>
      <c r="D2598" t="str">
        <f t="shared" si="281"/>
        <v>12</v>
      </c>
      <c r="E2598" t="str">
        <f t="shared" si="282"/>
        <v>12</v>
      </c>
      <c r="F2598">
        <f t="shared" si="283"/>
        <v>2013</v>
      </c>
      <c r="G2598">
        <f t="shared" si="284"/>
        <v>12</v>
      </c>
      <c r="H2598">
        <f t="shared" si="285"/>
        <v>12</v>
      </c>
      <c r="I2598" t="str">
        <f t="shared" si="286"/>
        <v>13</v>
      </c>
    </row>
    <row r="2599" spans="1:9" x14ac:dyDescent="0.25">
      <c r="A2599" s="19">
        <v>41499</v>
      </c>
      <c r="B2599" s="20">
        <v>5.9722222222222225E-2</v>
      </c>
      <c r="C2599" t="str">
        <f t="shared" si="280"/>
        <v>13</v>
      </c>
      <c r="D2599" t="str">
        <f t="shared" si="281"/>
        <v>08</v>
      </c>
      <c r="E2599" t="str">
        <f t="shared" si="282"/>
        <v>13</v>
      </c>
      <c r="F2599">
        <f t="shared" si="283"/>
        <v>2013</v>
      </c>
      <c r="G2599">
        <f t="shared" si="284"/>
        <v>8</v>
      </c>
      <c r="H2599">
        <f t="shared" si="285"/>
        <v>13</v>
      </c>
      <c r="I2599" t="str">
        <f t="shared" si="286"/>
        <v>13</v>
      </c>
    </row>
    <row r="2600" spans="1:9" x14ac:dyDescent="0.25">
      <c r="A2600" s="19">
        <v>41446</v>
      </c>
      <c r="B2600" s="20">
        <v>4.2361111111111113E-2</v>
      </c>
      <c r="C2600" t="str">
        <f t="shared" si="280"/>
        <v>13</v>
      </c>
      <c r="D2600" t="str">
        <f t="shared" si="281"/>
        <v>06</v>
      </c>
      <c r="E2600" t="str">
        <f t="shared" si="282"/>
        <v>21</v>
      </c>
      <c r="F2600">
        <f t="shared" si="283"/>
        <v>2013</v>
      </c>
      <c r="G2600">
        <f t="shared" si="284"/>
        <v>6</v>
      </c>
      <c r="H2600">
        <f t="shared" si="285"/>
        <v>21</v>
      </c>
      <c r="I2600" t="str">
        <f t="shared" si="286"/>
        <v>13</v>
      </c>
    </row>
    <row r="2601" spans="1:9" x14ac:dyDescent="0.25">
      <c r="A2601" s="19">
        <v>41465</v>
      </c>
      <c r="B2601" s="20">
        <v>0.99305555555555558</v>
      </c>
      <c r="C2601" t="str">
        <f t="shared" si="280"/>
        <v>13</v>
      </c>
      <c r="D2601" t="str">
        <f t="shared" si="281"/>
        <v>07</v>
      </c>
      <c r="E2601" t="str">
        <f t="shared" si="282"/>
        <v>10</v>
      </c>
      <c r="F2601">
        <f t="shared" si="283"/>
        <v>2013</v>
      </c>
      <c r="G2601">
        <f t="shared" si="284"/>
        <v>7</v>
      </c>
      <c r="H2601">
        <f t="shared" si="285"/>
        <v>10</v>
      </c>
      <c r="I2601" t="str">
        <f t="shared" si="286"/>
        <v>13</v>
      </c>
    </row>
    <row r="2602" spans="1:9" x14ac:dyDescent="0.25">
      <c r="A2602" s="19">
        <v>41621</v>
      </c>
      <c r="B2602" s="20">
        <v>6.3194444444444442E-2</v>
      </c>
      <c r="C2602" t="str">
        <f t="shared" si="280"/>
        <v>13</v>
      </c>
      <c r="D2602" t="str">
        <f t="shared" si="281"/>
        <v>12</v>
      </c>
      <c r="E2602" t="str">
        <f t="shared" si="282"/>
        <v>13</v>
      </c>
      <c r="F2602">
        <f t="shared" si="283"/>
        <v>2013</v>
      </c>
      <c r="G2602">
        <f t="shared" si="284"/>
        <v>12</v>
      </c>
      <c r="H2602">
        <f t="shared" si="285"/>
        <v>13</v>
      </c>
      <c r="I2602" t="str">
        <f t="shared" si="286"/>
        <v>13</v>
      </c>
    </row>
    <row r="2603" spans="1:9" x14ac:dyDescent="0.25">
      <c r="A2603" s="19">
        <v>41991</v>
      </c>
      <c r="B2603" s="20">
        <v>6.2500000000000003E-3</v>
      </c>
      <c r="C2603" t="str">
        <f t="shared" si="280"/>
        <v>14</v>
      </c>
      <c r="D2603" t="str">
        <f t="shared" si="281"/>
        <v>12</v>
      </c>
      <c r="E2603" t="str">
        <f t="shared" si="282"/>
        <v>18</v>
      </c>
      <c r="F2603">
        <f t="shared" si="283"/>
        <v>2014</v>
      </c>
      <c r="G2603">
        <f t="shared" si="284"/>
        <v>12</v>
      </c>
      <c r="H2603">
        <f t="shared" si="285"/>
        <v>18</v>
      </c>
      <c r="I2603" t="str">
        <f t="shared" si="286"/>
        <v>14</v>
      </c>
    </row>
    <row r="2604" spans="1:9" x14ac:dyDescent="0.25">
      <c r="A2604" s="19">
        <v>42261</v>
      </c>
      <c r="B2604" s="20">
        <v>2.6388888888888889E-2</v>
      </c>
      <c r="C2604" t="str">
        <f t="shared" si="280"/>
        <v>15</v>
      </c>
      <c r="D2604" t="str">
        <f t="shared" si="281"/>
        <v>09</v>
      </c>
      <c r="E2604" t="str">
        <f t="shared" si="282"/>
        <v>14</v>
      </c>
      <c r="F2604">
        <f t="shared" si="283"/>
        <v>2015</v>
      </c>
      <c r="G2604">
        <f t="shared" si="284"/>
        <v>9</v>
      </c>
      <c r="H2604">
        <f t="shared" si="285"/>
        <v>14</v>
      </c>
      <c r="I2604" t="str">
        <f t="shared" si="286"/>
        <v>15</v>
      </c>
    </row>
    <row r="2605" spans="1:9" x14ac:dyDescent="0.25">
      <c r="A2605" s="19">
        <v>42448</v>
      </c>
      <c r="B2605" s="20">
        <v>5.8333333333333334E-2</v>
      </c>
      <c r="C2605" t="str">
        <f t="shared" si="280"/>
        <v>16</v>
      </c>
      <c r="D2605" t="str">
        <f t="shared" si="281"/>
        <v>03</v>
      </c>
      <c r="E2605" t="str">
        <f t="shared" si="282"/>
        <v>19</v>
      </c>
      <c r="F2605">
        <f t="shared" si="283"/>
        <v>2016</v>
      </c>
      <c r="G2605">
        <f t="shared" si="284"/>
        <v>3</v>
      </c>
      <c r="H2605">
        <f t="shared" si="285"/>
        <v>19</v>
      </c>
      <c r="I2605" t="str">
        <f t="shared" si="286"/>
        <v>16</v>
      </c>
    </row>
    <row r="2606" spans="1:9" x14ac:dyDescent="0.25">
      <c r="A2606" s="19">
        <v>41370</v>
      </c>
      <c r="B2606" s="20">
        <v>5.9027777777777776E-2</v>
      </c>
      <c r="C2606" t="str">
        <f t="shared" si="280"/>
        <v>13</v>
      </c>
      <c r="D2606" t="str">
        <f t="shared" si="281"/>
        <v>04</v>
      </c>
      <c r="E2606" t="str">
        <f t="shared" si="282"/>
        <v>06</v>
      </c>
      <c r="F2606">
        <f t="shared" si="283"/>
        <v>2013</v>
      </c>
      <c r="G2606">
        <f t="shared" si="284"/>
        <v>4</v>
      </c>
      <c r="H2606">
        <f t="shared" si="285"/>
        <v>6</v>
      </c>
      <c r="I2606" t="str">
        <f t="shared" si="286"/>
        <v>13</v>
      </c>
    </row>
    <row r="2607" spans="1:9" x14ac:dyDescent="0.25">
      <c r="A2607" s="19">
        <v>42661</v>
      </c>
      <c r="B2607" s="20">
        <v>0.9770833333333333</v>
      </c>
      <c r="C2607" t="str">
        <f t="shared" si="280"/>
        <v>16</v>
      </c>
      <c r="D2607" t="str">
        <f t="shared" si="281"/>
        <v>10</v>
      </c>
      <c r="E2607" t="str">
        <f t="shared" si="282"/>
        <v>18</v>
      </c>
      <c r="F2607">
        <f t="shared" si="283"/>
        <v>2016</v>
      </c>
      <c r="G2607">
        <f t="shared" si="284"/>
        <v>10</v>
      </c>
      <c r="H2607">
        <f t="shared" si="285"/>
        <v>18</v>
      </c>
      <c r="I2607" t="str">
        <f t="shared" si="286"/>
        <v>16</v>
      </c>
    </row>
    <row r="2608" spans="1:9" x14ac:dyDescent="0.25">
      <c r="A2608" s="19">
        <v>41968</v>
      </c>
      <c r="B2608" s="20">
        <v>3.0555555555555555E-2</v>
      </c>
      <c r="C2608" t="str">
        <f t="shared" si="280"/>
        <v>14</v>
      </c>
      <c r="D2608" t="str">
        <f t="shared" si="281"/>
        <v>11</v>
      </c>
      <c r="E2608" t="str">
        <f t="shared" si="282"/>
        <v>25</v>
      </c>
      <c r="F2608">
        <f t="shared" si="283"/>
        <v>2014</v>
      </c>
      <c r="G2608">
        <f t="shared" si="284"/>
        <v>11</v>
      </c>
      <c r="H2608">
        <f t="shared" si="285"/>
        <v>25</v>
      </c>
      <c r="I2608" t="str">
        <f t="shared" si="286"/>
        <v>14</v>
      </c>
    </row>
    <row r="2609" spans="1:9" x14ac:dyDescent="0.25">
      <c r="A2609" s="19">
        <v>42674</v>
      </c>
      <c r="B2609" s="20">
        <v>0.98888888888888893</v>
      </c>
      <c r="C2609" t="str">
        <f t="shared" si="280"/>
        <v>16</v>
      </c>
      <c r="D2609" t="str">
        <f t="shared" si="281"/>
        <v>10</v>
      </c>
      <c r="E2609" t="str">
        <f t="shared" si="282"/>
        <v>31</v>
      </c>
      <c r="F2609">
        <f t="shared" si="283"/>
        <v>2016</v>
      </c>
      <c r="G2609">
        <f t="shared" si="284"/>
        <v>10</v>
      </c>
      <c r="H2609">
        <f t="shared" si="285"/>
        <v>31</v>
      </c>
      <c r="I2609" t="str">
        <f t="shared" si="286"/>
        <v>16</v>
      </c>
    </row>
    <row r="2610" spans="1:9" x14ac:dyDescent="0.25">
      <c r="A2610" s="19">
        <v>41469</v>
      </c>
      <c r="B2610" s="20">
        <v>7.6388888888888895E-2</v>
      </c>
      <c r="C2610" t="str">
        <f t="shared" si="280"/>
        <v>13</v>
      </c>
      <c r="D2610" t="str">
        <f t="shared" si="281"/>
        <v>07</v>
      </c>
      <c r="E2610" t="str">
        <f t="shared" si="282"/>
        <v>14</v>
      </c>
      <c r="F2610">
        <f t="shared" si="283"/>
        <v>2013</v>
      </c>
      <c r="G2610">
        <f t="shared" si="284"/>
        <v>7</v>
      </c>
      <c r="H2610">
        <f t="shared" si="285"/>
        <v>14</v>
      </c>
      <c r="I2610" t="str">
        <f t="shared" si="286"/>
        <v>13</v>
      </c>
    </row>
    <row r="2611" spans="1:9" x14ac:dyDescent="0.25">
      <c r="A2611" s="19">
        <v>41573</v>
      </c>
      <c r="B2611" s="20">
        <v>3.6805555555555557E-2</v>
      </c>
      <c r="C2611" t="str">
        <f t="shared" si="280"/>
        <v>13</v>
      </c>
      <c r="D2611" t="str">
        <f t="shared" si="281"/>
        <v>10</v>
      </c>
      <c r="E2611" t="str">
        <f t="shared" si="282"/>
        <v>26</v>
      </c>
      <c r="F2611">
        <f t="shared" si="283"/>
        <v>2013</v>
      </c>
      <c r="G2611">
        <f t="shared" si="284"/>
        <v>10</v>
      </c>
      <c r="H2611">
        <f t="shared" si="285"/>
        <v>26</v>
      </c>
      <c r="I2611" t="str">
        <f t="shared" si="286"/>
        <v>13</v>
      </c>
    </row>
    <row r="2612" spans="1:9" x14ac:dyDescent="0.25">
      <c r="A2612" s="19">
        <v>42130</v>
      </c>
      <c r="B2612" s="20">
        <v>4.027777777777778E-2</v>
      </c>
      <c r="C2612" t="str">
        <f t="shared" si="280"/>
        <v>15</v>
      </c>
      <c r="D2612" t="str">
        <f t="shared" si="281"/>
        <v>05</v>
      </c>
      <c r="E2612" t="str">
        <f t="shared" si="282"/>
        <v>06</v>
      </c>
      <c r="F2612">
        <f t="shared" si="283"/>
        <v>2015</v>
      </c>
      <c r="G2612">
        <f t="shared" si="284"/>
        <v>5</v>
      </c>
      <c r="H2612">
        <f t="shared" si="285"/>
        <v>6</v>
      </c>
      <c r="I2612" t="str">
        <f t="shared" si="286"/>
        <v>15</v>
      </c>
    </row>
    <row r="2613" spans="1:9" x14ac:dyDescent="0.25">
      <c r="A2613" s="19">
        <v>42362</v>
      </c>
      <c r="B2613" s="20">
        <v>3.0555555555555555E-2</v>
      </c>
      <c r="C2613" t="str">
        <f t="shared" si="280"/>
        <v>15</v>
      </c>
      <c r="D2613" t="str">
        <f t="shared" si="281"/>
        <v>12</v>
      </c>
      <c r="E2613" t="str">
        <f t="shared" si="282"/>
        <v>24</v>
      </c>
      <c r="F2613">
        <f t="shared" si="283"/>
        <v>2015</v>
      </c>
      <c r="G2613">
        <f t="shared" si="284"/>
        <v>12</v>
      </c>
      <c r="H2613">
        <f t="shared" si="285"/>
        <v>24</v>
      </c>
      <c r="I2613" t="str">
        <f t="shared" si="286"/>
        <v>15</v>
      </c>
    </row>
    <row r="2614" spans="1:9" x14ac:dyDescent="0.25">
      <c r="A2614" s="19">
        <v>41410</v>
      </c>
      <c r="B2614" s="20">
        <v>5.6944444444444443E-2</v>
      </c>
      <c r="C2614" t="str">
        <f t="shared" si="280"/>
        <v>13</v>
      </c>
      <c r="D2614" t="str">
        <f t="shared" si="281"/>
        <v>05</v>
      </c>
      <c r="E2614" t="str">
        <f t="shared" si="282"/>
        <v>16</v>
      </c>
      <c r="F2614">
        <f t="shared" si="283"/>
        <v>2013</v>
      </c>
      <c r="G2614">
        <f t="shared" si="284"/>
        <v>5</v>
      </c>
      <c r="H2614">
        <f t="shared" si="285"/>
        <v>16</v>
      </c>
      <c r="I2614" t="str">
        <f t="shared" si="286"/>
        <v>13</v>
      </c>
    </row>
    <row r="2615" spans="1:9" x14ac:dyDescent="0.25">
      <c r="A2615" s="19">
        <v>42154</v>
      </c>
      <c r="B2615" s="20">
        <v>4.2361111111111113E-2</v>
      </c>
      <c r="C2615" t="str">
        <f t="shared" si="280"/>
        <v>15</v>
      </c>
      <c r="D2615" t="str">
        <f t="shared" si="281"/>
        <v>05</v>
      </c>
      <c r="E2615" t="str">
        <f t="shared" si="282"/>
        <v>30</v>
      </c>
      <c r="F2615">
        <f t="shared" si="283"/>
        <v>2015</v>
      </c>
      <c r="G2615">
        <f t="shared" si="284"/>
        <v>5</v>
      </c>
      <c r="H2615">
        <f t="shared" si="285"/>
        <v>30</v>
      </c>
      <c r="I2615" t="str">
        <f t="shared" si="286"/>
        <v>15</v>
      </c>
    </row>
    <row r="2616" spans="1:9" x14ac:dyDescent="0.25">
      <c r="A2616" s="19">
        <v>42455</v>
      </c>
      <c r="B2616" s="20">
        <v>2.8472222222222222E-2</v>
      </c>
      <c r="C2616" t="str">
        <f t="shared" si="280"/>
        <v>16</v>
      </c>
      <c r="D2616" t="str">
        <f t="shared" si="281"/>
        <v>03</v>
      </c>
      <c r="E2616" t="str">
        <f t="shared" si="282"/>
        <v>26</v>
      </c>
      <c r="F2616">
        <f t="shared" si="283"/>
        <v>2016</v>
      </c>
      <c r="G2616">
        <f t="shared" si="284"/>
        <v>3</v>
      </c>
      <c r="H2616">
        <f t="shared" si="285"/>
        <v>26</v>
      </c>
      <c r="I2616" t="str">
        <f t="shared" si="286"/>
        <v>16</v>
      </c>
    </row>
    <row r="2617" spans="1:9" x14ac:dyDescent="0.25">
      <c r="A2617" s="19">
        <v>41548</v>
      </c>
      <c r="B2617" s="20">
        <v>4.9305555555555554E-2</v>
      </c>
      <c r="C2617" t="str">
        <f t="shared" si="280"/>
        <v>13</v>
      </c>
      <c r="D2617" t="str">
        <f t="shared" si="281"/>
        <v>10</v>
      </c>
      <c r="E2617" t="str">
        <f t="shared" si="282"/>
        <v>01</v>
      </c>
      <c r="F2617">
        <f t="shared" si="283"/>
        <v>2013</v>
      </c>
      <c r="G2617">
        <f t="shared" si="284"/>
        <v>10</v>
      </c>
      <c r="H2617">
        <f t="shared" si="285"/>
        <v>1</v>
      </c>
      <c r="I2617" t="str">
        <f t="shared" si="286"/>
        <v>13</v>
      </c>
    </row>
    <row r="2618" spans="1:9" x14ac:dyDescent="0.25">
      <c r="A2618" s="19">
        <v>41763</v>
      </c>
      <c r="B2618" s="20">
        <v>4.1666666666666664E-2</v>
      </c>
      <c r="C2618" t="str">
        <f t="shared" si="280"/>
        <v>14</v>
      </c>
      <c r="D2618" t="str">
        <f t="shared" si="281"/>
        <v>05</v>
      </c>
      <c r="E2618" t="str">
        <f t="shared" si="282"/>
        <v>04</v>
      </c>
      <c r="F2618">
        <f t="shared" si="283"/>
        <v>2014</v>
      </c>
      <c r="G2618">
        <f t="shared" si="284"/>
        <v>5</v>
      </c>
      <c r="H2618">
        <f t="shared" si="285"/>
        <v>4</v>
      </c>
      <c r="I2618" t="str">
        <f t="shared" si="286"/>
        <v>14</v>
      </c>
    </row>
    <row r="2619" spans="1:9" x14ac:dyDescent="0.25">
      <c r="A2619" s="19">
        <v>41557</v>
      </c>
      <c r="B2619" s="20">
        <v>2.2222222222222223E-2</v>
      </c>
      <c r="C2619" t="str">
        <f t="shared" si="280"/>
        <v>13</v>
      </c>
      <c r="D2619" t="str">
        <f t="shared" si="281"/>
        <v>10</v>
      </c>
      <c r="E2619" t="str">
        <f t="shared" si="282"/>
        <v>10</v>
      </c>
      <c r="F2619">
        <f t="shared" si="283"/>
        <v>2013</v>
      </c>
      <c r="G2619">
        <f t="shared" si="284"/>
        <v>10</v>
      </c>
      <c r="H2619">
        <f t="shared" si="285"/>
        <v>10</v>
      </c>
      <c r="I2619" t="str">
        <f t="shared" si="286"/>
        <v>13</v>
      </c>
    </row>
    <row r="2620" spans="1:9" x14ac:dyDescent="0.25">
      <c r="A2620" s="19">
        <v>42884</v>
      </c>
      <c r="B2620" s="20">
        <v>0.94027777777777777</v>
      </c>
      <c r="C2620" t="str">
        <f t="shared" si="280"/>
        <v>17</v>
      </c>
      <c r="D2620" t="str">
        <f t="shared" si="281"/>
        <v>05</v>
      </c>
      <c r="E2620" t="str">
        <f t="shared" si="282"/>
        <v>29</v>
      </c>
      <c r="F2620">
        <f t="shared" si="283"/>
        <v>2017</v>
      </c>
      <c r="G2620">
        <f t="shared" si="284"/>
        <v>5</v>
      </c>
      <c r="H2620">
        <f t="shared" si="285"/>
        <v>29</v>
      </c>
      <c r="I2620" t="str">
        <f t="shared" si="286"/>
        <v>17</v>
      </c>
    </row>
    <row r="2621" spans="1:9" x14ac:dyDescent="0.25">
      <c r="A2621" s="19">
        <v>41227</v>
      </c>
      <c r="B2621" s="20">
        <v>9.930555555555555E-2</v>
      </c>
      <c r="C2621" t="str">
        <f t="shared" si="280"/>
        <v>12</v>
      </c>
      <c r="D2621" t="str">
        <f t="shared" si="281"/>
        <v>11</v>
      </c>
      <c r="E2621" t="str">
        <f t="shared" si="282"/>
        <v>14</v>
      </c>
      <c r="F2621">
        <f t="shared" si="283"/>
        <v>2012</v>
      </c>
      <c r="G2621">
        <f t="shared" si="284"/>
        <v>11</v>
      </c>
      <c r="H2621">
        <f t="shared" si="285"/>
        <v>14</v>
      </c>
      <c r="I2621" t="str">
        <f t="shared" si="286"/>
        <v>12</v>
      </c>
    </row>
    <row r="2622" spans="1:9" x14ac:dyDescent="0.25">
      <c r="A2622" s="19">
        <v>41742</v>
      </c>
      <c r="B2622" s="20">
        <v>3.6805555555555557E-2</v>
      </c>
      <c r="C2622" t="str">
        <f t="shared" si="280"/>
        <v>14</v>
      </c>
      <c r="D2622" t="str">
        <f t="shared" si="281"/>
        <v>04</v>
      </c>
      <c r="E2622" t="str">
        <f t="shared" si="282"/>
        <v>13</v>
      </c>
      <c r="F2622">
        <f t="shared" si="283"/>
        <v>2014</v>
      </c>
      <c r="G2622">
        <f t="shared" si="284"/>
        <v>4</v>
      </c>
      <c r="H2622">
        <f t="shared" si="285"/>
        <v>13</v>
      </c>
      <c r="I2622" t="str">
        <f t="shared" si="286"/>
        <v>14</v>
      </c>
    </row>
    <row r="2623" spans="1:9" x14ac:dyDescent="0.25">
      <c r="A2623" s="19">
        <v>42583</v>
      </c>
      <c r="B2623" s="20">
        <v>1.3194444444444444E-2</v>
      </c>
      <c r="C2623" t="str">
        <f t="shared" si="280"/>
        <v>16</v>
      </c>
      <c r="D2623" t="str">
        <f t="shared" si="281"/>
        <v>08</v>
      </c>
      <c r="E2623" t="str">
        <f t="shared" si="282"/>
        <v>01</v>
      </c>
      <c r="F2623">
        <f t="shared" si="283"/>
        <v>2016</v>
      </c>
      <c r="G2623">
        <f t="shared" si="284"/>
        <v>8</v>
      </c>
      <c r="H2623">
        <f t="shared" si="285"/>
        <v>1</v>
      </c>
      <c r="I2623" t="str">
        <f t="shared" si="286"/>
        <v>16</v>
      </c>
    </row>
    <row r="2624" spans="1:9" x14ac:dyDescent="0.25">
      <c r="A2624" s="19">
        <v>42467</v>
      </c>
      <c r="B2624" s="20">
        <v>0.98333333333333328</v>
      </c>
      <c r="C2624" t="str">
        <f t="shared" si="280"/>
        <v>16</v>
      </c>
      <c r="D2624" t="str">
        <f t="shared" si="281"/>
        <v>04</v>
      </c>
      <c r="E2624" t="str">
        <f t="shared" si="282"/>
        <v>07</v>
      </c>
      <c r="F2624">
        <f t="shared" si="283"/>
        <v>2016</v>
      </c>
      <c r="G2624">
        <f t="shared" si="284"/>
        <v>4</v>
      </c>
      <c r="H2624">
        <f t="shared" si="285"/>
        <v>7</v>
      </c>
      <c r="I2624" t="str">
        <f t="shared" si="286"/>
        <v>16</v>
      </c>
    </row>
    <row r="2625" spans="1:9" x14ac:dyDescent="0.25">
      <c r="A2625" s="19">
        <v>42223</v>
      </c>
      <c r="B2625" s="20">
        <v>0.97847222222222219</v>
      </c>
      <c r="C2625" t="str">
        <f t="shared" si="280"/>
        <v>15</v>
      </c>
      <c r="D2625" t="str">
        <f t="shared" si="281"/>
        <v>08</v>
      </c>
      <c r="E2625" t="str">
        <f t="shared" si="282"/>
        <v>07</v>
      </c>
      <c r="F2625">
        <f t="shared" si="283"/>
        <v>2015</v>
      </c>
      <c r="G2625">
        <f t="shared" si="284"/>
        <v>8</v>
      </c>
      <c r="H2625">
        <f t="shared" si="285"/>
        <v>7</v>
      </c>
      <c r="I2625" t="str">
        <f t="shared" si="286"/>
        <v>15</v>
      </c>
    </row>
    <row r="2626" spans="1:9" x14ac:dyDescent="0.25">
      <c r="A2626" s="19">
        <v>42165</v>
      </c>
      <c r="B2626" s="20">
        <v>0.94166666666666665</v>
      </c>
      <c r="C2626" t="str">
        <f t="shared" si="280"/>
        <v>15</v>
      </c>
      <c r="D2626" t="str">
        <f t="shared" si="281"/>
        <v>06</v>
      </c>
      <c r="E2626" t="str">
        <f t="shared" si="282"/>
        <v>10</v>
      </c>
      <c r="F2626">
        <f t="shared" si="283"/>
        <v>2015</v>
      </c>
      <c r="G2626">
        <f t="shared" si="284"/>
        <v>6</v>
      </c>
      <c r="H2626">
        <f t="shared" si="285"/>
        <v>10</v>
      </c>
      <c r="I2626" t="str">
        <f t="shared" si="286"/>
        <v>15</v>
      </c>
    </row>
    <row r="2627" spans="1:9" x14ac:dyDescent="0.25">
      <c r="A2627" s="19">
        <v>41778</v>
      </c>
      <c r="B2627" s="20">
        <v>0.95138888888888884</v>
      </c>
      <c r="C2627" t="str">
        <f t="shared" ref="C2627:C2690" si="287">TEXT(A2627,"YY")</f>
        <v>14</v>
      </c>
      <c r="D2627" t="str">
        <f t="shared" ref="D2627:D2690" si="288">TEXT(A2627,"mm")</f>
        <v>05</v>
      </c>
      <c r="E2627" t="str">
        <f t="shared" ref="E2627:E2690" si="289">TEXT(A2627,"dd")</f>
        <v>19</v>
      </c>
      <c r="F2627">
        <f t="shared" ref="F2627:F2690" si="290">YEAR($A2627)</f>
        <v>2014</v>
      </c>
      <c r="G2627">
        <f t="shared" ref="G2627:G2690" si="291">MONTH($A2627)</f>
        <v>5</v>
      </c>
      <c r="H2627">
        <f t="shared" ref="H2627:H2690" si="292">DAY($A2627)</f>
        <v>19</v>
      </c>
      <c r="I2627" t="str">
        <f t="shared" ref="I2627:I2690" si="293">TEXT($A2627,"YY")</f>
        <v>14</v>
      </c>
    </row>
    <row r="2628" spans="1:9" x14ac:dyDescent="0.25">
      <c r="A2628" s="19">
        <v>41931</v>
      </c>
      <c r="B2628" s="20">
        <v>9.3055555555555558E-2</v>
      </c>
      <c r="C2628" t="str">
        <f t="shared" si="287"/>
        <v>14</v>
      </c>
      <c r="D2628" t="str">
        <f t="shared" si="288"/>
        <v>10</v>
      </c>
      <c r="E2628" t="str">
        <f t="shared" si="289"/>
        <v>19</v>
      </c>
      <c r="F2628">
        <f t="shared" si="290"/>
        <v>2014</v>
      </c>
      <c r="G2628">
        <f t="shared" si="291"/>
        <v>10</v>
      </c>
      <c r="H2628">
        <f t="shared" si="292"/>
        <v>19</v>
      </c>
      <c r="I2628" t="str">
        <f t="shared" si="293"/>
        <v>14</v>
      </c>
    </row>
    <row r="2629" spans="1:9" x14ac:dyDescent="0.25">
      <c r="A2629" s="19">
        <v>41757</v>
      </c>
      <c r="B2629" s="20">
        <v>6.5277777777777782E-2</v>
      </c>
      <c r="C2629" t="str">
        <f t="shared" si="287"/>
        <v>14</v>
      </c>
      <c r="D2629" t="str">
        <f t="shared" si="288"/>
        <v>04</v>
      </c>
      <c r="E2629" t="str">
        <f t="shared" si="289"/>
        <v>28</v>
      </c>
      <c r="F2629">
        <f t="shared" si="290"/>
        <v>2014</v>
      </c>
      <c r="G2629">
        <f t="shared" si="291"/>
        <v>4</v>
      </c>
      <c r="H2629">
        <f t="shared" si="292"/>
        <v>28</v>
      </c>
      <c r="I2629" t="str">
        <f t="shared" si="293"/>
        <v>14</v>
      </c>
    </row>
    <row r="2630" spans="1:9" x14ac:dyDescent="0.25">
      <c r="A2630" s="19">
        <v>41634</v>
      </c>
      <c r="B2630" s="20">
        <v>2.7083333333333334E-2</v>
      </c>
      <c r="C2630" t="str">
        <f t="shared" si="287"/>
        <v>13</v>
      </c>
      <c r="D2630" t="str">
        <f t="shared" si="288"/>
        <v>12</v>
      </c>
      <c r="E2630" t="str">
        <f t="shared" si="289"/>
        <v>26</v>
      </c>
      <c r="F2630">
        <f t="shared" si="290"/>
        <v>2013</v>
      </c>
      <c r="G2630">
        <f t="shared" si="291"/>
        <v>12</v>
      </c>
      <c r="H2630">
        <f t="shared" si="292"/>
        <v>26</v>
      </c>
      <c r="I2630" t="str">
        <f t="shared" si="293"/>
        <v>13</v>
      </c>
    </row>
    <row r="2631" spans="1:9" x14ac:dyDescent="0.25">
      <c r="A2631" s="19">
        <v>42039</v>
      </c>
      <c r="B2631" s="20">
        <v>1.6666666666666666E-2</v>
      </c>
      <c r="C2631" t="str">
        <f t="shared" si="287"/>
        <v>15</v>
      </c>
      <c r="D2631" t="str">
        <f t="shared" si="288"/>
        <v>02</v>
      </c>
      <c r="E2631" t="str">
        <f t="shared" si="289"/>
        <v>04</v>
      </c>
      <c r="F2631">
        <f t="shared" si="290"/>
        <v>2015</v>
      </c>
      <c r="G2631">
        <f t="shared" si="291"/>
        <v>2</v>
      </c>
      <c r="H2631">
        <f t="shared" si="292"/>
        <v>4</v>
      </c>
      <c r="I2631" t="str">
        <f t="shared" si="293"/>
        <v>15</v>
      </c>
    </row>
    <row r="2632" spans="1:9" x14ac:dyDescent="0.25">
      <c r="A2632" s="19">
        <v>41276</v>
      </c>
      <c r="B2632" s="20">
        <v>9.0277777777777776E-2</v>
      </c>
      <c r="C2632" t="str">
        <f t="shared" si="287"/>
        <v>13</v>
      </c>
      <c r="D2632" t="str">
        <f t="shared" si="288"/>
        <v>01</v>
      </c>
      <c r="E2632" t="str">
        <f t="shared" si="289"/>
        <v>02</v>
      </c>
      <c r="F2632">
        <f t="shared" si="290"/>
        <v>2013</v>
      </c>
      <c r="G2632">
        <f t="shared" si="291"/>
        <v>1</v>
      </c>
      <c r="H2632">
        <f t="shared" si="292"/>
        <v>2</v>
      </c>
      <c r="I2632" t="str">
        <f t="shared" si="293"/>
        <v>13</v>
      </c>
    </row>
    <row r="2633" spans="1:9" x14ac:dyDescent="0.25">
      <c r="A2633" s="19">
        <v>42282</v>
      </c>
      <c r="B2633" s="20">
        <v>4.3055555555555555E-2</v>
      </c>
      <c r="C2633" t="str">
        <f t="shared" si="287"/>
        <v>15</v>
      </c>
      <c r="D2633" t="str">
        <f t="shared" si="288"/>
        <v>10</v>
      </c>
      <c r="E2633" t="str">
        <f t="shared" si="289"/>
        <v>05</v>
      </c>
      <c r="F2633">
        <f t="shared" si="290"/>
        <v>2015</v>
      </c>
      <c r="G2633">
        <f t="shared" si="291"/>
        <v>10</v>
      </c>
      <c r="H2633">
        <f t="shared" si="292"/>
        <v>5</v>
      </c>
      <c r="I2633" t="str">
        <f t="shared" si="293"/>
        <v>15</v>
      </c>
    </row>
    <row r="2634" spans="1:9" x14ac:dyDescent="0.25">
      <c r="A2634" s="19">
        <v>42116</v>
      </c>
      <c r="B2634" s="20">
        <v>1.0416666666666666E-2</v>
      </c>
      <c r="C2634" t="str">
        <f t="shared" si="287"/>
        <v>15</v>
      </c>
      <c r="D2634" t="str">
        <f t="shared" si="288"/>
        <v>04</v>
      </c>
      <c r="E2634" t="str">
        <f t="shared" si="289"/>
        <v>22</v>
      </c>
      <c r="F2634">
        <f t="shared" si="290"/>
        <v>2015</v>
      </c>
      <c r="G2634">
        <f t="shared" si="291"/>
        <v>4</v>
      </c>
      <c r="H2634">
        <f t="shared" si="292"/>
        <v>22</v>
      </c>
      <c r="I2634" t="str">
        <f t="shared" si="293"/>
        <v>15</v>
      </c>
    </row>
    <row r="2635" spans="1:9" x14ac:dyDescent="0.25">
      <c r="A2635" s="19">
        <v>42467</v>
      </c>
      <c r="B2635" s="20">
        <v>0.96388888888888891</v>
      </c>
      <c r="C2635" t="str">
        <f t="shared" si="287"/>
        <v>16</v>
      </c>
      <c r="D2635" t="str">
        <f t="shared" si="288"/>
        <v>04</v>
      </c>
      <c r="E2635" t="str">
        <f t="shared" si="289"/>
        <v>07</v>
      </c>
      <c r="F2635">
        <f t="shared" si="290"/>
        <v>2016</v>
      </c>
      <c r="G2635">
        <f t="shared" si="291"/>
        <v>4</v>
      </c>
      <c r="H2635">
        <f t="shared" si="292"/>
        <v>7</v>
      </c>
      <c r="I2635" t="str">
        <f t="shared" si="293"/>
        <v>16</v>
      </c>
    </row>
    <row r="2636" spans="1:9" x14ac:dyDescent="0.25">
      <c r="A2636" s="19">
        <v>42128</v>
      </c>
      <c r="B2636" s="20">
        <v>0.99027777777777781</v>
      </c>
      <c r="C2636" t="str">
        <f t="shared" si="287"/>
        <v>15</v>
      </c>
      <c r="D2636" t="str">
        <f t="shared" si="288"/>
        <v>05</v>
      </c>
      <c r="E2636" t="str">
        <f t="shared" si="289"/>
        <v>04</v>
      </c>
      <c r="F2636">
        <f t="shared" si="290"/>
        <v>2015</v>
      </c>
      <c r="G2636">
        <f t="shared" si="291"/>
        <v>5</v>
      </c>
      <c r="H2636">
        <f t="shared" si="292"/>
        <v>4</v>
      </c>
      <c r="I2636" t="str">
        <f t="shared" si="293"/>
        <v>15</v>
      </c>
    </row>
    <row r="2637" spans="1:9" x14ac:dyDescent="0.25">
      <c r="A2637" s="19">
        <v>41244</v>
      </c>
      <c r="B2637" s="20">
        <v>0.05</v>
      </c>
      <c r="C2637" t="str">
        <f t="shared" si="287"/>
        <v>12</v>
      </c>
      <c r="D2637" t="str">
        <f t="shared" si="288"/>
        <v>12</v>
      </c>
      <c r="E2637" t="str">
        <f t="shared" si="289"/>
        <v>01</v>
      </c>
      <c r="F2637">
        <f t="shared" si="290"/>
        <v>2012</v>
      </c>
      <c r="G2637">
        <f t="shared" si="291"/>
        <v>12</v>
      </c>
      <c r="H2637">
        <f t="shared" si="292"/>
        <v>1</v>
      </c>
      <c r="I2637" t="str">
        <f t="shared" si="293"/>
        <v>12</v>
      </c>
    </row>
    <row r="2638" spans="1:9" x14ac:dyDescent="0.25">
      <c r="A2638" s="19">
        <v>42292</v>
      </c>
      <c r="B2638" s="20">
        <v>4.027777777777778E-2</v>
      </c>
      <c r="C2638" t="str">
        <f t="shared" si="287"/>
        <v>15</v>
      </c>
      <c r="D2638" t="str">
        <f t="shared" si="288"/>
        <v>10</v>
      </c>
      <c r="E2638" t="str">
        <f t="shared" si="289"/>
        <v>15</v>
      </c>
      <c r="F2638">
        <f t="shared" si="290"/>
        <v>2015</v>
      </c>
      <c r="G2638">
        <f t="shared" si="291"/>
        <v>10</v>
      </c>
      <c r="H2638">
        <f t="shared" si="292"/>
        <v>15</v>
      </c>
      <c r="I2638" t="str">
        <f t="shared" si="293"/>
        <v>15</v>
      </c>
    </row>
    <row r="2639" spans="1:9" x14ac:dyDescent="0.25">
      <c r="A2639" s="19">
        <v>41373</v>
      </c>
      <c r="B2639" s="20">
        <v>6.5972222222222224E-2</v>
      </c>
      <c r="C2639" t="str">
        <f t="shared" si="287"/>
        <v>13</v>
      </c>
      <c r="D2639" t="str">
        <f t="shared" si="288"/>
        <v>04</v>
      </c>
      <c r="E2639" t="str">
        <f t="shared" si="289"/>
        <v>09</v>
      </c>
      <c r="F2639">
        <f t="shared" si="290"/>
        <v>2013</v>
      </c>
      <c r="G2639">
        <f t="shared" si="291"/>
        <v>4</v>
      </c>
      <c r="H2639">
        <f t="shared" si="292"/>
        <v>9</v>
      </c>
      <c r="I2639" t="str">
        <f t="shared" si="293"/>
        <v>13</v>
      </c>
    </row>
    <row r="2640" spans="1:9" x14ac:dyDescent="0.25">
      <c r="A2640" s="19">
        <v>42434</v>
      </c>
      <c r="B2640" s="20">
        <v>4.8611111111111112E-3</v>
      </c>
      <c r="C2640" t="str">
        <f t="shared" si="287"/>
        <v>16</v>
      </c>
      <c r="D2640" t="str">
        <f t="shared" si="288"/>
        <v>03</v>
      </c>
      <c r="E2640" t="str">
        <f t="shared" si="289"/>
        <v>05</v>
      </c>
      <c r="F2640">
        <f t="shared" si="290"/>
        <v>2016</v>
      </c>
      <c r="G2640">
        <f t="shared" si="291"/>
        <v>3</v>
      </c>
      <c r="H2640">
        <f t="shared" si="292"/>
        <v>5</v>
      </c>
      <c r="I2640" t="str">
        <f t="shared" si="293"/>
        <v>16</v>
      </c>
    </row>
    <row r="2641" spans="1:9" x14ac:dyDescent="0.25">
      <c r="A2641" s="19">
        <v>41802</v>
      </c>
      <c r="B2641" s="20">
        <v>4.8611111111111112E-2</v>
      </c>
      <c r="C2641" t="str">
        <f t="shared" si="287"/>
        <v>14</v>
      </c>
      <c r="D2641" t="str">
        <f t="shared" si="288"/>
        <v>06</v>
      </c>
      <c r="E2641" t="str">
        <f t="shared" si="289"/>
        <v>12</v>
      </c>
      <c r="F2641">
        <f t="shared" si="290"/>
        <v>2014</v>
      </c>
      <c r="G2641">
        <f t="shared" si="291"/>
        <v>6</v>
      </c>
      <c r="H2641">
        <f t="shared" si="292"/>
        <v>12</v>
      </c>
      <c r="I2641" t="str">
        <f t="shared" si="293"/>
        <v>14</v>
      </c>
    </row>
    <row r="2642" spans="1:9" x14ac:dyDescent="0.25">
      <c r="A2642" s="19">
        <v>41661</v>
      </c>
      <c r="B2642" s="20">
        <v>6.3194444444444442E-2</v>
      </c>
      <c r="C2642" t="str">
        <f t="shared" si="287"/>
        <v>14</v>
      </c>
      <c r="D2642" t="str">
        <f t="shared" si="288"/>
        <v>01</v>
      </c>
      <c r="E2642" t="str">
        <f t="shared" si="289"/>
        <v>22</v>
      </c>
      <c r="F2642">
        <f t="shared" si="290"/>
        <v>2014</v>
      </c>
      <c r="G2642">
        <f t="shared" si="291"/>
        <v>1</v>
      </c>
      <c r="H2642">
        <f t="shared" si="292"/>
        <v>22</v>
      </c>
      <c r="I2642" t="str">
        <f t="shared" si="293"/>
        <v>14</v>
      </c>
    </row>
    <row r="2643" spans="1:9" x14ac:dyDescent="0.25">
      <c r="A2643" s="19">
        <v>41929</v>
      </c>
      <c r="B2643" s="20">
        <v>0.9819444444444444</v>
      </c>
      <c r="C2643" t="str">
        <f t="shared" si="287"/>
        <v>14</v>
      </c>
      <c r="D2643" t="str">
        <f t="shared" si="288"/>
        <v>10</v>
      </c>
      <c r="E2643" t="str">
        <f t="shared" si="289"/>
        <v>17</v>
      </c>
      <c r="F2643">
        <f t="shared" si="290"/>
        <v>2014</v>
      </c>
      <c r="G2643">
        <f t="shared" si="291"/>
        <v>10</v>
      </c>
      <c r="H2643">
        <f t="shared" si="292"/>
        <v>17</v>
      </c>
      <c r="I2643" t="str">
        <f t="shared" si="293"/>
        <v>14</v>
      </c>
    </row>
    <row r="2644" spans="1:9" x14ac:dyDescent="0.25">
      <c r="A2644" s="19">
        <v>41914</v>
      </c>
      <c r="B2644" s="20">
        <v>1.5277777777777777E-2</v>
      </c>
      <c r="C2644" t="str">
        <f t="shared" si="287"/>
        <v>14</v>
      </c>
      <c r="D2644" t="str">
        <f t="shared" si="288"/>
        <v>10</v>
      </c>
      <c r="E2644" t="str">
        <f t="shared" si="289"/>
        <v>02</v>
      </c>
      <c r="F2644">
        <f t="shared" si="290"/>
        <v>2014</v>
      </c>
      <c r="G2644">
        <f t="shared" si="291"/>
        <v>10</v>
      </c>
      <c r="H2644">
        <f t="shared" si="292"/>
        <v>2</v>
      </c>
      <c r="I2644" t="str">
        <f t="shared" si="293"/>
        <v>14</v>
      </c>
    </row>
    <row r="2645" spans="1:9" x14ac:dyDescent="0.25">
      <c r="A2645" s="19">
        <v>41705</v>
      </c>
      <c r="B2645" s="20">
        <v>8.1944444444444445E-2</v>
      </c>
      <c r="C2645" t="str">
        <f t="shared" si="287"/>
        <v>14</v>
      </c>
      <c r="D2645" t="str">
        <f t="shared" si="288"/>
        <v>03</v>
      </c>
      <c r="E2645" t="str">
        <f t="shared" si="289"/>
        <v>07</v>
      </c>
      <c r="F2645">
        <f t="shared" si="290"/>
        <v>2014</v>
      </c>
      <c r="G2645">
        <f t="shared" si="291"/>
        <v>3</v>
      </c>
      <c r="H2645">
        <f t="shared" si="292"/>
        <v>7</v>
      </c>
      <c r="I2645" t="str">
        <f t="shared" si="293"/>
        <v>14</v>
      </c>
    </row>
    <row r="2646" spans="1:9" x14ac:dyDescent="0.25">
      <c r="A2646" s="19">
        <v>41218</v>
      </c>
      <c r="B2646" s="20">
        <v>5.7638888888888892E-2</v>
      </c>
      <c r="C2646" t="str">
        <f t="shared" si="287"/>
        <v>12</v>
      </c>
      <c r="D2646" t="str">
        <f t="shared" si="288"/>
        <v>11</v>
      </c>
      <c r="E2646" t="str">
        <f t="shared" si="289"/>
        <v>05</v>
      </c>
      <c r="F2646">
        <f t="shared" si="290"/>
        <v>2012</v>
      </c>
      <c r="G2646">
        <f t="shared" si="291"/>
        <v>11</v>
      </c>
      <c r="H2646">
        <f t="shared" si="292"/>
        <v>5</v>
      </c>
      <c r="I2646" t="str">
        <f t="shared" si="293"/>
        <v>12</v>
      </c>
    </row>
    <row r="2647" spans="1:9" x14ac:dyDescent="0.25">
      <c r="A2647" s="19">
        <v>42827</v>
      </c>
      <c r="B2647" s="20">
        <v>0.96458333333333335</v>
      </c>
      <c r="C2647" t="str">
        <f t="shared" si="287"/>
        <v>17</v>
      </c>
      <c r="D2647" t="str">
        <f t="shared" si="288"/>
        <v>04</v>
      </c>
      <c r="E2647" t="str">
        <f t="shared" si="289"/>
        <v>02</v>
      </c>
      <c r="F2647">
        <f t="shared" si="290"/>
        <v>2017</v>
      </c>
      <c r="G2647">
        <f t="shared" si="291"/>
        <v>4</v>
      </c>
      <c r="H2647">
        <f t="shared" si="292"/>
        <v>2</v>
      </c>
      <c r="I2647" t="str">
        <f t="shared" si="293"/>
        <v>17</v>
      </c>
    </row>
    <row r="2648" spans="1:9" x14ac:dyDescent="0.25">
      <c r="A2648" s="19">
        <v>41305</v>
      </c>
      <c r="B2648" s="20">
        <v>1.3888888888888888E-2</v>
      </c>
      <c r="C2648" t="str">
        <f t="shared" si="287"/>
        <v>13</v>
      </c>
      <c r="D2648" t="str">
        <f t="shared" si="288"/>
        <v>01</v>
      </c>
      <c r="E2648" t="str">
        <f t="shared" si="289"/>
        <v>31</v>
      </c>
      <c r="F2648">
        <f t="shared" si="290"/>
        <v>2013</v>
      </c>
      <c r="G2648">
        <f t="shared" si="291"/>
        <v>1</v>
      </c>
      <c r="H2648">
        <f t="shared" si="292"/>
        <v>31</v>
      </c>
      <c r="I2648" t="str">
        <f t="shared" si="293"/>
        <v>13</v>
      </c>
    </row>
    <row r="2649" spans="1:9" x14ac:dyDescent="0.25">
      <c r="A2649" s="19">
        <v>41257</v>
      </c>
      <c r="B2649" s="20">
        <v>2.5694444444444443E-2</v>
      </c>
      <c r="C2649" t="str">
        <f t="shared" si="287"/>
        <v>12</v>
      </c>
      <c r="D2649" t="str">
        <f t="shared" si="288"/>
        <v>12</v>
      </c>
      <c r="E2649" t="str">
        <f t="shared" si="289"/>
        <v>14</v>
      </c>
      <c r="F2649">
        <f t="shared" si="290"/>
        <v>2012</v>
      </c>
      <c r="G2649">
        <f t="shared" si="291"/>
        <v>12</v>
      </c>
      <c r="H2649">
        <f t="shared" si="292"/>
        <v>14</v>
      </c>
      <c r="I2649" t="str">
        <f t="shared" si="293"/>
        <v>12</v>
      </c>
    </row>
    <row r="2650" spans="1:9" x14ac:dyDescent="0.25">
      <c r="A2650" s="19">
        <v>41860</v>
      </c>
      <c r="B2650" s="20">
        <v>2.2916666666666665E-2</v>
      </c>
      <c r="C2650" t="str">
        <f t="shared" si="287"/>
        <v>14</v>
      </c>
      <c r="D2650" t="str">
        <f t="shared" si="288"/>
        <v>08</v>
      </c>
      <c r="E2650" t="str">
        <f t="shared" si="289"/>
        <v>09</v>
      </c>
      <c r="F2650">
        <f t="shared" si="290"/>
        <v>2014</v>
      </c>
      <c r="G2650">
        <f t="shared" si="291"/>
        <v>8</v>
      </c>
      <c r="H2650">
        <f t="shared" si="292"/>
        <v>9</v>
      </c>
      <c r="I2650" t="str">
        <f t="shared" si="293"/>
        <v>14</v>
      </c>
    </row>
    <row r="2651" spans="1:9" x14ac:dyDescent="0.25">
      <c r="A2651" s="19">
        <v>41442</v>
      </c>
      <c r="B2651" s="20">
        <v>0.97083333333333333</v>
      </c>
      <c r="C2651" t="str">
        <f t="shared" si="287"/>
        <v>13</v>
      </c>
      <c r="D2651" t="str">
        <f t="shared" si="288"/>
        <v>06</v>
      </c>
      <c r="E2651" t="str">
        <f t="shared" si="289"/>
        <v>17</v>
      </c>
      <c r="F2651">
        <f t="shared" si="290"/>
        <v>2013</v>
      </c>
      <c r="G2651">
        <f t="shared" si="291"/>
        <v>6</v>
      </c>
      <c r="H2651">
        <f t="shared" si="292"/>
        <v>17</v>
      </c>
      <c r="I2651" t="str">
        <f t="shared" si="293"/>
        <v>13</v>
      </c>
    </row>
    <row r="2652" spans="1:9" x14ac:dyDescent="0.25">
      <c r="A2652" s="19">
        <v>41116</v>
      </c>
      <c r="B2652" s="20">
        <v>4.4444444444444446E-2</v>
      </c>
      <c r="C2652" t="str">
        <f t="shared" si="287"/>
        <v>12</v>
      </c>
      <c r="D2652" t="str">
        <f t="shared" si="288"/>
        <v>07</v>
      </c>
      <c r="E2652" t="str">
        <f t="shared" si="289"/>
        <v>26</v>
      </c>
      <c r="F2652">
        <f t="shared" si="290"/>
        <v>2012</v>
      </c>
      <c r="G2652">
        <f t="shared" si="291"/>
        <v>7</v>
      </c>
      <c r="H2652">
        <f t="shared" si="292"/>
        <v>26</v>
      </c>
      <c r="I2652" t="str">
        <f t="shared" si="293"/>
        <v>12</v>
      </c>
    </row>
    <row r="2653" spans="1:9" x14ac:dyDescent="0.25">
      <c r="A2653" s="19">
        <v>42554</v>
      </c>
      <c r="B2653" s="20">
        <v>3.0555555555555555E-2</v>
      </c>
      <c r="C2653" t="str">
        <f t="shared" si="287"/>
        <v>16</v>
      </c>
      <c r="D2653" t="str">
        <f t="shared" si="288"/>
        <v>07</v>
      </c>
      <c r="E2653" t="str">
        <f t="shared" si="289"/>
        <v>03</v>
      </c>
      <c r="F2653">
        <f t="shared" si="290"/>
        <v>2016</v>
      </c>
      <c r="G2653">
        <f t="shared" si="291"/>
        <v>7</v>
      </c>
      <c r="H2653">
        <f t="shared" si="292"/>
        <v>3</v>
      </c>
      <c r="I2653" t="str">
        <f t="shared" si="293"/>
        <v>16</v>
      </c>
    </row>
    <row r="2654" spans="1:9" x14ac:dyDescent="0.25">
      <c r="A2654" s="19">
        <v>41986</v>
      </c>
      <c r="B2654" s="20">
        <v>0</v>
      </c>
      <c r="C2654" t="str">
        <f t="shared" si="287"/>
        <v>14</v>
      </c>
      <c r="D2654" t="str">
        <f t="shared" si="288"/>
        <v>12</v>
      </c>
      <c r="E2654" t="str">
        <f t="shared" si="289"/>
        <v>13</v>
      </c>
      <c r="F2654">
        <f t="shared" si="290"/>
        <v>2014</v>
      </c>
      <c r="G2654">
        <f t="shared" si="291"/>
        <v>12</v>
      </c>
      <c r="H2654">
        <f t="shared" si="292"/>
        <v>13</v>
      </c>
      <c r="I2654" t="str">
        <f t="shared" si="293"/>
        <v>14</v>
      </c>
    </row>
    <row r="2655" spans="1:9" x14ac:dyDescent="0.25">
      <c r="A2655" s="19">
        <v>41829</v>
      </c>
      <c r="B2655" s="20">
        <v>4.027777777777778E-2</v>
      </c>
      <c r="C2655" t="str">
        <f t="shared" si="287"/>
        <v>14</v>
      </c>
      <c r="D2655" t="str">
        <f t="shared" si="288"/>
        <v>07</v>
      </c>
      <c r="E2655" t="str">
        <f t="shared" si="289"/>
        <v>09</v>
      </c>
      <c r="F2655">
        <f t="shared" si="290"/>
        <v>2014</v>
      </c>
      <c r="G2655">
        <f t="shared" si="291"/>
        <v>7</v>
      </c>
      <c r="H2655">
        <f t="shared" si="292"/>
        <v>9</v>
      </c>
      <c r="I2655" t="str">
        <f t="shared" si="293"/>
        <v>14</v>
      </c>
    </row>
    <row r="2656" spans="1:9" x14ac:dyDescent="0.25">
      <c r="A2656" s="19">
        <v>41605</v>
      </c>
      <c r="B2656" s="20">
        <v>8.9583333333333334E-2</v>
      </c>
      <c r="C2656" t="str">
        <f t="shared" si="287"/>
        <v>13</v>
      </c>
      <c r="D2656" t="str">
        <f t="shared" si="288"/>
        <v>11</v>
      </c>
      <c r="E2656" t="str">
        <f t="shared" si="289"/>
        <v>27</v>
      </c>
      <c r="F2656">
        <f t="shared" si="290"/>
        <v>2013</v>
      </c>
      <c r="G2656">
        <f t="shared" si="291"/>
        <v>11</v>
      </c>
      <c r="H2656">
        <f t="shared" si="292"/>
        <v>27</v>
      </c>
      <c r="I2656" t="str">
        <f t="shared" si="293"/>
        <v>13</v>
      </c>
    </row>
    <row r="2657" spans="1:9" x14ac:dyDescent="0.25">
      <c r="A2657" s="19">
        <v>41760</v>
      </c>
      <c r="B2657" s="20">
        <v>7.2222222222222215E-2</v>
      </c>
      <c r="C2657" t="str">
        <f t="shared" si="287"/>
        <v>14</v>
      </c>
      <c r="D2657" t="str">
        <f t="shared" si="288"/>
        <v>05</v>
      </c>
      <c r="E2657" t="str">
        <f t="shared" si="289"/>
        <v>01</v>
      </c>
      <c r="F2657">
        <f t="shared" si="290"/>
        <v>2014</v>
      </c>
      <c r="G2657">
        <f t="shared" si="291"/>
        <v>5</v>
      </c>
      <c r="H2657">
        <f t="shared" si="292"/>
        <v>1</v>
      </c>
      <c r="I2657" t="str">
        <f t="shared" si="293"/>
        <v>14</v>
      </c>
    </row>
    <row r="2658" spans="1:9" x14ac:dyDescent="0.25">
      <c r="A2658" s="19">
        <v>41347</v>
      </c>
      <c r="B2658" s="20">
        <v>6.8750000000000006E-2</v>
      </c>
      <c r="C2658" t="str">
        <f t="shared" si="287"/>
        <v>13</v>
      </c>
      <c r="D2658" t="str">
        <f t="shared" si="288"/>
        <v>03</v>
      </c>
      <c r="E2658" t="str">
        <f t="shared" si="289"/>
        <v>14</v>
      </c>
      <c r="F2658">
        <f t="shared" si="290"/>
        <v>2013</v>
      </c>
      <c r="G2658">
        <f t="shared" si="291"/>
        <v>3</v>
      </c>
      <c r="H2658">
        <f t="shared" si="292"/>
        <v>14</v>
      </c>
      <c r="I2658" t="str">
        <f t="shared" si="293"/>
        <v>13</v>
      </c>
    </row>
    <row r="2659" spans="1:9" x14ac:dyDescent="0.25">
      <c r="A2659" s="19">
        <v>41202</v>
      </c>
      <c r="B2659" s="20">
        <v>6.1805555555555558E-2</v>
      </c>
      <c r="C2659" t="str">
        <f t="shared" si="287"/>
        <v>12</v>
      </c>
      <c r="D2659" t="str">
        <f t="shared" si="288"/>
        <v>10</v>
      </c>
      <c r="E2659" t="str">
        <f t="shared" si="289"/>
        <v>20</v>
      </c>
      <c r="F2659">
        <f t="shared" si="290"/>
        <v>2012</v>
      </c>
      <c r="G2659">
        <f t="shared" si="291"/>
        <v>10</v>
      </c>
      <c r="H2659">
        <f t="shared" si="292"/>
        <v>20</v>
      </c>
      <c r="I2659" t="str">
        <f t="shared" si="293"/>
        <v>12</v>
      </c>
    </row>
    <row r="2660" spans="1:9" x14ac:dyDescent="0.25">
      <c r="A2660" s="19">
        <v>42001</v>
      </c>
      <c r="B2660" s="20">
        <v>4.5138888888888888E-2</v>
      </c>
      <c r="C2660" t="str">
        <f t="shared" si="287"/>
        <v>14</v>
      </c>
      <c r="D2660" t="str">
        <f t="shared" si="288"/>
        <v>12</v>
      </c>
      <c r="E2660" t="str">
        <f t="shared" si="289"/>
        <v>28</v>
      </c>
      <c r="F2660">
        <f t="shared" si="290"/>
        <v>2014</v>
      </c>
      <c r="G2660">
        <f t="shared" si="291"/>
        <v>12</v>
      </c>
      <c r="H2660">
        <f t="shared" si="292"/>
        <v>28</v>
      </c>
      <c r="I2660" t="str">
        <f t="shared" si="293"/>
        <v>14</v>
      </c>
    </row>
    <row r="2661" spans="1:9" x14ac:dyDescent="0.25">
      <c r="A2661" s="19">
        <v>41060</v>
      </c>
      <c r="B2661" s="20">
        <v>2.0833333333333332E-2</v>
      </c>
      <c r="C2661" t="str">
        <f t="shared" si="287"/>
        <v>12</v>
      </c>
      <c r="D2661" t="str">
        <f t="shared" si="288"/>
        <v>05</v>
      </c>
      <c r="E2661" t="str">
        <f t="shared" si="289"/>
        <v>31</v>
      </c>
      <c r="F2661">
        <f t="shared" si="290"/>
        <v>2012</v>
      </c>
      <c r="G2661">
        <f t="shared" si="291"/>
        <v>5</v>
      </c>
      <c r="H2661">
        <f t="shared" si="292"/>
        <v>31</v>
      </c>
      <c r="I2661" t="str">
        <f t="shared" si="293"/>
        <v>12</v>
      </c>
    </row>
    <row r="2662" spans="1:9" x14ac:dyDescent="0.25">
      <c r="A2662" s="19">
        <v>41172</v>
      </c>
      <c r="B2662" s="20">
        <v>4.2361111111111113E-2</v>
      </c>
      <c r="C2662" t="str">
        <f t="shared" si="287"/>
        <v>12</v>
      </c>
      <c r="D2662" t="str">
        <f t="shared" si="288"/>
        <v>09</v>
      </c>
      <c r="E2662" t="str">
        <f t="shared" si="289"/>
        <v>20</v>
      </c>
      <c r="F2662">
        <f t="shared" si="290"/>
        <v>2012</v>
      </c>
      <c r="G2662">
        <f t="shared" si="291"/>
        <v>9</v>
      </c>
      <c r="H2662">
        <f t="shared" si="292"/>
        <v>20</v>
      </c>
      <c r="I2662" t="str">
        <f t="shared" si="293"/>
        <v>12</v>
      </c>
    </row>
    <row r="2663" spans="1:9" x14ac:dyDescent="0.25">
      <c r="A2663" s="19">
        <v>41701</v>
      </c>
      <c r="B2663" s="20">
        <v>0.98472222222222228</v>
      </c>
      <c r="C2663" t="str">
        <f t="shared" si="287"/>
        <v>14</v>
      </c>
      <c r="D2663" t="str">
        <f t="shared" si="288"/>
        <v>03</v>
      </c>
      <c r="E2663" t="str">
        <f t="shared" si="289"/>
        <v>03</v>
      </c>
      <c r="F2663">
        <f t="shared" si="290"/>
        <v>2014</v>
      </c>
      <c r="G2663">
        <f t="shared" si="291"/>
        <v>3</v>
      </c>
      <c r="H2663">
        <f t="shared" si="292"/>
        <v>3</v>
      </c>
      <c r="I2663" t="str">
        <f t="shared" si="293"/>
        <v>14</v>
      </c>
    </row>
    <row r="2664" spans="1:9" x14ac:dyDescent="0.25">
      <c r="A2664" s="19">
        <v>41174</v>
      </c>
      <c r="B2664" s="20">
        <v>0.59722222222222221</v>
      </c>
      <c r="C2664" t="str">
        <f t="shared" si="287"/>
        <v>12</v>
      </c>
      <c r="D2664" t="str">
        <f t="shared" si="288"/>
        <v>09</v>
      </c>
      <c r="E2664" t="str">
        <f t="shared" si="289"/>
        <v>22</v>
      </c>
      <c r="F2664">
        <f t="shared" si="290"/>
        <v>2012</v>
      </c>
      <c r="G2664">
        <f t="shared" si="291"/>
        <v>9</v>
      </c>
      <c r="H2664">
        <f t="shared" si="292"/>
        <v>22</v>
      </c>
      <c r="I2664" t="str">
        <f t="shared" si="293"/>
        <v>12</v>
      </c>
    </row>
    <row r="2665" spans="1:9" x14ac:dyDescent="0.25">
      <c r="A2665" s="19">
        <v>41234</v>
      </c>
      <c r="B2665" s="20">
        <v>0.98819444444444449</v>
      </c>
      <c r="C2665" t="str">
        <f t="shared" si="287"/>
        <v>12</v>
      </c>
      <c r="D2665" t="str">
        <f t="shared" si="288"/>
        <v>11</v>
      </c>
      <c r="E2665" t="str">
        <f t="shared" si="289"/>
        <v>21</v>
      </c>
      <c r="F2665">
        <f t="shared" si="290"/>
        <v>2012</v>
      </c>
      <c r="G2665">
        <f t="shared" si="291"/>
        <v>11</v>
      </c>
      <c r="H2665">
        <f t="shared" si="292"/>
        <v>21</v>
      </c>
      <c r="I2665" t="str">
        <f t="shared" si="293"/>
        <v>12</v>
      </c>
    </row>
    <row r="2666" spans="1:9" x14ac:dyDescent="0.25">
      <c r="A2666" s="19">
        <v>41579</v>
      </c>
      <c r="B2666" s="20">
        <v>1.8749999999999999E-2</v>
      </c>
      <c r="C2666" t="str">
        <f t="shared" si="287"/>
        <v>13</v>
      </c>
      <c r="D2666" t="str">
        <f t="shared" si="288"/>
        <v>11</v>
      </c>
      <c r="E2666" t="str">
        <f t="shared" si="289"/>
        <v>01</v>
      </c>
      <c r="F2666">
        <f t="shared" si="290"/>
        <v>2013</v>
      </c>
      <c r="G2666">
        <f t="shared" si="291"/>
        <v>11</v>
      </c>
      <c r="H2666">
        <f t="shared" si="292"/>
        <v>1</v>
      </c>
      <c r="I2666" t="str">
        <f t="shared" si="293"/>
        <v>13</v>
      </c>
    </row>
    <row r="2667" spans="1:9" x14ac:dyDescent="0.25">
      <c r="A2667" s="19">
        <v>41664</v>
      </c>
      <c r="B2667" s="20">
        <v>2.7083333333333334E-2</v>
      </c>
      <c r="C2667" t="str">
        <f t="shared" si="287"/>
        <v>14</v>
      </c>
      <c r="D2667" t="str">
        <f t="shared" si="288"/>
        <v>01</v>
      </c>
      <c r="E2667" t="str">
        <f t="shared" si="289"/>
        <v>25</v>
      </c>
      <c r="F2667">
        <f t="shared" si="290"/>
        <v>2014</v>
      </c>
      <c r="G2667">
        <f t="shared" si="291"/>
        <v>1</v>
      </c>
      <c r="H2667">
        <f t="shared" si="292"/>
        <v>25</v>
      </c>
      <c r="I2667" t="str">
        <f t="shared" si="293"/>
        <v>14</v>
      </c>
    </row>
    <row r="2668" spans="1:9" x14ac:dyDescent="0.25">
      <c r="A2668" s="19">
        <v>42630</v>
      </c>
      <c r="B2668" s="20">
        <v>7.2916666666666671E-2</v>
      </c>
      <c r="C2668" t="str">
        <f t="shared" si="287"/>
        <v>16</v>
      </c>
      <c r="D2668" t="str">
        <f t="shared" si="288"/>
        <v>09</v>
      </c>
      <c r="E2668" t="str">
        <f t="shared" si="289"/>
        <v>17</v>
      </c>
      <c r="F2668">
        <f t="shared" si="290"/>
        <v>2016</v>
      </c>
      <c r="G2668">
        <f t="shared" si="291"/>
        <v>9</v>
      </c>
      <c r="H2668">
        <f t="shared" si="292"/>
        <v>17</v>
      </c>
      <c r="I2668" t="str">
        <f t="shared" si="293"/>
        <v>16</v>
      </c>
    </row>
    <row r="2669" spans="1:9" x14ac:dyDescent="0.25">
      <c r="A2669" s="19">
        <v>42152</v>
      </c>
      <c r="B2669" s="20">
        <v>5.9722222222222225E-2</v>
      </c>
      <c r="C2669" t="str">
        <f t="shared" si="287"/>
        <v>15</v>
      </c>
      <c r="D2669" t="str">
        <f t="shared" si="288"/>
        <v>05</v>
      </c>
      <c r="E2669" t="str">
        <f t="shared" si="289"/>
        <v>28</v>
      </c>
      <c r="F2669">
        <f t="shared" si="290"/>
        <v>2015</v>
      </c>
      <c r="G2669">
        <f t="shared" si="291"/>
        <v>5</v>
      </c>
      <c r="H2669">
        <f t="shared" si="292"/>
        <v>28</v>
      </c>
      <c r="I2669" t="str">
        <f t="shared" si="293"/>
        <v>15</v>
      </c>
    </row>
    <row r="2670" spans="1:9" x14ac:dyDescent="0.25">
      <c r="A2670" s="19">
        <v>41336</v>
      </c>
      <c r="B2670" s="20">
        <v>0.98611111111111116</v>
      </c>
      <c r="C2670" t="str">
        <f t="shared" si="287"/>
        <v>13</v>
      </c>
      <c r="D2670" t="str">
        <f t="shared" si="288"/>
        <v>03</v>
      </c>
      <c r="E2670" t="str">
        <f t="shared" si="289"/>
        <v>03</v>
      </c>
      <c r="F2670">
        <f t="shared" si="290"/>
        <v>2013</v>
      </c>
      <c r="G2670">
        <f t="shared" si="291"/>
        <v>3</v>
      </c>
      <c r="H2670">
        <f t="shared" si="292"/>
        <v>3</v>
      </c>
      <c r="I2670" t="str">
        <f t="shared" si="293"/>
        <v>13</v>
      </c>
    </row>
    <row r="2671" spans="1:9" x14ac:dyDescent="0.25">
      <c r="A2671" s="19">
        <v>42499</v>
      </c>
      <c r="B2671" s="20">
        <v>5.8333333333333334E-2</v>
      </c>
      <c r="C2671" t="str">
        <f t="shared" si="287"/>
        <v>16</v>
      </c>
      <c r="D2671" t="str">
        <f t="shared" si="288"/>
        <v>05</v>
      </c>
      <c r="E2671" t="str">
        <f t="shared" si="289"/>
        <v>09</v>
      </c>
      <c r="F2671">
        <f t="shared" si="290"/>
        <v>2016</v>
      </c>
      <c r="G2671">
        <f t="shared" si="291"/>
        <v>5</v>
      </c>
      <c r="H2671">
        <f t="shared" si="292"/>
        <v>9</v>
      </c>
      <c r="I2671" t="str">
        <f t="shared" si="293"/>
        <v>16</v>
      </c>
    </row>
    <row r="2672" spans="1:9" x14ac:dyDescent="0.25">
      <c r="A2672" s="19">
        <v>41276</v>
      </c>
      <c r="B2672" s="20">
        <v>0.97638888888888886</v>
      </c>
      <c r="C2672" t="str">
        <f t="shared" si="287"/>
        <v>13</v>
      </c>
      <c r="D2672" t="str">
        <f t="shared" si="288"/>
        <v>01</v>
      </c>
      <c r="E2672" t="str">
        <f t="shared" si="289"/>
        <v>02</v>
      </c>
      <c r="F2672">
        <f t="shared" si="290"/>
        <v>2013</v>
      </c>
      <c r="G2672">
        <f t="shared" si="291"/>
        <v>1</v>
      </c>
      <c r="H2672">
        <f t="shared" si="292"/>
        <v>2</v>
      </c>
      <c r="I2672" t="str">
        <f t="shared" si="293"/>
        <v>13</v>
      </c>
    </row>
    <row r="2673" spans="1:9" x14ac:dyDescent="0.25">
      <c r="A2673" s="19">
        <v>41952</v>
      </c>
      <c r="B2673" s="20">
        <v>0.95277777777777772</v>
      </c>
      <c r="C2673" t="str">
        <f t="shared" si="287"/>
        <v>14</v>
      </c>
      <c r="D2673" t="str">
        <f t="shared" si="288"/>
        <v>11</v>
      </c>
      <c r="E2673" t="str">
        <f t="shared" si="289"/>
        <v>09</v>
      </c>
      <c r="F2673">
        <f t="shared" si="290"/>
        <v>2014</v>
      </c>
      <c r="G2673">
        <f t="shared" si="291"/>
        <v>11</v>
      </c>
      <c r="H2673">
        <f t="shared" si="292"/>
        <v>9</v>
      </c>
      <c r="I2673" t="str">
        <f t="shared" si="293"/>
        <v>14</v>
      </c>
    </row>
    <row r="2674" spans="1:9" x14ac:dyDescent="0.25">
      <c r="A2674" s="19">
        <v>42023</v>
      </c>
      <c r="B2674" s="20">
        <v>1.7361111111111112E-2</v>
      </c>
      <c r="C2674" t="str">
        <f t="shared" si="287"/>
        <v>15</v>
      </c>
      <c r="D2674" t="str">
        <f t="shared" si="288"/>
        <v>01</v>
      </c>
      <c r="E2674" t="str">
        <f t="shared" si="289"/>
        <v>19</v>
      </c>
      <c r="F2674">
        <f t="shared" si="290"/>
        <v>2015</v>
      </c>
      <c r="G2674">
        <f t="shared" si="291"/>
        <v>1</v>
      </c>
      <c r="H2674">
        <f t="shared" si="292"/>
        <v>19</v>
      </c>
      <c r="I2674" t="str">
        <f t="shared" si="293"/>
        <v>15</v>
      </c>
    </row>
    <row r="2675" spans="1:9" x14ac:dyDescent="0.25">
      <c r="A2675" s="19">
        <v>41956</v>
      </c>
      <c r="B2675" s="20">
        <v>2.0833333333333332E-2</v>
      </c>
      <c r="C2675" t="str">
        <f t="shared" si="287"/>
        <v>14</v>
      </c>
      <c r="D2675" t="str">
        <f t="shared" si="288"/>
        <v>11</v>
      </c>
      <c r="E2675" t="str">
        <f t="shared" si="289"/>
        <v>13</v>
      </c>
      <c r="F2675">
        <f t="shared" si="290"/>
        <v>2014</v>
      </c>
      <c r="G2675">
        <f t="shared" si="291"/>
        <v>11</v>
      </c>
      <c r="H2675">
        <f t="shared" si="292"/>
        <v>13</v>
      </c>
      <c r="I2675" t="str">
        <f t="shared" si="293"/>
        <v>14</v>
      </c>
    </row>
    <row r="2676" spans="1:9" x14ac:dyDescent="0.25">
      <c r="A2676" s="19">
        <v>42056</v>
      </c>
      <c r="B2676" s="20">
        <v>0.05</v>
      </c>
      <c r="C2676" t="str">
        <f t="shared" si="287"/>
        <v>15</v>
      </c>
      <c r="D2676" t="str">
        <f t="shared" si="288"/>
        <v>02</v>
      </c>
      <c r="E2676" t="str">
        <f t="shared" si="289"/>
        <v>21</v>
      </c>
      <c r="F2676">
        <f t="shared" si="290"/>
        <v>2015</v>
      </c>
      <c r="G2676">
        <f t="shared" si="291"/>
        <v>2</v>
      </c>
      <c r="H2676">
        <f t="shared" si="292"/>
        <v>21</v>
      </c>
      <c r="I2676" t="str">
        <f t="shared" si="293"/>
        <v>15</v>
      </c>
    </row>
    <row r="2677" spans="1:9" x14ac:dyDescent="0.25">
      <c r="A2677" s="19">
        <v>41784</v>
      </c>
      <c r="B2677" s="20">
        <v>0.95486111111111116</v>
      </c>
      <c r="C2677" t="str">
        <f t="shared" si="287"/>
        <v>14</v>
      </c>
      <c r="D2677" t="str">
        <f t="shared" si="288"/>
        <v>05</v>
      </c>
      <c r="E2677" t="str">
        <f t="shared" si="289"/>
        <v>25</v>
      </c>
      <c r="F2677">
        <f t="shared" si="290"/>
        <v>2014</v>
      </c>
      <c r="G2677">
        <f t="shared" si="291"/>
        <v>5</v>
      </c>
      <c r="H2677">
        <f t="shared" si="292"/>
        <v>25</v>
      </c>
      <c r="I2677" t="str">
        <f t="shared" si="293"/>
        <v>14</v>
      </c>
    </row>
    <row r="2678" spans="1:9" x14ac:dyDescent="0.25">
      <c r="A2678" s="19">
        <v>41746</v>
      </c>
      <c r="B2678" s="20">
        <v>0.98333333333333328</v>
      </c>
      <c r="C2678" t="str">
        <f t="shared" si="287"/>
        <v>14</v>
      </c>
      <c r="D2678" t="str">
        <f t="shared" si="288"/>
        <v>04</v>
      </c>
      <c r="E2678" t="str">
        <f t="shared" si="289"/>
        <v>17</v>
      </c>
      <c r="F2678">
        <f t="shared" si="290"/>
        <v>2014</v>
      </c>
      <c r="G2678">
        <f t="shared" si="291"/>
        <v>4</v>
      </c>
      <c r="H2678">
        <f t="shared" si="292"/>
        <v>17</v>
      </c>
      <c r="I2678" t="str">
        <f t="shared" si="293"/>
        <v>14</v>
      </c>
    </row>
    <row r="2679" spans="1:9" x14ac:dyDescent="0.25">
      <c r="A2679" s="19">
        <v>41613</v>
      </c>
      <c r="B2679" s="20">
        <v>1.8749999999999999E-2</v>
      </c>
      <c r="C2679" t="str">
        <f t="shared" si="287"/>
        <v>13</v>
      </c>
      <c r="D2679" t="str">
        <f t="shared" si="288"/>
        <v>12</v>
      </c>
      <c r="E2679" t="str">
        <f t="shared" si="289"/>
        <v>05</v>
      </c>
      <c r="F2679">
        <f t="shared" si="290"/>
        <v>2013</v>
      </c>
      <c r="G2679">
        <f t="shared" si="291"/>
        <v>12</v>
      </c>
      <c r="H2679">
        <f t="shared" si="292"/>
        <v>5</v>
      </c>
      <c r="I2679" t="str">
        <f t="shared" si="293"/>
        <v>13</v>
      </c>
    </row>
    <row r="2680" spans="1:9" x14ac:dyDescent="0.25">
      <c r="A2680" s="19">
        <v>41750</v>
      </c>
      <c r="B2680" s="20">
        <v>3.888888888888889E-2</v>
      </c>
      <c r="C2680" t="str">
        <f t="shared" si="287"/>
        <v>14</v>
      </c>
      <c r="D2680" t="str">
        <f t="shared" si="288"/>
        <v>04</v>
      </c>
      <c r="E2680" t="str">
        <f t="shared" si="289"/>
        <v>21</v>
      </c>
      <c r="F2680">
        <f t="shared" si="290"/>
        <v>2014</v>
      </c>
      <c r="G2680">
        <f t="shared" si="291"/>
        <v>4</v>
      </c>
      <c r="H2680">
        <f t="shared" si="292"/>
        <v>21</v>
      </c>
      <c r="I2680" t="str">
        <f t="shared" si="293"/>
        <v>14</v>
      </c>
    </row>
    <row r="2681" spans="1:9" x14ac:dyDescent="0.25">
      <c r="A2681" s="19">
        <v>41888</v>
      </c>
      <c r="B2681" s="20">
        <v>1.3888888888888889E-3</v>
      </c>
      <c r="C2681" t="str">
        <f t="shared" si="287"/>
        <v>14</v>
      </c>
      <c r="D2681" t="str">
        <f t="shared" si="288"/>
        <v>09</v>
      </c>
      <c r="E2681" t="str">
        <f t="shared" si="289"/>
        <v>06</v>
      </c>
      <c r="F2681">
        <f t="shared" si="290"/>
        <v>2014</v>
      </c>
      <c r="G2681">
        <f t="shared" si="291"/>
        <v>9</v>
      </c>
      <c r="H2681">
        <f t="shared" si="292"/>
        <v>6</v>
      </c>
      <c r="I2681" t="str">
        <f t="shared" si="293"/>
        <v>14</v>
      </c>
    </row>
    <row r="2682" spans="1:9" x14ac:dyDescent="0.25">
      <c r="A2682" s="19">
        <v>42832</v>
      </c>
      <c r="B2682" s="20">
        <v>0.94374999999999998</v>
      </c>
      <c r="C2682" t="str">
        <f t="shared" si="287"/>
        <v>17</v>
      </c>
      <c r="D2682" t="str">
        <f t="shared" si="288"/>
        <v>04</v>
      </c>
      <c r="E2682" t="str">
        <f t="shared" si="289"/>
        <v>07</v>
      </c>
      <c r="F2682">
        <f t="shared" si="290"/>
        <v>2017</v>
      </c>
      <c r="G2682">
        <f t="shared" si="291"/>
        <v>4</v>
      </c>
      <c r="H2682">
        <f t="shared" si="292"/>
        <v>7</v>
      </c>
      <c r="I2682" t="str">
        <f t="shared" si="293"/>
        <v>17</v>
      </c>
    </row>
    <row r="2683" spans="1:9" x14ac:dyDescent="0.25">
      <c r="A2683" s="19">
        <v>42168</v>
      </c>
      <c r="B2683" s="20">
        <v>0.9916666666666667</v>
      </c>
      <c r="C2683" t="str">
        <f t="shared" si="287"/>
        <v>15</v>
      </c>
      <c r="D2683" t="str">
        <f t="shared" si="288"/>
        <v>06</v>
      </c>
      <c r="E2683" t="str">
        <f t="shared" si="289"/>
        <v>13</v>
      </c>
      <c r="F2683">
        <f t="shared" si="290"/>
        <v>2015</v>
      </c>
      <c r="G2683">
        <f t="shared" si="291"/>
        <v>6</v>
      </c>
      <c r="H2683">
        <f t="shared" si="292"/>
        <v>13</v>
      </c>
      <c r="I2683" t="str">
        <f t="shared" si="293"/>
        <v>15</v>
      </c>
    </row>
    <row r="2684" spans="1:9" x14ac:dyDescent="0.25">
      <c r="A2684" s="19">
        <v>41415</v>
      </c>
      <c r="B2684" s="20">
        <v>4.1666666666666666E-3</v>
      </c>
      <c r="C2684" t="str">
        <f t="shared" si="287"/>
        <v>13</v>
      </c>
      <c r="D2684" t="str">
        <f t="shared" si="288"/>
        <v>05</v>
      </c>
      <c r="E2684" t="str">
        <f t="shared" si="289"/>
        <v>21</v>
      </c>
      <c r="F2684">
        <f t="shared" si="290"/>
        <v>2013</v>
      </c>
      <c r="G2684">
        <f t="shared" si="291"/>
        <v>5</v>
      </c>
      <c r="H2684">
        <f t="shared" si="292"/>
        <v>21</v>
      </c>
      <c r="I2684" t="str">
        <f t="shared" si="293"/>
        <v>13</v>
      </c>
    </row>
    <row r="2685" spans="1:9" x14ac:dyDescent="0.25">
      <c r="A2685" s="19">
        <v>41625</v>
      </c>
      <c r="B2685" s="20">
        <v>6.7361111111111108E-2</v>
      </c>
      <c r="C2685" t="str">
        <f t="shared" si="287"/>
        <v>13</v>
      </c>
      <c r="D2685" t="str">
        <f t="shared" si="288"/>
        <v>12</v>
      </c>
      <c r="E2685" t="str">
        <f t="shared" si="289"/>
        <v>17</v>
      </c>
      <c r="F2685">
        <f t="shared" si="290"/>
        <v>2013</v>
      </c>
      <c r="G2685">
        <f t="shared" si="291"/>
        <v>12</v>
      </c>
      <c r="H2685">
        <f t="shared" si="292"/>
        <v>17</v>
      </c>
      <c r="I2685" t="str">
        <f t="shared" si="293"/>
        <v>13</v>
      </c>
    </row>
    <row r="2686" spans="1:9" x14ac:dyDescent="0.25">
      <c r="A2686" s="19">
        <v>41275</v>
      </c>
      <c r="B2686" s="20">
        <v>5.9027777777777776E-2</v>
      </c>
      <c r="C2686" t="str">
        <f t="shared" si="287"/>
        <v>13</v>
      </c>
      <c r="D2686" t="str">
        <f t="shared" si="288"/>
        <v>01</v>
      </c>
      <c r="E2686" t="str">
        <f t="shared" si="289"/>
        <v>01</v>
      </c>
      <c r="F2686">
        <f t="shared" si="290"/>
        <v>2013</v>
      </c>
      <c r="G2686">
        <f t="shared" si="291"/>
        <v>1</v>
      </c>
      <c r="H2686">
        <f t="shared" si="292"/>
        <v>1</v>
      </c>
      <c r="I2686" t="str">
        <f t="shared" si="293"/>
        <v>13</v>
      </c>
    </row>
    <row r="2687" spans="1:9" x14ac:dyDescent="0.25">
      <c r="A2687" s="19">
        <v>41823</v>
      </c>
      <c r="B2687" s="20">
        <v>0.96388888888888891</v>
      </c>
      <c r="C2687" t="str">
        <f t="shared" si="287"/>
        <v>14</v>
      </c>
      <c r="D2687" t="str">
        <f t="shared" si="288"/>
        <v>07</v>
      </c>
      <c r="E2687" t="str">
        <f t="shared" si="289"/>
        <v>03</v>
      </c>
      <c r="F2687">
        <f t="shared" si="290"/>
        <v>2014</v>
      </c>
      <c r="G2687">
        <f t="shared" si="291"/>
        <v>7</v>
      </c>
      <c r="H2687">
        <f t="shared" si="292"/>
        <v>3</v>
      </c>
      <c r="I2687" t="str">
        <f t="shared" si="293"/>
        <v>14</v>
      </c>
    </row>
    <row r="2688" spans="1:9" x14ac:dyDescent="0.25">
      <c r="A2688" s="19">
        <v>41197</v>
      </c>
      <c r="B2688" s="20">
        <v>4.3055555555555555E-2</v>
      </c>
      <c r="C2688" t="str">
        <f t="shared" si="287"/>
        <v>12</v>
      </c>
      <c r="D2688" t="str">
        <f t="shared" si="288"/>
        <v>10</v>
      </c>
      <c r="E2688" t="str">
        <f t="shared" si="289"/>
        <v>15</v>
      </c>
      <c r="F2688">
        <f t="shared" si="290"/>
        <v>2012</v>
      </c>
      <c r="G2688">
        <f t="shared" si="291"/>
        <v>10</v>
      </c>
      <c r="H2688">
        <f t="shared" si="292"/>
        <v>15</v>
      </c>
      <c r="I2688" t="str">
        <f t="shared" si="293"/>
        <v>12</v>
      </c>
    </row>
    <row r="2689" spans="1:9" x14ac:dyDescent="0.25">
      <c r="A2689" s="19">
        <v>41166</v>
      </c>
      <c r="B2689" s="20">
        <v>0.69722222222222219</v>
      </c>
      <c r="C2689" t="str">
        <f t="shared" si="287"/>
        <v>12</v>
      </c>
      <c r="D2689" t="str">
        <f t="shared" si="288"/>
        <v>09</v>
      </c>
      <c r="E2689" t="str">
        <f t="shared" si="289"/>
        <v>14</v>
      </c>
      <c r="F2689">
        <f t="shared" si="290"/>
        <v>2012</v>
      </c>
      <c r="G2689">
        <f t="shared" si="291"/>
        <v>9</v>
      </c>
      <c r="H2689">
        <f t="shared" si="292"/>
        <v>14</v>
      </c>
      <c r="I2689" t="str">
        <f t="shared" si="293"/>
        <v>12</v>
      </c>
    </row>
    <row r="2690" spans="1:9" x14ac:dyDescent="0.25">
      <c r="A2690" s="19">
        <v>41414</v>
      </c>
      <c r="B2690" s="20">
        <v>4.6527777777777779E-2</v>
      </c>
      <c r="C2690" t="str">
        <f t="shared" si="287"/>
        <v>13</v>
      </c>
      <c r="D2690" t="str">
        <f t="shared" si="288"/>
        <v>05</v>
      </c>
      <c r="E2690" t="str">
        <f t="shared" si="289"/>
        <v>20</v>
      </c>
      <c r="F2690">
        <f t="shared" si="290"/>
        <v>2013</v>
      </c>
      <c r="G2690">
        <f t="shared" si="291"/>
        <v>5</v>
      </c>
      <c r="H2690">
        <f t="shared" si="292"/>
        <v>20</v>
      </c>
      <c r="I2690" t="str">
        <f t="shared" si="293"/>
        <v>13</v>
      </c>
    </row>
    <row r="2691" spans="1:9" x14ac:dyDescent="0.25">
      <c r="A2691" s="19">
        <v>41789</v>
      </c>
      <c r="B2691" s="20">
        <v>1.6666666666666666E-2</v>
      </c>
      <c r="C2691" t="str">
        <f t="shared" ref="C2691:C2754" si="294">TEXT(A2691,"YY")</f>
        <v>14</v>
      </c>
      <c r="D2691" t="str">
        <f t="shared" ref="D2691:D2754" si="295">TEXT(A2691,"mm")</f>
        <v>05</v>
      </c>
      <c r="E2691" t="str">
        <f t="shared" ref="E2691:E2754" si="296">TEXT(A2691,"dd")</f>
        <v>30</v>
      </c>
      <c r="F2691">
        <f t="shared" ref="F2691:F2754" si="297">YEAR($A2691)</f>
        <v>2014</v>
      </c>
      <c r="G2691">
        <f t="shared" ref="G2691:G2754" si="298">MONTH($A2691)</f>
        <v>5</v>
      </c>
      <c r="H2691">
        <f t="shared" ref="H2691:H2754" si="299">DAY($A2691)</f>
        <v>30</v>
      </c>
      <c r="I2691" t="str">
        <f t="shared" ref="I2691:I2754" si="300">TEXT($A2691,"YY")</f>
        <v>14</v>
      </c>
    </row>
    <row r="2692" spans="1:9" x14ac:dyDescent="0.25">
      <c r="A2692" s="19">
        <v>41841</v>
      </c>
      <c r="B2692" s="20">
        <v>0.99652777777777779</v>
      </c>
      <c r="C2692" t="str">
        <f t="shared" si="294"/>
        <v>14</v>
      </c>
      <c r="D2692" t="str">
        <f t="shared" si="295"/>
        <v>07</v>
      </c>
      <c r="E2692" t="str">
        <f t="shared" si="296"/>
        <v>21</v>
      </c>
      <c r="F2692">
        <f t="shared" si="297"/>
        <v>2014</v>
      </c>
      <c r="G2692">
        <f t="shared" si="298"/>
        <v>7</v>
      </c>
      <c r="H2692">
        <f t="shared" si="299"/>
        <v>21</v>
      </c>
      <c r="I2692" t="str">
        <f t="shared" si="300"/>
        <v>14</v>
      </c>
    </row>
    <row r="2693" spans="1:9" x14ac:dyDescent="0.25">
      <c r="A2693" s="19">
        <v>41160</v>
      </c>
      <c r="B2693" s="20">
        <v>5.5555555555555558E-3</v>
      </c>
      <c r="C2693" t="str">
        <f t="shared" si="294"/>
        <v>12</v>
      </c>
      <c r="D2693" t="str">
        <f t="shared" si="295"/>
        <v>09</v>
      </c>
      <c r="E2693" t="str">
        <f t="shared" si="296"/>
        <v>08</v>
      </c>
      <c r="F2693">
        <f t="shared" si="297"/>
        <v>2012</v>
      </c>
      <c r="G2693">
        <f t="shared" si="298"/>
        <v>9</v>
      </c>
      <c r="H2693">
        <f t="shared" si="299"/>
        <v>8</v>
      </c>
      <c r="I2693" t="str">
        <f t="shared" si="300"/>
        <v>12</v>
      </c>
    </row>
    <row r="2694" spans="1:9" x14ac:dyDescent="0.25">
      <c r="A2694" s="19">
        <v>41415</v>
      </c>
      <c r="B2694" s="20">
        <v>6.458333333333334E-2</v>
      </c>
      <c r="C2694" t="str">
        <f t="shared" si="294"/>
        <v>13</v>
      </c>
      <c r="D2694" t="str">
        <f t="shared" si="295"/>
        <v>05</v>
      </c>
      <c r="E2694" t="str">
        <f t="shared" si="296"/>
        <v>21</v>
      </c>
      <c r="F2694">
        <f t="shared" si="297"/>
        <v>2013</v>
      </c>
      <c r="G2694">
        <f t="shared" si="298"/>
        <v>5</v>
      </c>
      <c r="H2694">
        <f t="shared" si="299"/>
        <v>21</v>
      </c>
      <c r="I2694" t="str">
        <f t="shared" si="300"/>
        <v>13</v>
      </c>
    </row>
    <row r="2695" spans="1:9" x14ac:dyDescent="0.25">
      <c r="A2695" s="19">
        <v>42250</v>
      </c>
      <c r="B2695" s="20">
        <v>2.7777777777777779E-3</v>
      </c>
      <c r="C2695" t="str">
        <f t="shared" si="294"/>
        <v>15</v>
      </c>
      <c r="D2695" t="str">
        <f t="shared" si="295"/>
        <v>09</v>
      </c>
      <c r="E2695" t="str">
        <f t="shared" si="296"/>
        <v>03</v>
      </c>
      <c r="F2695">
        <f t="shared" si="297"/>
        <v>2015</v>
      </c>
      <c r="G2695">
        <f t="shared" si="298"/>
        <v>9</v>
      </c>
      <c r="H2695">
        <f t="shared" si="299"/>
        <v>3</v>
      </c>
      <c r="I2695" t="str">
        <f t="shared" si="300"/>
        <v>15</v>
      </c>
    </row>
    <row r="2696" spans="1:9" x14ac:dyDescent="0.25">
      <c r="A2696" s="19">
        <v>41725</v>
      </c>
      <c r="B2696" s="20">
        <v>4.027777777777778E-2</v>
      </c>
      <c r="C2696" t="str">
        <f t="shared" si="294"/>
        <v>14</v>
      </c>
      <c r="D2696" t="str">
        <f t="shared" si="295"/>
        <v>03</v>
      </c>
      <c r="E2696" t="str">
        <f t="shared" si="296"/>
        <v>27</v>
      </c>
      <c r="F2696">
        <f t="shared" si="297"/>
        <v>2014</v>
      </c>
      <c r="G2696">
        <f t="shared" si="298"/>
        <v>3</v>
      </c>
      <c r="H2696">
        <f t="shared" si="299"/>
        <v>27</v>
      </c>
      <c r="I2696" t="str">
        <f t="shared" si="300"/>
        <v>14</v>
      </c>
    </row>
    <row r="2697" spans="1:9" x14ac:dyDescent="0.25">
      <c r="A2697" s="19">
        <v>41545</v>
      </c>
      <c r="B2697" s="20">
        <v>5.2083333333333336E-2</v>
      </c>
      <c r="C2697" t="str">
        <f t="shared" si="294"/>
        <v>13</v>
      </c>
      <c r="D2697" t="str">
        <f t="shared" si="295"/>
        <v>09</v>
      </c>
      <c r="E2697" t="str">
        <f t="shared" si="296"/>
        <v>28</v>
      </c>
      <c r="F2697">
        <f t="shared" si="297"/>
        <v>2013</v>
      </c>
      <c r="G2697">
        <f t="shared" si="298"/>
        <v>9</v>
      </c>
      <c r="H2697">
        <f t="shared" si="299"/>
        <v>28</v>
      </c>
      <c r="I2697" t="str">
        <f t="shared" si="300"/>
        <v>13</v>
      </c>
    </row>
    <row r="2698" spans="1:9" x14ac:dyDescent="0.25">
      <c r="A2698" s="19">
        <v>42690</v>
      </c>
      <c r="B2698" s="20">
        <v>1.5972222222222221E-2</v>
      </c>
      <c r="C2698" t="str">
        <f t="shared" si="294"/>
        <v>16</v>
      </c>
      <c r="D2698" t="str">
        <f t="shared" si="295"/>
        <v>11</v>
      </c>
      <c r="E2698" t="str">
        <f t="shared" si="296"/>
        <v>16</v>
      </c>
      <c r="F2698">
        <f t="shared" si="297"/>
        <v>2016</v>
      </c>
      <c r="G2698">
        <f t="shared" si="298"/>
        <v>11</v>
      </c>
      <c r="H2698">
        <f t="shared" si="299"/>
        <v>16</v>
      </c>
      <c r="I2698" t="str">
        <f t="shared" si="300"/>
        <v>16</v>
      </c>
    </row>
    <row r="2699" spans="1:9" x14ac:dyDescent="0.25">
      <c r="A2699" s="19">
        <v>41245</v>
      </c>
      <c r="B2699" s="20">
        <v>5.9722222222222225E-2</v>
      </c>
      <c r="C2699" t="str">
        <f t="shared" si="294"/>
        <v>12</v>
      </c>
      <c r="D2699" t="str">
        <f t="shared" si="295"/>
        <v>12</v>
      </c>
      <c r="E2699" t="str">
        <f t="shared" si="296"/>
        <v>02</v>
      </c>
      <c r="F2699">
        <f t="shared" si="297"/>
        <v>2012</v>
      </c>
      <c r="G2699">
        <f t="shared" si="298"/>
        <v>12</v>
      </c>
      <c r="H2699">
        <f t="shared" si="299"/>
        <v>2</v>
      </c>
      <c r="I2699" t="str">
        <f t="shared" si="300"/>
        <v>12</v>
      </c>
    </row>
    <row r="2700" spans="1:9" x14ac:dyDescent="0.25">
      <c r="A2700" s="19">
        <v>41437</v>
      </c>
      <c r="B2700" s="20">
        <v>5.2777777777777778E-2</v>
      </c>
      <c r="C2700" t="str">
        <f t="shared" si="294"/>
        <v>13</v>
      </c>
      <c r="D2700" t="str">
        <f t="shared" si="295"/>
        <v>06</v>
      </c>
      <c r="E2700" t="str">
        <f t="shared" si="296"/>
        <v>12</v>
      </c>
      <c r="F2700">
        <f t="shared" si="297"/>
        <v>2013</v>
      </c>
      <c r="G2700">
        <f t="shared" si="298"/>
        <v>6</v>
      </c>
      <c r="H2700">
        <f t="shared" si="299"/>
        <v>12</v>
      </c>
      <c r="I2700" t="str">
        <f t="shared" si="300"/>
        <v>13</v>
      </c>
    </row>
    <row r="2701" spans="1:9" x14ac:dyDescent="0.25">
      <c r="A2701" s="19">
        <v>41258</v>
      </c>
      <c r="B2701" s="20">
        <v>5.5555555555555558E-3</v>
      </c>
      <c r="C2701" t="str">
        <f t="shared" si="294"/>
        <v>12</v>
      </c>
      <c r="D2701" t="str">
        <f t="shared" si="295"/>
        <v>12</v>
      </c>
      <c r="E2701" t="str">
        <f t="shared" si="296"/>
        <v>15</v>
      </c>
      <c r="F2701">
        <f t="shared" si="297"/>
        <v>2012</v>
      </c>
      <c r="G2701">
        <f t="shared" si="298"/>
        <v>12</v>
      </c>
      <c r="H2701">
        <f t="shared" si="299"/>
        <v>15</v>
      </c>
      <c r="I2701" t="str">
        <f t="shared" si="300"/>
        <v>12</v>
      </c>
    </row>
    <row r="2702" spans="1:9" x14ac:dyDescent="0.25">
      <c r="A2702" s="19">
        <v>42607</v>
      </c>
      <c r="B2702" s="20">
        <v>0.95972222222222225</v>
      </c>
      <c r="C2702" t="str">
        <f t="shared" si="294"/>
        <v>16</v>
      </c>
      <c r="D2702" t="str">
        <f t="shared" si="295"/>
        <v>08</v>
      </c>
      <c r="E2702" t="str">
        <f t="shared" si="296"/>
        <v>25</v>
      </c>
      <c r="F2702">
        <f t="shared" si="297"/>
        <v>2016</v>
      </c>
      <c r="G2702">
        <f t="shared" si="298"/>
        <v>8</v>
      </c>
      <c r="H2702">
        <f t="shared" si="299"/>
        <v>25</v>
      </c>
      <c r="I2702" t="str">
        <f t="shared" si="300"/>
        <v>16</v>
      </c>
    </row>
    <row r="2703" spans="1:9" x14ac:dyDescent="0.25">
      <c r="A2703" s="19">
        <v>41906</v>
      </c>
      <c r="B2703" s="20">
        <v>3.6805555555555557E-2</v>
      </c>
      <c r="C2703" t="str">
        <f t="shared" si="294"/>
        <v>14</v>
      </c>
      <c r="D2703" t="str">
        <f t="shared" si="295"/>
        <v>09</v>
      </c>
      <c r="E2703" t="str">
        <f t="shared" si="296"/>
        <v>24</v>
      </c>
      <c r="F2703">
        <f t="shared" si="297"/>
        <v>2014</v>
      </c>
      <c r="G2703">
        <f t="shared" si="298"/>
        <v>9</v>
      </c>
      <c r="H2703">
        <f t="shared" si="299"/>
        <v>24</v>
      </c>
      <c r="I2703" t="str">
        <f t="shared" si="300"/>
        <v>14</v>
      </c>
    </row>
    <row r="2704" spans="1:9" x14ac:dyDescent="0.25">
      <c r="A2704" s="19">
        <v>42704</v>
      </c>
      <c r="B2704" s="20">
        <v>0.95486111111111116</v>
      </c>
      <c r="C2704" t="str">
        <f t="shared" si="294"/>
        <v>16</v>
      </c>
      <c r="D2704" t="str">
        <f t="shared" si="295"/>
        <v>11</v>
      </c>
      <c r="E2704" t="str">
        <f t="shared" si="296"/>
        <v>30</v>
      </c>
      <c r="F2704">
        <f t="shared" si="297"/>
        <v>2016</v>
      </c>
      <c r="G2704">
        <f t="shared" si="298"/>
        <v>11</v>
      </c>
      <c r="H2704">
        <f t="shared" si="299"/>
        <v>30</v>
      </c>
      <c r="I2704" t="str">
        <f t="shared" si="300"/>
        <v>16</v>
      </c>
    </row>
    <row r="2705" spans="1:9" x14ac:dyDescent="0.25">
      <c r="A2705" s="19">
        <v>41685</v>
      </c>
      <c r="B2705" s="20">
        <v>0.96388888888888891</v>
      </c>
      <c r="C2705" t="str">
        <f t="shared" si="294"/>
        <v>14</v>
      </c>
      <c r="D2705" t="str">
        <f t="shared" si="295"/>
        <v>02</v>
      </c>
      <c r="E2705" t="str">
        <f t="shared" si="296"/>
        <v>15</v>
      </c>
      <c r="F2705">
        <f t="shared" si="297"/>
        <v>2014</v>
      </c>
      <c r="G2705">
        <f t="shared" si="298"/>
        <v>2</v>
      </c>
      <c r="H2705">
        <f t="shared" si="299"/>
        <v>15</v>
      </c>
      <c r="I2705" t="str">
        <f t="shared" si="300"/>
        <v>14</v>
      </c>
    </row>
    <row r="2706" spans="1:9" x14ac:dyDescent="0.25">
      <c r="A2706" s="19">
        <v>41886</v>
      </c>
      <c r="B2706" s="20">
        <v>8.3333333333333329E-2</v>
      </c>
      <c r="C2706" t="str">
        <f t="shared" si="294"/>
        <v>14</v>
      </c>
      <c r="D2706" t="str">
        <f t="shared" si="295"/>
        <v>09</v>
      </c>
      <c r="E2706" t="str">
        <f t="shared" si="296"/>
        <v>04</v>
      </c>
      <c r="F2706">
        <f t="shared" si="297"/>
        <v>2014</v>
      </c>
      <c r="G2706">
        <f t="shared" si="298"/>
        <v>9</v>
      </c>
      <c r="H2706">
        <f t="shared" si="299"/>
        <v>4</v>
      </c>
      <c r="I2706" t="str">
        <f t="shared" si="300"/>
        <v>14</v>
      </c>
    </row>
    <row r="2707" spans="1:9" x14ac:dyDescent="0.25">
      <c r="A2707" s="19">
        <v>41930</v>
      </c>
      <c r="B2707" s="20">
        <v>0.95833333333333337</v>
      </c>
      <c r="C2707" t="str">
        <f t="shared" si="294"/>
        <v>14</v>
      </c>
      <c r="D2707" t="str">
        <f t="shared" si="295"/>
        <v>10</v>
      </c>
      <c r="E2707" t="str">
        <f t="shared" si="296"/>
        <v>18</v>
      </c>
      <c r="F2707">
        <f t="shared" si="297"/>
        <v>2014</v>
      </c>
      <c r="G2707">
        <f t="shared" si="298"/>
        <v>10</v>
      </c>
      <c r="H2707">
        <f t="shared" si="299"/>
        <v>18</v>
      </c>
      <c r="I2707" t="str">
        <f t="shared" si="300"/>
        <v>14</v>
      </c>
    </row>
    <row r="2708" spans="1:9" x14ac:dyDescent="0.25">
      <c r="A2708" s="19">
        <v>41227</v>
      </c>
      <c r="B2708" s="20">
        <v>0.99652777777777779</v>
      </c>
      <c r="C2708" t="str">
        <f t="shared" si="294"/>
        <v>12</v>
      </c>
      <c r="D2708" t="str">
        <f t="shared" si="295"/>
        <v>11</v>
      </c>
      <c r="E2708" t="str">
        <f t="shared" si="296"/>
        <v>14</v>
      </c>
      <c r="F2708">
        <f t="shared" si="297"/>
        <v>2012</v>
      </c>
      <c r="G2708">
        <f t="shared" si="298"/>
        <v>11</v>
      </c>
      <c r="H2708">
        <f t="shared" si="299"/>
        <v>14</v>
      </c>
      <c r="I2708" t="str">
        <f t="shared" si="300"/>
        <v>12</v>
      </c>
    </row>
    <row r="2709" spans="1:9" x14ac:dyDescent="0.25">
      <c r="A2709" s="19">
        <v>41333</v>
      </c>
      <c r="B2709" s="20">
        <v>3.4027777777777775E-2</v>
      </c>
      <c r="C2709" t="str">
        <f t="shared" si="294"/>
        <v>13</v>
      </c>
      <c r="D2709" t="str">
        <f t="shared" si="295"/>
        <v>02</v>
      </c>
      <c r="E2709" t="str">
        <f t="shared" si="296"/>
        <v>28</v>
      </c>
      <c r="F2709">
        <f t="shared" si="297"/>
        <v>2013</v>
      </c>
      <c r="G2709">
        <f t="shared" si="298"/>
        <v>2</v>
      </c>
      <c r="H2709">
        <f t="shared" si="299"/>
        <v>28</v>
      </c>
      <c r="I2709" t="str">
        <f t="shared" si="300"/>
        <v>13</v>
      </c>
    </row>
    <row r="2710" spans="1:9" x14ac:dyDescent="0.25">
      <c r="A2710" s="19">
        <v>42104</v>
      </c>
      <c r="B2710" s="20">
        <v>0.97847222222222219</v>
      </c>
      <c r="C2710" t="str">
        <f t="shared" si="294"/>
        <v>15</v>
      </c>
      <c r="D2710" t="str">
        <f t="shared" si="295"/>
        <v>04</v>
      </c>
      <c r="E2710" t="str">
        <f t="shared" si="296"/>
        <v>10</v>
      </c>
      <c r="F2710">
        <f t="shared" si="297"/>
        <v>2015</v>
      </c>
      <c r="G2710">
        <f t="shared" si="298"/>
        <v>4</v>
      </c>
      <c r="H2710">
        <f t="shared" si="299"/>
        <v>10</v>
      </c>
      <c r="I2710" t="str">
        <f t="shared" si="300"/>
        <v>15</v>
      </c>
    </row>
    <row r="2711" spans="1:9" x14ac:dyDescent="0.25">
      <c r="A2711" s="19">
        <v>42075</v>
      </c>
      <c r="B2711" s="20">
        <v>2.0833333333333333E-3</v>
      </c>
      <c r="C2711" t="str">
        <f t="shared" si="294"/>
        <v>15</v>
      </c>
      <c r="D2711" t="str">
        <f t="shared" si="295"/>
        <v>03</v>
      </c>
      <c r="E2711" t="str">
        <f t="shared" si="296"/>
        <v>12</v>
      </c>
      <c r="F2711">
        <f t="shared" si="297"/>
        <v>2015</v>
      </c>
      <c r="G2711">
        <f t="shared" si="298"/>
        <v>3</v>
      </c>
      <c r="H2711">
        <f t="shared" si="299"/>
        <v>12</v>
      </c>
      <c r="I2711" t="str">
        <f t="shared" si="300"/>
        <v>15</v>
      </c>
    </row>
    <row r="2712" spans="1:9" x14ac:dyDescent="0.25">
      <c r="A2712" s="19">
        <v>42398</v>
      </c>
      <c r="B2712" s="20">
        <v>4.6527777777777779E-2</v>
      </c>
      <c r="C2712" t="str">
        <f t="shared" si="294"/>
        <v>16</v>
      </c>
      <c r="D2712" t="str">
        <f t="shared" si="295"/>
        <v>01</v>
      </c>
      <c r="E2712" t="str">
        <f t="shared" si="296"/>
        <v>29</v>
      </c>
      <c r="F2712">
        <f t="shared" si="297"/>
        <v>2016</v>
      </c>
      <c r="G2712">
        <f t="shared" si="298"/>
        <v>1</v>
      </c>
      <c r="H2712">
        <f t="shared" si="299"/>
        <v>29</v>
      </c>
      <c r="I2712" t="str">
        <f t="shared" si="300"/>
        <v>16</v>
      </c>
    </row>
    <row r="2713" spans="1:9" x14ac:dyDescent="0.25">
      <c r="A2713" s="19">
        <v>41651</v>
      </c>
      <c r="B2713" s="20">
        <v>6.2500000000000003E-3</v>
      </c>
      <c r="C2713" t="str">
        <f t="shared" si="294"/>
        <v>14</v>
      </c>
      <c r="D2713" t="str">
        <f t="shared" si="295"/>
        <v>01</v>
      </c>
      <c r="E2713" t="str">
        <f t="shared" si="296"/>
        <v>12</v>
      </c>
      <c r="F2713">
        <f t="shared" si="297"/>
        <v>2014</v>
      </c>
      <c r="G2713">
        <f t="shared" si="298"/>
        <v>1</v>
      </c>
      <c r="H2713">
        <f t="shared" si="299"/>
        <v>12</v>
      </c>
      <c r="I2713" t="str">
        <f t="shared" si="300"/>
        <v>14</v>
      </c>
    </row>
    <row r="2714" spans="1:9" x14ac:dyDescent="0.25">
      <c r="A2714" s="19">
        <v>42061</v>
      </c>
      <c r="B2714" s="20">
        <v>0.95416666666666672</v>
      </c>
      <c r="C2714" t="str">
        <f t="shared" si="294"/>
        <v>15</v>
      </c>
      <c r="D2714" t="str">
        <f t="shared" si="295"/>
        <v>02</v>
      </c>
      <c r="E2714" t="str">
        <f t="shared" si="296"/>
        <v>26</v>
      </c>
      <c r="F2714">
        <f t="shared" si="297"/>
        <v>2015</v>
      </c>
      <c r="G2714">
        <f t="shared" si="298"/>
        <v>2</v>
      </c>
      <c r="H2714">
        <f t="shared" si="299"/>
        <v>26</v>
      </c>
      <c r="I2714" t="str">
        <f t="shared" si="300"/>
        <v>15</v>
      </c>
    </row>
    <row r="2715" spans="1:9" x14ac:dyDescent="0.25">
      <c r="A2715" s="19">
        <v>42443</v>
      </c>
      <c r="B2715" s="20">
        <v>6.1111111111111109E-2</v>
      </c>
      <c r="C2715" t="str">
        <f t="shared" si="294"/>
        <v>16</v>
      </c>
      <c r="D2715" t="str">
        <f t="shared" si="295"/>
        <v>03</v>
      </c>
      <c r="E2715" t="str">
        <f t="shared" si="296"/>
        <v>14</v>
      </c>
      <c r="F2715">
        <f t="shared" si="297"/>
        <v>2016</v>
      </c>
      <c r="G2715">
        <f t="shared" si="298"/>
        <v>3</v>
      </c>
      <c r="H2715">
        <f t="shared" si="299"/>
        <v>14</v>
      </c>
      <c r="I2715" t="str">
        <f t="shared" si="300"/>
        <v>16</v>
      </c>
    </row>
    <row r="2716" spans="1:9" x14ac:dyDescent="0.25">
      <c r="A2716" s="19">
        <v>41549</v>
      </c>
      <c r="B2716" s="20">
        <v>2.0833333333333333E-3</v>
      </c>
      <c r="C2716" t="str">
        <f t="shared" si="294"/>
        <v>13</v>
      </c>
      <c r="D2716" t="str">
        <f t="shared" si="295"/>
        <v>10</v>
      </c>
      <c r="E2716" t="str">
        <f t="shared" si="296"/>
        <v>02</v>
      </c>
      <c r="F2716">
        <f t="shared" si="297"/>
        <v>2013</v>
      </c>
      <c r="G2716">
        <f t="shared" si="298"/>
        <v>10</v>
      </c>
      <c r="H2716">
        <f t="shared" si="299"/>
        <v>2</v>
      </c>
      <c r="I2716" t="str">
        <f t="shared" si="300"/>
        <v>13</v>
      </c>
    </row>
    <row r="2717" spans="1:9" x14ac:dyDescent="0.25">
      <c r="A2717" s="19">
        <v>41857</v>
      </c>
      <c r="B2717" s="20">
        <v>4.4444444444444446E-2</v>
      </c>
      <c r="C2717" t="str">
        <f t="shared" si="294"/>
        <v>14</v>
      </c>
      <c r="D2717" t="str">
        <f t="shared" si="295"/>
        <v>08</v>
      </c>
      <c r="E2717" t="str">
        <f t="shared" si="296"/>
        <v>06</v>
      </c>
      <c r="F2717">
        <f t="shared" si="297"/>
        <v>2014</v>
      </c>
      <c r="G2717">
        <f t="shared" si="298"/>
        <v>8</v>
      </c>
      <c r="H2717">
        <f t="shared" si="299"/>
        <v>6</v>
      </c>
      <c r="I2717" t="str">
        <f t="shared" si="300"/>
        <v>14</v>
      </c>
    </row>
    <row r="2718" spans="1:9" x14ac:dyDescent="0.25">
      <c r="A2718" s="19">
        <v>42043</v>
      </c>
      <c r="B2718" s="20">
        <v>2.013888888888889E-2</v>
      </c>
      <c r="C2718" t="str">
        <f t="shared" si="294"/>
        <v>15</v>
      </c>
      <c r="D2718" t="str">
        <f t="shared" si="295"/>
        <v>02</v>
      </c>
      <c r="E2718" t="str">
        <f t="shared" si="296"/>
        <v>08</v>
      </c>
      <c r="F2718">
        <f t="shared" si="297"/>
        <v>2015</v>
      </c>
      <c r="G2718">
        <f t="shared" si="298"/>
        <v>2</v>
      </c>
      <c r="H2718">
        <f t="shared" si="299"/>
        <v>8</v>
      </c>
      <c r="I2718" t="str">
        <f t="shared" si="300"/>
        <v>15</v>
      </c>
    </row>
    <row r="2719" spans="1:9" x14ac:dyDescent="0.25">
      <c r="A2719" s="19">
        <v>42215</v>
      </c>
      <c r="B2719" s="20">
        <v>0.9506944444444444</v>
      </c>
      <c r="C2719" t="str">
        <f t="shared" si="294"/>
        <v>15</v>
      </c>
      <c r="D2719" t="str">
        <f t="shared" si="295"/>
        <v>07</v>
      </c>
      <c r="E2719" t="str">
        <f t="shared" si="296"/>
        <v>30</v>
      </c>
      <c r="F2719">
        <f t="shared" si="297"/>
        <v>2015</v>
      </c>
      <c r="G2719">
        <f t="shared" si="298"/>
        <v>7</v>
      </c>
      <c r="H2719">
        <f t="shared" si="299"/>
        <v>30</v>
      </c>
      <c r="I2719" t="str">
        <f t="shared" si="300"/>
        <v>15</v>
      </c>
    </row>
    <row r="2720" spans="1:9" x14ac:dyDescent="0.25">
      <c r="A2720" s="19">
        <v>41473</v>
      </c>
      <c r="B2720" s="20">
        <v>0.99375000000000002</v>
      </c>
      <c r="C2720" t="str">
        <f t="shared" si="294"/>
        <v>13</v>
      </c>
      <c r="D2720" t="str">
        <f t="shared" si="295"/>
        <v>07</v>
      </c>
      <c r="E2720" t="str">
        <f t="shared" si="296"/>
        <v>18</v>
      </c>
      <c r="F2720">
        <f t="shared" si="297"/>
        <v>2013</v>
      </c>
      <c r="G2720">
        <f t="shared" si="298"/>
        <v>7</v>
      </c>
      <c r="H2720">
        <f t="shared" si="299"/>
        <v>18</v>
      </c>
      <c r="I2720" t="str">
        <f t="shared" si="300"/>
        <v>13</v>
      </c>
    </row>
    <row r="2721" spans="1:9" x14ac:dyDescent="0.25">
      <c r="A2721" s="19">
        <v>41231</v>
      </c>
      <c r="B2721" s="20">
        <v>4.583333333333333E-2</v>
      </c>
      <c r="C2721" t="str">
        <f t="shared" si="294"/>
        <v>12</v>
      </c>
      <c r="D2721" t="str">
        <f t="shared" si="295"/>
        <v>11</v>
      </c>
      <c r="E2721" t="str">
        <f t="shared" si="296"/>
        <v>18</v>
      </c>
      <c r="F2721">
        <f t="shared" si="297"/>
        <v>2012</v>
      </c>
      <c r="G2721">
        <f t="shared" si="298"/>
        <v>11</v>
      </c>
      <c r="H2721">
        <f t="shared" si="299"/>
        <v>18</v>
      </c>
      <c r="I2721" t="str">
        <f t="shared" si="300"/>
        <v>12</v>
      </c>
    </row>
    <row r="2722" spans="1:9" x14ac:dyDescent="0.25">
      <c r="A2722" s="19">
        <v>41961</v>
      </c>
      <c r="B2722" s="20">
        <v>2.2222222222222223E-2</v>
      </c>
      <c r="C2722" t="str">
        <f t="shared" si="294"/>
        <v>14</v>
      </c>
      <c r="D2722" t="str">
        <f t="shared" si="295"/>
        <v>11</v>
      </c>
      <c r="E2722" t="str">
        <f t="shared" si="296"/>
        <v>18</v>
      </c>
      <c r="F2722">
        <f t="shared" si="297"/>
        <v>2014</v>
      </c>
      <c r="G2722">
        <f t="shared" si="298"/>
        <v>11</v>
      </c>
      <c r="H2722">
        <f t="shared" si="299"/>
        <v>18</v>
      </c>
      <c r="I2722" t="str">
        <f t="shared" si="300"/>
        <v>14</v>
      </c>
    </row>
    <row r="2723" spans="1:9" x14ac:dyDescent="0.25">
      <c r="A2723" s="19">
        <v>41892</v>
      </c>
      <c r="B2723" s="20">
        <v>0.98333333333333328</v>
      </c>
      <c r="C2723" t="str">
        <f t="shared" si="294"/>
        <v>14</v>
      </c>
      <c r="D2723" t="str">
        <f t="shared" si="295"/>
        <v>09</v>
      </c>
      <c r="E2723" t="str">
        <f t="shared" si="296"/>
        <v>10</v>
      </c>
      <c r="F2723">
        <f t="shared" si="297"/>
        <v>2014</v>
      </c>
      <c r="G2723">
        <f t="shared" si="298"/>
        <v>9</v>
      </c>
      <c r="H2723">
        <f t="shared" si="299"/>
        <v>10</v>
      </c>
      <c r="I2723" t="str">
        <f t="shared" si="300"/>
        <v>14</v>
      </c>
    </row>
    <row r="2724" spans="1:9" x14ac:dyDescent="0.25">
      <c r="A2724" s="19">
        <v>42017</v>
      </c>
      <c r="B2724" s="20">
        <v>2.361111111111111E-2</v>
      </c>
      <c r="C2724" t="str">
        <f t="shared" si="294"/>
        <v>15</v>
      </c>
      <c r="D2724" t="str">
        <f t="shared" si="295"/>
        <v>01</v>
      </c>
      <c r="E2724" t="str">
        <f t="shared" si="296"/>
        <v>13</v>
      </c>
      <c r="F2724">
        <f t="shared" si="297"/>
        <v>2015</v>
      </c>
      <c r="G2724">
        <f t="shared" si="298"/>
        <v>1</v>
      </c>
      <c r="H2724">
        <f t="shared" si="299"/>
        <v>13</v>
      </c>
      <c r="I2724" t="str">
        <f t="shared" si="300"/>
        <v>15</v>
      </c>
    </row>
    <row r="2725" spans="1:9" x14ac:dyDescent="0.25">
      <c r="A2725" s="19">
        <v>42542</v>
      </c>
      <c r="B2725" s="20">
        <v>2.5000000000000001E-2</v>
      </c>
      <c r="C2725" t="str">
        <f t="shared" si="294"/>
        <v>16</v>
      </c>
      <c r="D2725" t="str">
        <f t="shared" si="295"/>
        <v>06</v>
      </c>
      <c r="E2725" t="str">
        <f t="shared" si="296"/>
        <v>21</v>
      </c>
      <c r="F2725">
        <f t="shared" si="297"/>
        <v>2016</v>
      </c>
      <c r="G2725">
        <f t="shared" si="298"/>
        <v>6</v>
      </c>
      <c r="H2725">
        <f t="shared" si="299"/>
        <v>21</v>
      </c>
      <c r="I2725" t="str">
        <f t="shared" si="300"/>
        <v>16</v>
      </c>
    </row>
    <row r="2726" spans="1:9" x14ac:dyDescent="0.25">
      <c r="A2726" s="19">
        <v>41744</v>
      </c>
      <c r="B2726" s="20">
        <v>1.3888888888888888E-2</v>
      </c>
      <c r="C2726" t="str">
        <f t="shared" si="294"/>
        <v>14</v>
      </c>
      <c r="D2726" t="str">
        <f t="shared" si="295"/>
        <v>04</v>
      </c>
      <c r="E2726" t="str">
        <f t="shared" si="296"/>
        <v>15</v>
      </c>
      <c r="F2726">
        <f t="shared" si="297"/>
        <v>2014</v>
      </c>
      <c r="G2726">
        <f t="shared" si="298"/>
        <v>4</v>
      </c>
      <c r="H2726">
        <f t="shared" si="299"/>
        <v>15</v>
      </c>
      <c r="I2726" t="str">
        <f t="shared" si="300"/>
        <v>14</v>
      </c>
    </row>
    <row r="2727" spans="1:9" x14ac:dyDescent="0.25">
      <c r="A2727" s="19">
        <v>41773</v>
      </c>
      <c r="B2727" s="20">
        <v>5.9722222222222225E-2</v>
      </c>
      <c r="C2727" t="str">
        <f t="shared" si="294"/>
        <v>14</v>
      </c>
      <c r="D2727" t="str">
        <f t="shared" si="295"/>
        <v>05</v>
      </c>
      <c r="E2727" t="str">
        <f t="shared" si="296"/>
        <v>14</v>
      </c>
      <c r="F2727">
        <f t="shared" si="297"/>
        <v>2014</v>
      </c>
      <c r="G2727">
        <f t="shared" si="298"/>
        <v>5</v>
      </c>
      <c r="H2727">
        <f t="shared" si="299"/>
        <v>14</v>
      </c>
      <c r="I2727" t="str">
        <f t="shared" si="300"/>
        <v>14</v>
      </c>
    </row>
    <row r="2728" spans="1:9" x14ac:dyDescent="0.25">
      <c r="A2728" s="19">
        <v>41299</v>
      </c>
      <c r="B2728" s="20">
        <v>7.3611111111111113E-2</v>
      </c>
      <c r="C2728" t="str">
        <f t="shared" si="294"/>
        <v>13</v>
      </c>
      <c r="D2728" t="str">
        <f t="shared" si="295"/>
        <v>01</v>
      </c>
      <c r="E2728" t="str">
        <f t="shared" si="296"/>
        <v>25</v>
      </c>
      <c r="F2728">
        <f t="shared" si="297"/>
        <v>2013</v>
      </c>
      <c r="G2728">
        <f t="shared" si="298"/>
        <v>1</v>
      </c>
      <c r="H2728">
        <f t="shared" si="299"/>
        <v>25</v>
      </c>
      <c r="I2728" t="str">
        <f t="shared" si="300"/>
        <v>13</v>
      </c>
    </row>
    <row r="2729" spans="1:9" x14ac:dyDescent="0.25">
      <c r="A2729" s="19">
        <v>41210</v>
      </c>
      <c r="B2729" s="20">
        <v>5.7638888888888892E-2</v>
      </c>
      <c r="C2729" t="str">
        <f t="shared" si="294"/>
        <v>12</v>
      </c>
      <c r="D2729" t="str">
        <f t="shared" si="295"/>
        <v>10</v>
      </c>
      <c r="E2729" t="str">
        <f t="shared" si="296"/>
        <v>28</v>
      </c>
      <c r="F2729">
        <f t="shared" si="297"/>
        <v>2012</v>
      </c>
      <c r="G2729">
        <f t="shared" si="298"/>
        <v>10</v>
      </c>
      <c r="H2729">
        <f t="shared" si="299"/>
        <v>28</v>
      </c>
      <c r="I2729" t="str">
        <f t="shared" si="300"/>
        <v>12</v>
      </c>
    </row>
    <row r="2730" spans="1:9" x14ac:dyDescent="0.25">
      <c r="A2730" s="19">
        <v>41488</v>
      </c>
      <c r="B2730" s="20">
        <v>4.583333333333333E-2</v>
      </c>
      <c r="C2730" t="str">
        <f t="shared" si="294"/>
        <v>13</v>
      </c>
      <c r="D2730" t="str">
        <f t="shared" si="295"/>
        <v>08</v>
      </c>
      <c r="E2730" t="str">
        <f t="shared" si="296"/>
        <v>02</v>
      </c>
      <c r="F2730">
        <f t="shared" si="297"/>
        <v>2013</v>
      </c>
      <c r="G2730">
        <f t="shared" si="298"/>
        <v>8</v>
      </c>
      <c r="H2730">
        <f t="shared" si="299"/>
        <v>2</v>
      </c>
      <c r="I2730" t="str">
        <f t="shared" si="300"/>
        <v>13</v>
      </c>
    </row>
    <row r="2731" spans="1:9" x14ac:dyDescent="0.25">
      <c r="A2731" s="19">
        <v>41226</v>
      </c>
      <c r="B2731" s="20">
        <v>2.0833333333333333E-3</v>
      </c>
      <c r="C2731" t="str">
        <f t="shared" si="294"/>
        <v>12</v>
      </c>
      <c r="D2731" t="str">
        <f t="shared" si="295"/>
        <v>11</v>
      </c>
      <c r="E2731" t="str">
        <f t="shared" si="296"/>
        <v>13</v>
      </c>
      <c r="F2731">
        <f t="shared" si="297"/>
        <v>2012</v>
      </c>
      <c r="G2731">
        <f t="shared" si="298"/>
        <v>11</v>
      </c>
      <c r="H2731">
        <f t="shared" si="299"/>
        <v>13</v>
      </c>
      <c r="I2731" t="str">
        <f t="shared" si="300"/>
        <v>12</v>
      </c>
    </row>
    <row r="2732" spans="1:9" x14ac:dyDescent="0.25">
      <c r="A2732" s="19">
        <v>42629</v>
      </c>
      <c r="B2732" s="20">
        <v>0.96805555555555556</v>
      </c>
      <c r="C2732" t="str">
        <f t="shared" si="294"/>
        <v>16</v>
      </c>
      <c r="D2732" t="str">
        <f t="shared" si="295"/>
        <v>09</v>
      </c>
      <c r="E2732" t="str">
        <f t="shared" si="296"/>
        <v>16</v>
      </c>
      <c r="F2732">
        <f t="shared" si="297"/>
        <v>2016</v>
      </c>
      <c r="G2732">
        <f t="shared" si="298"/>
        <v>9</v>
      </c>
      <c r="H2732">
        <f t="shared" si="299"/>
        <v>16</v>
      </c>
      <c r="I2732" t="str">
        <f t="shared" si="300"/>
        <v>16</v>
      </c>
    </row>
    <row r="2733" spans="1:9" x14ac:dyDescent="0.25">
      <c r="A2733" s="19">
        <v>41883</v>
      </c>
      <c r="B2733" s="20">
        <v>7.6388888888888886E-3</v>
      </c>
      <c r="C2733" t="str">
        <f t="shared" si="294"/>
        <v>14</v>
      </c>
      <c r="D2733" t="str">
        <f t="shared" si="295"/>
        <v>09</v>
      </c>
      <c r="E2733" t="str">
        <f t="shared" si="296"/>
        <v>01</v>
      </c>
      <c r="F2733">
        <f t="shared" si="297"/>
        <v>2014</v>
      </c>
      <c r="G2733">
        <f t="shared" si="298"/>
        <v>9</v>
      </c>
      <c r="H2733">
        <f t="shared" si="299"/>
        <v>1</v>
      </c>
      <c r="I2733" t="str">
        <f t="shared" si="300"/>
        <v>14</v>
      </c>
    </row>
    <row r="2734" spans="1:9" x14ac:dyDescent="0.25">
      <c r="A2734" s="19">
        <v>41508</v>
      </c>
      <c r="B2734" s="20">
        <v>0.9819444444444444</v>
      </c>
      <c r="C2734" t="str">
        <f t="shared" si="294"/>
        <v>13</v>
      </c>
      <c r="D2734" t="str">
        <f t="shared" si="295"/>
        <v>08</v>
      </c>
      <c r="E2734" t="str">
        <f t="shared" si="296"/>
        <v>22</v>
      </c>
      <c r="F2734">
        <f t="shared" si="297"/>
        <v>2013</v>
      </c>
      <c r="G2734">
        <f t="shared" si="298"/>
        <v>8</v>
      </c>
      <c r="H2734">
        <f t="shared" si="299"/>
        <v>22</v>
      </c>
      <c r="I2734" t="str">
        <f t="shared" si="300"/>
        <v>13</v>
      </c>
    </row>
    <row r="2735" spans="1:9" x14ac:dyDescent="0.25">
      <c r="A2735" s="19">
        <v>41893</v>
      </c>
      <c r="B2735" s="20">
        <v>4.4444444444444446E-2</v>
      </c>
      <c r="C2735" t="str">
        <f t="shared" si="294"/>
        <v>14</v>
      </c>
      <c r="D2735" t="str">
        <f t="shared" si="295"/>
        <v>09</v>
      </c>
      <c r="E2735" t="str">
        <f t="shared" si="296"/>
        <v>11</v>
      </c>
      <c r="F2735">
        <f t="shared" si="297"/>
        <v>2014</v>
      </c>
      <c r="G2735">
        <f t="shared" si="298"/>
        <v>9</v>
      </c>
      <c r="H2735">
        <f t="shared" si="299"/>
        <v>11</v>
      </c>
      <c r="I2735" t="str">
        <f t="shared" si="300"/>
        <v>14</v>
      </c>
    </row>
    <row r="2736" spans="1:9" x14ac:dyDescent="0.25">
      <c r="A2736" s="19">
        <v>41624</v>
      </c>
      <c r="B2736" s="20">
        <v>6.5972222222222224E-2</v>
      </c>
      <c r="C2736" t="str">
        <f t="shared" si="294"/>
        <v>13</v>
      </c>
      <c r="D2736" t="str">
        <f t="shared" si="295"/>
        <v>12</v>
      </c>
      <c r="E2736" t="str">
        <f t="shared" si="296"/>
        <v>16</v>
      </c>
      <c r="F2736">
        <f t="shared" si="297"/>
        <v>2013</v>
      </c>
      <c r="G2736">
        <f t="shared" si="298"/>
        <v>12</v>
      </c>
      <c r="H2736">
        <f t="shared" si="299"/>
        <v>16</v>
      </c>
      <c r="I2736" t="str">
        <f t="shared" si="300"/>
        <v>13</v>
      </c>
    </row>
    <row r="2737" spans="1:9" x14ac:dyDescent="0.25">
      <c r="A2737" s="19">
        <v>42344</v>
      </c>
      <c r="B2737" s="20">
        <v>3.125E-2</v>
      </c>
      <c r="C2737" t="str">
        <f t="shared" si="294"/>
        <v>15</v>
      </c>
      <c r="D2737" t="str">
        <f t="shared" si="295"/>
        <v>12</v>
      </c>
      <c r="E2737" t="str">
        <f t="shared" si="296"/>
        <v>06</v>
      </c>
      <c r="F2737">
        <f t="shared" si="297"/>
        <v>2015</v>
      </c>
      <c r="G2737">
        <f t="shared" si="298"/>
        <v>12</v>
      </c>
      <c r="H2737">
        <f t="shared" si="299"/>
        <v>6</v>
      </c>
      <c r="I2737" t="str">
        <f t="shared" si="300"/>
        <v>15</v>
      </c>
    </row>
    <row r="2738" spans="1:9" x14ac:dyDescent="0.25">
      <c r="A2738" s="19">
        <v>42078</v>
      </c>
      <c r="B2738" s="20">
        <v>3.3333333333333333E-2</v>
      </c>
      <c r="C2738" t="str">
        <f t="shared" si="294"/>
        <v>15</v>
      </c>
      <c r="D2738" t="str">
        <f t="shared" si="295"/>
        <v>03</v>
      </c>
      <c r="E2738" t="str">
        <f t="shared" si="296"/>
        <v>15</v>
      </c>
      <c r="F2738">
        <f t="shared" si="297"/>
        <v>2015</v>
      </c>
      <c r="G2738">
        <f t="shared" si="298"/>
        <v>3</v>
      </c>
      <c r="H2738">
        <f t="shared" si="299"/>
        <v>15</v>
      </c>
      <c r="I2738" t="str">
        <f t="shared" si="300"/>
        <v>15</v>
      </c>
    </row>
    <row r="2739" spans="1:9" x14ac:dyDescent="0.25">
      <c r="A2739" s="19">
        <v>42229</v>
      </c>
      <c r="B2739" s="20">
        <v>4.1666666666666666E-3</v>
      </c>
      <c r="C2739" t="str">
        <f t="shared" si="294"/>
        <v>15</v>
      </c>
      <c r="D2739" t="str">
        <f t="shared" si="295"/>
        <v>08</v>
      </c>
      <c r="E2739" t="str">
        <f t="shared" si="296"/>
        <v>13</v>
      </c>
      <c r="F2739">
        <f t="shared" si="297"/>
        <v>2015</v>
      </c>
      <c r="G2739">
        <f t="shared" si="298"/>
        <v>8</v>
      </c>
      <c r="H2739">
        <f t="shared" si="299"/>
        <v>13</v>
      </c>
      <c r="I2739" t="str">
        <f t="shared" si="300"/>
        <v>15</v>
      </c>
    </row>
    <row r="2740" spans="1:9" x14ac:dyDescent="0.25">
      <c r="A2740" s="19">
        <v>41700</v>
      </c>
      <c r="B2740" s="20">
        <v>5.1388888888888887E-2</v>
      </c>
      <c r="C2740" t="str">
        <f t="shared" si="294"/>
        <v>14</v>
      </c>
      <c r="D2740" t="str">
        <f t="shared" si="295"/>
        <v>03</v>
      </c>
      <c r="E2740" t="str">
        <f t="shared" si="296"/>
        <v>02</v>
      </c>
      <c r="F2740">
        <f t="shared" si="297"/>
        <v>2014</v>
      </c>
      <c r="G2740">
        <f t="shared" si="298"/>
        <v>3</v>
      </c>
      <c r="H2740">
        <f t="shared" si="299"/>
        <v>2</v>
      </c>
      <c r="I2740" t="str">
        <f t="shared" si="300"/>
        <v>14</v>
      </c>
    </row>
    <row r="2741" spans="1:9" x14ac:dyDescent="0.25">
      <c r="A2741" s="19">
        <v>41156</v>
      </c>
      <c r="B2741" s="20">
        <v>6.7361111111111108E-2</v>
      </c>
      <c r="C2741" t="str">
        <f t="shared" si="294"/>
        <v>12</v>
      </c>
      <c r="D2741" t="str">
        <f t="shared" si="295"/>
        <v>09</v>
      </c>
      <c r="E2741" t="str">
        <f t="shared" si="296"/>
        <v>04</v>
      </c>
      <c r="F2741">
        <f t="shared" si="297"/>
        <v>2012</v>
      </c>
      <c r="G2741">
        <f t="shared" si="298"/>
        <v>9</v>
      </c>
      <c r="H2741">
        <f t="shared" si="299"/>
        <v>4</v>
      </c>
      <c r="I2741" t="str">
        <f t="shared" si="300"/>
        <v>12</v>
      </c>
    </row>
    <row r="2742" spans="1:9" x14ac:dyDescent="0.25">
      <c r="A2742" s="19">
        <v>42111</v>
      </c>
      <c r="B2742" s="20">
        <v>0.93819444444444444</v>
      </c>
      <c r="C2742" t="str">
        <f t="shared" si="294"/>
        <v>15</v>
      </c>
      <c r="D2742" t="str">
        <f t="shared" si="295"/>
        <v>04</v>
      </c>
      <c r="E2742" t="str">
        <f t="shared" si="296"/>
        <v>17</v>
      </c>
      <c r="F2742">
        <f t="shared" si="297"/>
        <v>2015</v>
      </c>
      <c r="G2742">
        <f t="shared" si="298"/>
        <v>4</v>
      </c>
      <c r="H2742">
        <f t="shared" si="299"/>
        <v>17</v>
      </c>
      <c r="I2742" t="str">
        <f t="shared" si="300"/>
        <v>15</v>
      </c>
    </row>
    <row r="2743" spans="1:9" x14ac:dyDescent="0.25">
      <c r="A2743" s="19">
        <v>42176</v>
      </c>
      <c r="B2743" s="20">
        <v>6.25E-2</v>
      </c>
      <c r="C2743" t="str">
        <f t="shared" si="294"/>
        <v>15</v>
      </c>
      <c r="D2743" t="str">
        <f t="shared" si="295"/>
        <v>06</v>
      </c>
      <c r="E2743" t="str">
        <f t="shared" si="296"/>
        <v>21</v>
      </c>
      <c r="F2743">
        <f t="shared" si="297"/>
        <v>2015</v>
      </c>
      <c r="G2743">
        <f t="shared" si="298"/>
        <v>6</v>
      </c>
      <c r="H2743">
        <f t="shared" si="299"/>
        <v>21</v>
      </c>
      <c r="I2743" t="str">
        <f t="shared" si="300"/>
        <v>15</v>
      </c>
    </row>
    <row r="2744" spans="1:9" x14ac:dyDescent="0.25">
      <c r="A2744" s="19">
        <v>41831</v>
      </c>
      <c r="B2744" s="20">
        <v>0.95486111111111116</v>
      </c>
      <c r="C2744" t="str">
        <f t="shared" si="294"/>
        <v>14</v>
      </c>
      <c r="D2744" t="str">
        <f t="shared" si="295"/>
        <v>07</v>
      </c>
      <c r="E2744" t="str">
        <f t="shared" si="296"/>
        <v>11</v>
      </c>
      <c r="F2744">
        <f t="shared" si="297"/>
        <v>2014</v>
      </c>
      <c r="G2744">
        <f t="shared" si="298"/>
        <v>7</v>
      </c>
      <c r="H2744">
        <f t="shared" si="299"/>
        <v>11</v>
      </c>
      <c r="I2744" t="str">
        <f t="shared" si="300"/>
        <v>14</v>
      </c>
    </row>
    <row r="2745" spans="1:9" x14ac:dyDescent="0.25">
      <c r="A2745" s="19">
        <v>42449</v>
      </c>
      <c r="B2745" s="20">
        <v>2.0833333333333332E-2</v>
      </c>
      <c r="C2745" t="str">
        <f t="shared" si="294"/>
        <v>16</v>
      </c>
      <c r="D2745" t="str">
        <f t="shared" si="295"/>
        <v>03</v>
      </c>
      <c r="E2745" t="str">
        <f t="shared" si="296"/>
        <v>20</v>
      </c>
      <c r="F2745">
        <f t="shared" si="297"/>
        <v>2016</v>
      </c>
      <c r="G2745">
        <f t="shared" si="298"/>
        <v>3</v>
      </c>
      <c r="H2745">
        <f t="shared" si="299"/>
        <v>20</v>
      </c>
      <c r="I2745" t="str">
        <f t="shared" si="300"/>
        <v>16</v>
      </c>
    </row>
    <row r="2746" spans="1:9" x14ac:dyDescent="0.25">
      <c r="A2746" s="19">
        <v>42851</v>
      </c>
      <c r="B2746" s="20">
        <v>3.9583333333333331E-2</v>
      </c>
      <c r="C2746" t="str">
        <f t="shared" si="294"/>
        <v>17</v>
      </c>
      <c r="D2746" t="str">
        <f t="shared" si="295"/>
        <v>04</v>
      </c>
      <c r="E2746" t="str">
        <f t="shared" si="296"/>
        <v>26</v>
      </c>
      <c r="F2746">
        <f t="shared" si="297"/>
        <v>2017</v>
      </c>
      <c r="G2746">
        <f t="shared" si="298"/>
        <v>4</v>
      </c>
      <c r="H2746">
        <f t="shared" si="299"/>
        <v>26</v>
      </c>
      <c r="I2746" t="str">
        <f t="shared" si="300"/>
        <v>17</v>
      </c>
    </row>
    <row r="2747" spans="1:9" x14ac:dyDescent="0.25">
      <c r="A2747" s="19">
        <v>41727</v>
      </c>
      <c r="B2747" s="20">
        <v>2.4305555555555556E-2</v>
      </c>
      <c r="C2747" t="str">
        <f t="shared" si="294"/>
        <v>14</v>
      </c>
      <c r="D2747" t="str">
        <f t="shared" si="295"/>
        <v>03</v>
      </c>
      <c r="E2747" t="str">
        <f t="shared" si="296"/>
        <v>29</v>
      </c>
      <c r="F2747">
        <f t="shared" si="297"/>
        <v>2014</v>
      </c>
      <c r="G2747">
        <f t="shared" si="298"/>
        <v>3</v>
      </c>
      <c r="H2747">
        <f t="shared" si="299"/>
        <v>29</v>
      </c>
      <c r="I2747" t="str">
        <f t="shared" si="300"/>
        <v>14</v>
      </c>
    </row>
    <row r="2748" spans="1:9" x14ac:dyDescent="0.25">
      <c r="A2748" s="19">
        <v>41732</v>
      </c>
      <c r="B2748" s="20">
        <v>6.5277777777777782E-2</v>
      </c>
      <c r="C2748" t="str">
        <f t="shared" si="294"/>
        <v>14</v>
      </c>
      <c r="D2748" t="str">
        <f t="shared" si="295"/>
        <v>04</v>
      </c>
      <c r="E2748" t="str">
        <f t="shared" si="296"/>
        <v>03</v>
      </c>
      <c r="F2748">
        <f t="shared" si="297"/>
        <v>2014</v>
      </c>
      <c r="G2748">
        <f t="shared" si="298"/>
        <v>4</v>
      </c>
      <c r="H2748">
        <f t="shared" si="299"/>
        <v>3</v>
      </c>
      <c r="I2748" t="str">
        <f t="shared" si="300"/>
        <v>14</v>
      </c>
    </row>
    <row r="2749" spans="1:9" x14ac:dyDescent="0.25">
      <c r="A2749" s="19">
        <v>42521</v>
      </c>
      <c r="B2749" s="20">
        <v>0.94374999999999998</v>
      </c>
      <c r="C2749" t="str">
        <f t="shared" si="294"/>
        <v>16</v>
      </c>
      <c r="D2749" t="str">
        <f t="shared" si="295"/>
        <v>05</v>
      </c>
      <c r="E2749" t="str">
        <f t="shared" si="296"/>
        <v>31</v>
      </c>
      <c r="F2749">
        <f t="shared" si="297"/>
        <v>2016</v>
      </c>
      <c r="G2749">
        <f t="shared" si="298"/>
        <v>5</v>
      </c>
      <c r="H2749">
        <f t="shared" si="299"/>
        <v>31</v>
      </c>
      <c r="I2749" t="str">
        <f t="shared" si="300"/>
        <v>16</v>
      </c>
    </row>
    <row r="2750" spans="1:9" x14ac:dyDescent="0.25">
      <c r="A2750" s="19">
        <v>41800</v>
      </c>
      <c r="B2750" s="20">
        <v>2.9861111111111113E-2</v>
      </c>
      <c r="C2750" t="str">
        <f t="shared" si="294"/>
        <v>14</v>
      </c>
      <c r="D2750" t="str">
        <f t="shared" si="295"/>
        <v>06</v>
      </c>
      <c r="E2750" t="str">
        <f t="shared" si="296"/>
        <v>10</v>
      </c>
      <c r="F2750">
        <f t="shared" si="297"/>
        <v>2014</v>
      </c>
      <c r="G2750">
        <f t="shared" si="298"/>
        <v>6</v>
      </c>
      <c r="H2750">
        <f t="shared" si="299"/>
        <v>10</v>
      </c>
      <c r="I2750" t="str">
        <f t="shared" si="300"/>
        <v>14</v>
      </c>
    </row>
    <row r="2751" spans="1:9" x14ac:dyDescent="0.25">
      <c r="A2751" s="19">
        <v>42307</v>
      </c>
      <c r="B2751" s="20">
        <v>4.791666666666667E-2</v>
      </c>
      <c r="C2751" t="str">
        <f t="shared" si="294"/>
        <v>15</v>
      </c>
      <c r="D2751" t="str">
        <f t="shared" si="295"/>
        <v>10</v>
      </c>
      <c r="E2751" t="str">
        <f t="shared" si="296"/>
        <v>30</v>
      </c>
      <c r="F2751">
        <f t="shared" si="297"/>
        <v>2015</v>
      </c>
      <c r="G2751">
        <f t="shared" si="298"/>
        <v>10</v>
      </c>
      <c r="H2751">
        <f t="shared" si="299"/>
        <v>30</v>
      </c>
      <c r="I2751" t="str">
        <f t="shared" si="300"/>
        <v>15</v>
      </c>
    </row>
    <row r="2752" spans="1:9" x14ac:dyDescent="0.25">
      <c r="A2752" s="19">
        <v>42708</v>
      </c>
      <c r="B2752" s="20">
        <v>0.97152777777777777</v>
      </c>
      <c r="C2752" t="str">
        <f t="shared" si="294"/>
        <v>16</v>
      </c>
      <c r="D2752" t="str">
        <f t="shared" si="295"/>
        <v>12</v>
      </c>
      <c r="E2752" t="str">
        <f t="shared" si="296"/>
        <v>04</v>
      </c>
      <c r="F2752">
        <f t="shared" si="297"/>
        <v>2016</v>
      </c>
      <c r="G2752">
        <f t="shared" si="298"/>
        <v>12</v>
      </c>
      <c r="H2752">
        <f t="shared" si="299"/>
        <v>4</v>
      </c>
      <c r="I2752" t="str">
        <f t="shared" si="300"/>
        <v>16</v>
      </c>
    </row>
    <row r="2753" spans="1:9" x14ac:dyDescent="0.25">
      <c r="A2753" s="19">
        <v>41955</v>
      </c>
      <c r="B2753" s="20">
        <v>0.97569444444444442</v>
      </c>
      <c r="C2753" t="str">
        <f t="shared" si="294"/>
        <v>14</v>
      </c>
      <c r="D2753" t="str">
        <f t="shared" si="295"/>
        <v>11</v>
      </c>
      <c r="E2753" t="str">
        <f t="shared" si="296"/>
        <v>12</v>
      </c>
      <c r="F2753">
        <f t="shared" si="297"/>
        <v>2014</v>
      </c>
      <c r="G2753">
        <f t="shared" si="298"/>
        <v>11</v>
      </c>
      <c r="H2753">
        <f t="shared" si="299"/>
        <v>12</v>
      </c>
      <c r="I2753" t="str">
        <f t="shared" si="300"/>
        <v>14</v>
      </c>
    </row>
    <row r="2754" spans="1:9" x14ac:dyDescent="0.25">
      <c r="A2754" s="19">
        <v>42379</v>
      </c>
      <c r="B2754" s="20">
        <v>0.99027777777777781</v>
      </c>
      <c r="C2754" t="str">
        <f t="shared" si="294"/>
        <v>16</v>
      </c>
      <c r="D2754" t="str">
        <f t="shared" si="295"/>
        <v>01</v>
      </c>
      <c r="E2754" t="str">
        <f t="shared" si="296"/>
        <v>10</v>
      </c>
      <c r="F2754">
        <f t="shared" si="297"/>
        <v>2016</v>
      </c>
      <c r="G2754">
        <f t="shared" si="298"/>
        <v>1</v>
      </c>
      <c r="H2754">
        <f t="shared" si="299"/>
        <v>10</v>
      </c>
      <c r="I2754" t="str">
        <f t="shared" si="300"/>
        <v>16</v>
      </c>
    </row>
    <row r="2755" spans="1:9" x14ac:dyDescent="0.25">
      <c r="A2755" s="19">
        <v>42269</v>
      </c>
      <c r="B2755" s="20">
        <v>6.2500000000000003E-3</v>
      </c>
      <c r="C2755" t="str">
        <f t="shared" ref="C2755:C2818" si="301">TEXT(A2755,"YY")</f>
        <v>15</v>
      </c>
      <c r="D2755" t="str">
        <f t="shared" ref="D2755:D2818" si="302">TEXT(A2755,"mm")</f>
        <v>09</v>
      </c>
      <c r="E2755" t="str">
        <f t="shared" ref="E2755:E2818" si="303">TEXT(A2755,"dd")</f>
        <v>22</v>
      </c>
      <c r="F2755">
        <f t="shared" ref="F2755:F2818" si="304">YEAR($A2755)</f>
        <v>2015</v>
      </c>
      <c r="G2755">
        <f t="shared" ref="G2755:G2818" si="305">MONTH($A2755)</f>
        <v>9</v>
      </c>
      <c r="H2755">
        <f t="shared" ref="H2755:H2818" si="306">DAY($A2755)</f>
        <v>22</v>
      </c>
      <c r="I2755" t="str">
        <f t="shared" ref="I2755:I2818" si="307">TEXT($A2755,"YY")</f>
        <v>15</v>
      </c>
    </row>
    <row r="2756" spans="1:9" x14ac:dyDescent="0.25">
      <c r="A2756" s="19">
        <v>41416</v>
      </c>
      <c r="B2756" s="20">
        <v>1.0416666666666666E-2</v>
      </c>
      <c r="C2756" t="str">
        <f t="shared" si="301"/>
        <v>13</v>
      </c>
      <c r="D2756" t="str">
        <f t="shared" si="302"/>
        <v>05</v>
      </c>
      <c r="E2756" t="str">
        <f t="shared" si="303"/>
        <v>22</v>
      </c>
      <c r="F2756">
        <f t="shared" si="304"/>
        <v>2013</v>
      </c>
      <c r="G2756">
        <f t="shared" si="305"/>
        <v>5</v>
      </c>
      <c r="H2756">
        <f t="shared" si="306"/>
        <v>22</v>
      </c>
      <c r="I2756" t="str">
        <f t="shared" si="307"/>
        <v>13</v>
      </c>
    </row>
    <row r="2757" spans="1:9" x14ac:dyDescent="0.25">
      <c r="A2757" s="19">
        <v>41290</v>
      </c>
      <c r="B2757" s="20">
        <v>0.05</v>
      </c>
      <c r="C2757" t="str">
        <f t="shared" si="301"/>
        <v>13</v>
      </c>
      <c r="D2757" t="str">
        <f t="shared" si="302"/>
        <v>01</v>
      </c>
      <c r="E2757" t="str">
        <f t="shared" si="303"/>
        <v>16</v>
      </c>
      <c r="F2757">
        <f t="shared" si="304"/>
        <v>2013</v>
      </c>
      <c r="G2757">
        <f t="shared" si="305"/>
        <v>1</v>
      </c>
      <c r="H2757">
        <f t="shared" si="306"/>
        <v>16</v>
      </c>
      <c r="I2757" t="str">
        <f t="shared" si="307"/>
        <v>13</v>
      </c>
    </row>
    <row r="2758" spans="1:9" x14ac:dyDescent="0.25">
      <c r="A2758" s="19">
        <v>41156</v>
      </c>
      <c r="B2758" s="20">
        <v>1.6666666666666666E-2</v>
      </c>
      <c r="C2758" t="str">
        <f t="shared" si="301"/>
        <v>12</v>
      </c>
      <c r="D2758" t="str">
        <f t="shared" si="302"/>
        <v>09</v>
      </c>
      <c r="E2758" t="str">
        <f t="shared" si="303"/>
        <v>04</v>
      </c>
      <c r="F2758">
        <f t="shared" si="304"/>
        <v>2012</v>
      </c>
      <c r="G2758">
        <f t="shared" si="305"/>
        <v>9</v>
      </c>
      <c r="H2758">
        <f t="shared" si="306"/>
        <v>4</v>
      </c>
      <c r="I2758" t="str">
        <f t="shared" si="307"/>
        <v>12</v>
      </c>
    </row>
    <row r="2759" spans="1:9" x14ac:dyDescent="0.25">
      <c r="A2759" s="19">
        <v>42011</v>
      </c>
      <c r="B2759" s="20">
        <v>7.0833333333333331E-2</v>
      </c>
      <c r="C2759" t="str">
        <f t="shared" si="301"/>
        <v>15</v>
      </c>
      <c r="D2759" t="str">
        <f t="shared" si="302"/>
        <v>01</v>
      </c>
      <c r="E2759" t="str">
        <f t="shared" si="303"/>
        <v>07</v>
      </c>
      <c r="F2759">
        <f t="shared" si="304"/>
        <v>2015</v>
      </c>
      <c r="G2759">
        <f t="shared" si="305"/>
        <v>1</v>
      </c>
      <c r="H2759">
        <f t="shared" si="306"/>
        <v>7</v>
      </c>
      <c r="I2759" t="str">
        <f t="shared" si="307"/>
        <v>15</v>
      </c>
    </row>
    <row r="2760" spans="1:9" x14ac:dyDescent="0.25">
      <c r="A2760" s="19">
        <v>41084</v>
      </c>
      <c r="B2760" s="20">
        <v>1.5972222222222221E-2</v>
      </c>
      <c r="C2760" t="str">
        <f t="shared" si="301"/>
        <v>12</v>
      </c>
      <c r="D2760" t="str">
        <f t="shared" si="302"/>
        <v>06</v>
      </c>
      <c r="E2760" t="str">
        <f t="shared" si="303"/>
        <v>24</v>
      </c>
      <c r="F2760">
        <f t="shared" si="304"/>
        <v>2012</v>
      </c>
      <c r="G2760">
        <f t="shared" si="305"/>
        <v>6</v>
      </c>
      <c r="H2760">
        <f t="shared" si="306"/>
        <v>24</v>
      </c>
      <c r="I2760" t="str">
        <f t="shared" si="307"/>
        <v>12</v>
      </c>
    </row>
    <row r="2761" spans="1:9" x14ac:dyDescent="0.25">
      <c r="A2761" s="19">
        <v>41713</v>
      </c>
      <c r="B2761" s="20">
        <v>0.99236111111111114</v>
      </c>
      <c r="C2761" t="str">
        <f t="shared" si="301"/>
        <v>14</v>
      </c>
      <c r="D2761" t="str">
        <f t="shared" si="302"/>
        <v>03</v>
      </c>
      <c r="E2761" t="str">
        <f t="shared" si="303"/>
        <v>15</v>
      </c>
      <c r="F2761">
        <f t="shared" si="304"/>
        <v>2014</v>
      </c>
      <c r="G2761">
        <f t="shared" si="305"/>
        <v>3</v>
      </c>
      <c r="H2761">
        <f t="shared" si="306"/>
        <v>15</v>
      </c>
      <c r="I2761" t="str">
        <f t="shared" si="307"/>
        <v>14</v>
      </c>
    </row>
    <row r="2762" spans="1:9" x14ac:dyDescent="0.25">
      <c r="A2762" s="19">
        <v>41630</v>
      </c>
      <c r="B2762" s="20">
        <v>5.347222222222222E-2</v>
      </c>
      <c r="C2762" t="str">
        <f t="shared" si="301"/>
        <v>13</v>
      </c>
      <c r="D2762" t="str">
        <f t="shared" si="302"/>
        <v>12</v>
      </c>
      <c r="E2762" t="str">
        <f t="shared" si="303"/>
        <v>22</v>
      </c>
      <c r="F2762">
        <f t="shared" si="304"/>
        <v>2013</v>
      </c>
      <c r="G2762">
        <f t="shared" si="305"/>
        <v>12</v>
      </c>
      <c r="H2762">
        <f t="shared" si="306"/>
        <v>22</v>
      </c>
      <c r="I2762" t="str">
        <f t="shared" si="307"/>
        <v>13</v>
      </c>
    </row>
    <row r="2763" spans="1:9" x14ac:dyDescent="0.25">
      <c r="A2763" s="19">
        <v>41217</v>
      </c>
      <c r="B2763" s="20">
        <v>8.3333333333333329E-2</v>
      </c>
      <c r="C2763" t="str">
        <f t="shared" si="301"/>
        <v>12</v>
      </c>
      <c r="D2763" t="str">
        <f t="shared" si="302"/>
        <v>11</v>
      </c>
      <c r="E2763" t="str">
        <f t="shared" si="303"/>
        <v>04</v>
      </c>
      <c r="F2763">
        <f t="shared" si="304"/>
        <v>2012</v>
      </c>
      <c r="G2763">
        <f t="shared" si="305"/>
        <v>11</v>
      </c>
      <c r="H2763">
        <f t="shared" si="306"/>
        <v>4</v>
      </c>
      <c r="I2763" t="str">
        <f t="shared" si="307"/>
        <v>12</v>
      </c>
    </row>
    <row r="2764" spans="1:9" x14ac:dyDescent="0.25">
      <c r="A2764" s="19">
        <v>41216</v>
      </c>
      <c r="B2764" s="20">
        <v>3.5416666666666666E-2</v>
      </c>
      <c r="C2764" t="str">
        <f t="shared" si="301"/>
        <v>12</v>
      </c>
      <c r="D2764" t="str">
        <f t="shared" si="302"/>
        <v>11</v>
      </c>
      <c r="E2764" t="str">
        <f t="shared" si="303"/>
        <v>03</v>
      </c>
      <c r="F2764">
        <f t="shared" si="304"/>
        <v>2012</v>
      </c>
      <c r="G2764">
        <f t="shared" si="305"/>
        <v>11</v>
      </c>
      <c r="H2764">
        <f t="shared" si="306"/>
        <v>3</v>
      </c>
      <c r="I2764" t="str">
        <f t="shared" si="307"/>
        <v>12</v>
      </c>
    </row>
    <row r="2765" spans="1:9" x14ac:dyDescent="0.25">
      <c r="A2765" s="19">
        <v>41461</v>
      </c>
      <c r="B2765" s="20">
        <v>3.3333333333333333E-2</v>
      </c>
      <c r="C2765" t="str">
        <f t="shared" si="301"/>
        <v>13</v>
      </c>
      <c r="D2765" t="str">
        <f t="shared" si="302"/>
        <v>07</v>
      </c>
      <c r="E2765" t="str">
        <f t="shared" si="303"/>
        <v>06</v>
      </c>
      <c r="F2765">
        <f t="shared" si="304"/>
        <v>2013</v>
      </c>
      <c r="G2765">
        <f t="shared" si="305"/>
        <v>7</v>
      </c>
      <c r="H2765">
        <f t="shared" si="306"/>
        <v>6</v>
      </c>
      <c r="I2765" t="str">
        <f t="shared" si="307"/>
        <v>13</v>
      </c>
    </row>
    <row r="2766" spans="1:9" x14ac:dyDescent="0.25">
      <c r="A2766" s="19">
        <v>41647</v>
      </c>
      <c r="B2766" s="20">
        <v>6.805555555555555E-2</v>
      </c>
      <c r="C2766" t="str">
        <f t="shared" si="301"/>
        <v>14</v>
      </c>
      <c r="D2766" t="str">
        <f t="shared" si="302"/>
        <v>01</v>
      </c>
      <c r="E2766" t="str">
        <f t="shared" si="303"/>
        <v>08</v>
      </c>
      <c r="F2766">
        <f t="shared" si="304"/>
        <v>2014</v>
      </c>
      <c r="G2766">
        <f t="shared" si="305"/>
        <v>1</v>
      </c>
      <c r="H2766">
        <f t="shared" si="306"/>
        <v>8</v>
      </c>
      <c r="I2766" t="str">
        <f t="shared" si="307"/>
        <v>14</v>
      </c>
    </row>
    <row r="2767" spans="1:9" x14ac:dyDescent="0.25">
      <c r="A2767" s="19">
        <v>41485</v>
      </c>
      <c r="B2767" s="20">
        <v>4.4444444444444446E-2</v>
      </c>
      <c r="C2767" t="str">
        <f t="shared" si="301"/>
        <v>13</v>
      </c>
      <c r="D2767" t="str">
        <f t="shared" si="302"/>
        <v>07</v>
      </c>
      <c r="E2767" t="str">
        <f t="shared" si="303"/>
        <v>30</v>
      </c>
      <c r="F2767">
        <f t="shared" si="304"/>
        <v>2013</v>
      </c>
      <c r="G2767">
        <f t="shared" si="305"/>
        <v>7</v>
      </c>
      <c r="H2767">
        <f t="shared" si="306"/>
        <v>30</v>
      </c>
      <c r="I2767" t="str">
        <f t="shared" si="307"/>
        <v>13</v>
      </c>
    </row>
    <row r="2768" spans="1:9" x14ac:dyDescent="0.25">
      <c r="A2768" s="19">
        <v>41916</v>
      </c>
      <c r="B2768" s="20">
        <v>2.7777777777777779E-3</v>
      </c>
      <c r="C2768" t="str">
        <f t="shared" si="301"/>
        <v>14</v>
      </c>
      <c r="D2768" t="str">
        <f t="shared" si="302"/>
        <v>10</v>
      </c>
      <c r="E2768" t="str">
        <f t="shared" si="303"/>
        <v>04</v>
      </c>
      <c r="F2768">
        <f t="shared" si="304"/>
        <v>2014</v>
      </c>
      <c r="G2768">
        <f t="shared" si="305"/>
        <v>10</v>
      </c>
      <c r="H2768">
        <f t="shared" si="306"/>
        <v>4</v>
      </c>
      <c r="I2768" t="str">
        <f t="shared" si="307"/>
        <v>14</v>
      </c>
    </row>
    <row r="2769" spans="1:9" x14ac:dyDescent="0.25">
      <c r="A2769" s="19">
        <v>42725</v>
      </c>
      <c r="B2769" s="20">
        <v>2.013888888888889E-2</v>
      </c>
      <c r="C2769" t="str">
        <f t="shared" si="301"/>
        <v>16</v>
      </c>
      <c r="D2769" t="str">
        <f t="shared" si="302"/>
        <v>12</v>
      </c>
      <c r="E2769" t="str">
        <f t="shared" si="303"/>
        <v>21</v>
      </c>
      <c r="F2769">
        <f t="shared" si="304"/>
        <v>2016</v>
      </c>
      <c r="G2769">
        <f t="shared" si="305"/>
        <v>12</v>
      </c>
      <c r="H2769">
        <f t="shared" si="306"/>
        <v>21</v>
      </c>
      <c r="I2769" t="str">
        <f t="shared" si="307"/>
        <v>16</v>
      </c>
    </row>
    <row r="2770" spans="1:9" x14ac:dyDescent="0.25">
      <c r="A2770" s="19">
        <v>42314</v>
      </c>
      <c r="B2770" s="20">
        <v>0.9555555555555556</v>
      </c>
      <c r="C2770" t="str">
        <f t="shared" si="301"/>
        <v>15</v>
      </c>
      <c r="D2770" t="str">
        <f t="shared" si="302"/>
        <v>11</v>
      </c>
      <c r="E2770" t="str">
        <f t="shared" si="303"/>
        <v>06</v>
      </c>
      <c r="F2770">
        <f t="shared" si="304"/>
        <v>2015</v>
      </c>
      <c r="G2770">
        <f t="shared" si="305"/>
        <v>11</v>
      </c>
      <c r="H2770">
        <f t="shared" si="306"/>
        <v>6</v>
      </c>
      <c r="I2770" t="str">
        <f t="shared" si="307"/>
        <v>15</v>
      </c>
    </row>
    <row r="2771" spans="1:9" x14ac:dyDescent="0.25">
      <c r="A2771" s="19">
        <v>41856</v>
      </c>
      <c r="B2771" s="20">
        <v>0.96875</v>
      </c>
      <c r="C2771" t="str">
        <f t="shared" si="301"/>
        <v>14</v>
      </c>
      <c r="D2771" t="str">
        <f t="shared" si="302"/>
        <v>08</v>
      </c>
      <c r="E2771" t="str">
        <f t="shared" si="303"/>
        <v>05</v>
      </c>
      <c r="F2771">
        <f t="shared" si="304"/>
        <v>2014</v>
      </c>
      <c r="G2771">
        <f t="shared" si="305"/>
        <v>8</v>
      </c>
      <c r="H2771">
        <f t="shared" si="306"/>
        <v>5</v>
      </c>
      <c r="I2771" t="str">
        <f t="shared" si="307"/>
        <v>14</v>
      </c>
    </row>
    <row r="2772" spans="1:9" x14ac:dyDescent="0.25">
      <c r="A2772" s="19">
        <v>41563</v>
      </c>
      <c r="B2772" s="20">
        <v>2.361111111111111E-2</v>
      </c>
      <c r="C2772" t="str">
        <f t="shared" si="301"/>
        <v>13</v>
      </c>
      <c r="D2772" t="str">
        <f t="shared" si="302"/>
        <v>10</v>
      </c>
      <c r="E2772" t="str">
        <f t="shared" si="303"/>
        <v>16</v>
      </c>
      <c r="F2772">
        <f t="shared" si="304"/>
        <v>2013</v>
      </c>
      <c r="G2772">
        <f t="shared" si="305"/>
        <v>10</v>
      </c>
      <c r="H2772">
        <f t="shared" si="306"/>
        <v>16</v>
      </c>
      <c r="I2772" t="str">
        <f t="shared" si="307"/>
        <v>13</v>
      </c>
    </row>
    <row r="2773" spans="1:9" x14ac:dyDescent="0.25">
      <c r="A2773" s="19">
        <v>42356</v>
      </c>
      <c r="B2773" s="20">
        <v>3.6111111111111108E-2</v>
      </c>
      <c r="C2773" t="str">
        <f t="shared" si="301"/>
        <v>15</v>
      </c>
      <c r="D2773" t="str">
        <f t="shared" si="302"/>
        <v>12</v>
      </c>
      <c r="E2773" t="str">
        <f t="shared" si="303"/>
        <v>18</v>
      </c>
      <c r="F2773">
        <f t="shared" si="304"/>
        <v>2015</v>
      </c>
      <c r="G2773">
        <f t="shared" si="305"/>
        <v>12</v>
      </c>
      <c r="H2773">
        <f t="shared" si="306"/>
        <v>18</v>
      </c>
      <c r="I2773" t="str">
        <f t="shared" si="307"/>
        <v>15</v>
      </c>
    </row>
    <row r="2774" spans="1:9" x14ac:dyDescent="0.25">
      <c r="A2774" s="19">
        <v>41622</v>
      </c>
      <c r="B2774" s="20">
        <v>0.96736111111111112</v>
      </c>
      <c r="C2774" t="str">
        <f t="shared" si="301"/>
        <v>13</v>
      </c>
      <c r="D2774" t="str">
        <f t="shared" si="302"/>
        <v>12</v>
      </c>
      <c r="E2774" t="str">
        <f t="shared" si="303"/>
        <v>14</v>
      </c>
      <c r="F2774">
        <f t="shared" si="304"/>
        <v>2013</v>
      </c>
      <c r="G2774">
        <f t="shared" si="305"/>
        <v>12</v>
      </c>
      <c r="H2774">
        <f t="shared" si="306"/>
        <v>14</v>
      </c>
      <c r="I2774" t="str">
        <f t="shared" si="307"/>
        <v>13</v>
      </c>
    </row>
    <row r="2775" spans="1:9" x14ac:dyDescent="0.25">
      <c r="A2775" s="19">
        <v>41694</v>
      </c>
      <c r="B2775" s="20">
        <v>4.583333333333333E-2</v>
      </c>
      <c r="C2775" t="str">
        <f t="shared" si="301"/>
        <v>14</v>
      </c>
      <c r="D2775" t="str">
        <f t="shared" si="302"/>
        <v>02</v>
      </c>
      <c r="E2775" t="str">
        <f t="shared" si="303"/>
        <v>24</v>
      </c>
      <c r="F2775">
        <f t="shared" si="304"/>
        <v>2014</v>
      </c>
      <c r="G2775">
        <f t="shared" si="305"/>
        <v>2</v>
      </c>
      <c r="H2775">
        <f t="shared" si="306"/>
        <v>24</v>
      </c>
      <c r="I2775" t="str">
        <f t="shared" si="307"/>
        <v>14</v>
      </c>
    </row>
    <row r="2776" spans="1:9" x14ac:dyDescent="0.25">
      <c r="A2776" s="19">
        <v>41538</v>
      </c>
      <c r="B2776" s="20">
        <v>0.97638888888888886</v>
      </c>
      <c r="C2776" t="str">
        <f t="shared" si="301"/>
        <v>13</v>
      </c>
      <c r="D2776" t="str">
        <f t="shared" si="302"/>
        <v>09</v>
      </c>
      <c r="E2776" t="str">
        <f t="shared" si="303"/>
        <v>21</v>
      </c>
      <c r="F2776">
        <f t="shared" si="304"/>
        <v>2013</v>
      </c>
      <c r="G2776">
        <f t="shared" si="305"/>
        <v>9</v>
      </c>
      <c r="H2776">
        <f t="shared" si="306"/>
        <v>21</v>
      </c>
      <c r="I2776" t="str">
        <f t="shared" si="307"/>
        <v>13</v>
      </c>
    </row>
    <row r="2777" spans="1:9" x14ac:dyDescent="0.25">
      <c r="A2777" s="19">
        <v>41234</v>
      </c>
      <c r="B2777" s="20">
        <v>0.99861111111111112</v>
      </c>
      <c r="C2777" t="str">
        <f t="shared" si="301"/>
        <v>12</v>
      </c>
      <c r="D2777" t="str">
        <f t="shared" si="302"/>
        <v>11</v>
      </c>
      <c r="E2777" t="str">
        <f t="shared" si="303"/>
        <v>21</v>
      </c>
      <c r="F2777">
        <f t="shared" si="304"/>
        <v>2012</v>
      </c>
      <c r="G2777">
        <f t="shared" si="305"/>
        <v>11</v>
      </c>
      <c r="H2777">
        <f t="shared" si="306"/>
        <v>21</v>
      </c>
      <c r="I2777" t="str">
        <f t="shared" si="307"/>
        <v>12</v>
      </c>
    </row>
    <row r="2778" spans="1:9" x14ac:dyDescent="0.25">
      <c r="A2778" s="19">
        <v>42084</v>
      </c>
      <c r="B2778" s="20">
        <v>0.94097222222222221</v>
      </c>
      <c r="C2778" t="str">
        <f t="shared" si="301"/>
        <v>15</v>
      </c>
      <c r="D2778" t="str">
        <f t="shared" si="302"/>
        <v>03</v>
      </c>
      <c r="E2778" t="str">
        <f t="shared" si="303"/>
        <v>21</v>
      </c>
      <c r="F2778">
        <f t="shared" si="304"/>
        <v>2015</v>
      </c>
      <c r="G2778">
        <f t="shared" si="305"/>
        <v>3</v>
      </c>
      <c r="H2778">
        <f t="shared" si="306"/>
        <v>21</v>
      </c>
      <c r="I2778" t="str">
        <f t="shared" si="307"/>
        <v>15</v>
      </c>
    </row>
    <row r="2779" spans="1:9" x14ac:dyDescent="0.25">
      <c r="A2779" s="19">
        <v>41741</v>
      </c>
      <c r="B2779" s="20">
        <v>3.9583333333333331E-2</v>
      </c>
      <c r="C2779" t="str">
        <f t="shared" si="301"/>
        <v>14</v>
      </c>
      <c r="D2779" t="str">
        <f t="shared" si="302"/>
        <v>04</v>
      </c>
      <c r="E2779" t="str">
        <f t="shared" si="303"/>
        <v>12</v>
      </c>
      <c r="F2779">
        <f t="shared" si="304"/>
        <v>2014</v>
      </c>
      <c r="G2779">
        <f t="shared" si="305"/>
        <v>4</v>
      </c>
      <c r="H2779">
        <f t="shared" si="306"/>
        <v>12</v>
      </c>
      <c r="I2779" t="str">
        <f t="shared" si="307"/>
        <v>14</v>
      </c>
    </row>
    <row r="2780" spans="1:9" x14ac:dyDescent="0.25">
      <c r="A2780" s="19">
        <v>41752</v>
      </c>
      <c r="B2780" s="20">
        <v>1.1805555555555555E-2</v>
      </c>
      <c r="C2780" t="str">
        <f t="shared" si="301"/>
        <v>14</v>
      </c>
      <c r="D2780" t="str">
        <f t="shared" si="302"/>
        <v>04</v>
      </c>
      <c r="E2780" t="str">
        <f t="shared" si="303"/>
        <v>23</v>
      </c>
      <c r="F2780">
        <f t="shared" si="304"/>
        <v>2014</v>
      </c>
      <c r="G2780">
        <f t="shared" si="305"/>
        <v>4</v>
      </c>
      <c r="H2780">
        <f t="shared" si="306"/>
        <v>23</v>
      </c>
      <c r="I2780" t="str">
        <f t="shared" si="307"/>
        <v>14</v>
      </c>
    </row>
    <row r="2781" spans="1:9" x14ac:dyDescent="0.25">
      <c r="A2781" s="19">
        <v>42849</v>
      </c>
      <c r="B2781" s="20">
        <v>1.4583333333333334E-2</v>
      </c>
      <c r="C2781" t="str">
        <f t="shared" si="301"/>
        <v>17</v>
      </c>
      <c r="D2781" t="str">
        <f t="shared" si="302"/>
        <v>04</v>
      </c>
      <c r="E2781" t="str">
        <f t="shared" si="303"/>
        <v>24</v>
      </c>
      <c r="F2781">
        <f t="shared" si="304"/>
        <v>2017</v>
      </c>
      <c r="G2781">
        <f t="shared" si="305"/>
        <v>4</v>
      </c>
      <c r="H2781">
        <f t="shared" si="306"/>
        <v>24</v>
      </c>
      <c r="I2781" t="str">
        <f t="shared" si="307"/>
        <v>17</v>
      </c>
    </row>
    <row r="2782" spans="1:9" x14ac:dyDescent="0.25">
      <c r="A2782" s="19">
        <v>41357</v>
      </c>
      <c r="B2782" s="20">
        <v>7.7777777777777779E-2</v>
      </c>
      <c r="C2782" t="str">
        <f t="shared" si="301"/>
        <v>13</v>
      </c>
      <c r="D2782" t="str">
        <f t="shared" si="302"/>
        <v>03</v>
      </c>
      <c r="E2782" t="str">
        <f t="shared" si="303"/>
        <v>24</v>
      </c>
      <c r="F2782">
        <f t="shared" si="304"/>
        <v>2013</v>
      </c>
      <c r="G2782">
        <f t="shared" si="305"/>
        <v>3</v>
      </c>
      <c r="H2782">
        <f t="shared" si="306"/>
        <v>24</v>
      </c>
      <c r="I2782" t="str">
        <f t="shared" si="307"/>
        <v>13</v>
      </c>
    </row>
    <row r="2783" spans="1:9" x14ac:dyDescent="0.25">
      <c r="A2783" s="19">
        <v>41826</v>
      </c>
      <c r="B2783" s="20">
        <v>1.9444444444444445E-2</v>
      </c>
      <c r="C2783" t="str">
        <f t="shared" si="301"/>
        <v>14</v>
      </c>
      <c r="D2783" t="str">
        <f t="shared" si="302"/>
        <v>07</v>
      </c>
      <c r="E2783" t="str">
        <f t="shared" si="303"/>
        <v>06</v>
      </c>
      <c r="F2783">
        <f t="shared" si="304"/>
        <v>2014</v>
      </c>
      <c r="G2783">
        <f t="shared" si="305"/>
        <v>7</v>
      </c>
      <c r="H2783">
        <f t="shared" si="306"/>
        <v>6</v>
      </c>
      <c r="I2783" t="str">
        <f t="shared" si="307"/>
        <v>14</v>
      </c>
    </row>
    <row r="2784" spans="1:9" x14ac:dyDescent="0.25">
      <c r="A2784" s="19">
        <v>41710</v>
      </c>
      <c r="B2784" s="20">
        <v>1.5277777777777777E-2</v>
      </c>
      <c r="C2784" t="str">
        <f t="shared" si="301"/>
        <v>14</v>
      </c>
      <c r="D2784" t="str">
        <f t="shared" si="302"/>
        <v>03</v>
      </c>
      <c r="E2784" t="str">
        <f t="shared" si="303"/>
        <v>12</v>
      </c>
      <c r="F2784">
        <f t="shared" si="304"/>
        <v>2014</v>
      </c>
      <c r="G2784">
        <f t="shared" si="305"/>
        <v>3</v>
      </c>
      <c r="H2784">
        <f t="shared" si="306"/>
        <v>12</v>
      </c>
      <c r="I2784" t="str">
        <f t="shared" si="307"/>
        <v>14</v>
      </c>
    </row>
    <row r="2785" spans="1:9" x14ac:dyDescent="0.25">
      <c r="A2785" s="19">
        <v>41823</v>
      </c>
      <c r="B2785" s="20">
        <v>1.8055555555555554E-2</v>
      </c>
      <c r="C2785" t="str">
        <f t="shared" si="301"/>
        <v>14</v>
      </c>
      <c r="D2785" t="str">
        <f t="shared" si="302"/>
        <v>07</v>
      </c>
      <c r="E2785" t="str">
        <f t="shared" si="303"/>
        <v>03</v>
      </c>
      <c r="F2785">
        <f t="shared" si="304"/>
        <v>2014</v>
      </c>
      <c r="G2785">
        <f t="shared" si="305"/>
        <v>7</v>
      </c>
      <c r="H2785">
        <f t="shared" si="306"/>
        <v>3</v>
      </c>
      <c r="I2785" t="str">
        <f t="shared" si="307"/>
        <v>14</v>
      </c>
    </row>
    <row r="2786" spans="1:9" x14ac:dyDescent="0.25">
      <c r="A2786" s="19">
        <v>41744</v>
      </c>
      <c r="B2786" s="20">
        <v>1.5972222222222221E-2</v>
      </c>
      <c r="C2786" t="str">
        <f t="shared" si="301"/>
        <v>14</v>
      </c>
      <c r="D2786" t="str">
        <f t="shared" si="302"/>
        <v>04</v>
      </c>
      <c r="E2786" t="str">
        <f t="shared" si="303"/>
        <v>15</v>
      </c>
      <c r="F2786">
        <f t="shared" si="304"/>
        <v>2014</v>
      </c>
      <c r="G2786">
        <f t="shared" si="305"/>
        <v>4</v>
      </c>
      <c r="H2786">
        <f t="shared" si="306"/>
        <v>15</v>
      </c>
      <c r="I2786" t="str">
        <f t="shared" si="307"/>
        <v>14</v>
      </c>
    </row>
    <row r="2787" spans="1:9" x14ac:dyDescent="0.25">
      <c r="A2787" s="19">
        <v>41263</v>
      </c>
      <c r="B2787" s="20">
        <v>0.99861111111111112</v>
      </c>
      <c r="C2787" t="str">
        <f t="shared" si="301"/>
        <v>12</v>
      </c>
      <c r="D2787" t="str">
        <f t="shared" si="302"/>
        <v>12</v>
      </c>
      <c r="E2787" t="str">
        <f t="shared" si="303"/>
        <v>20</v>
      </c>
      <c r="F2787">
        <f t="shared" si="304"/>
        <v>2012</v>
      </c>
      <c r="G2787">
        <f t="shared" si="305"/>
        <v>12</v>
      </c>
      <c r="H2787">
        <f t="shared" si="306"/>
        <v>20</v>
      </c>
      <c r="I2787" t="str">
        <f t="shared" si="307"/>
        <v>12</v>
      </c>
    </row>
    <row r="2788" spans="1:9" x14ac:dyDescent="0.25">
      <c r="A2788" s="19">
        <v>41328</v>
      </c>
      <c r="B2788" s="20">
        <v>0.99722222222222223</v>
      </c>
      <c r="C2788" t="str">
        <f t="shared" si="301"/>
        <v>13</v>
      </c>
      <c r="D2788" t="str">
        <f t="shared" si="302"/>
        <v>02</v>
      </c>
      <c r="E2788" t="str">
        <f t="shared" si="303"/>
        <v>23</v>
      </c>
      <c r="F2788">
        <f t="shared" si="304"/>
        <v>2013</v>
      </c>
      <c r="G2788">
        <f t="shared" si="305"/>
        <v>2</v>
      </c>
      <c r="H2788">
        <f t="shared" si="306"/>
        <v>23</v>
      </c>
      <c r="I2788" t="str">
        <f t="shared" si="307"/>
        <v>13</v>
      </c>
    </row>
    <row r="2789" spans="1:9" x14ac:dyDescent="0.25">
      <c r="A2789" s="19">
        <v>41923</v>
      </c>
      <c r="B2789" s="20">
        <v>9.0277777777777769E-3</v>
      </c>
      <c r="C2789" t="str">
        <f t="shared" si="301"/>
        <v>14</v>
      </c>
      <c r="D2789" t="str">
        <f t="shared" si="302"/>
        <v>10</v>
      </c>
      <c r="E2789" t="str">
        <f t="shared" si="303"/>
        <v>11</v>
      </c>
      <c r="F2789">
        <f t="shared" si="304"/>
        <v>2014</v>
      </c>
      <c r="G2789">
        <f t="shared" si="305"/>
        <v>10</v>
      </c>
      <c r="H2789">
        <f t="shared" si="306"/>
        <v>11</v>
      </c>
      <c r="I2789" t="str">
        <f t="shared" si="307"/>
        <v>14</v>
      </c>
    </row>
    <row r="2790" spans="1:9" x14ac:dyDescent="0.25">
      <c r="A2790" s="19">
        <v>41421</v>
      </c>
      <c r="B2790" s="20">
        <v>1.8749999999999999E-2</v>
      </c>
      <c r="C2790" t="str">
        <f t="shared" si="301"/>
        <v>13</v>
      </c>
      <c r="D2790" t="str">
        <f t="shared" si="302"/>
        <v>05</v>
      </c>
      <c r="E2790" t="str">
        <f t="shared" si="303"/>
        <v>27</v>
      </c>
      <c r="F2790">
        <f t="shared" si="304"/>
        <v>2013</v>
      </c>
      <c r="G2790">
        <f t="shared" si="305"/>
        <v>5</v>
      </c>
      <c r="H2790">
        <f t="shared" si="306"/>
        <v>27</v>
      </c>
      <c r="I2790" t="str">
        <f t="shared" si="307"/>
        <v>13</v>
      </c>
    </row>
    <row r="2791" spans="1:9" x14ac:dyDescent="0.25">
      <c r="A2791" s="19">
        <v>41719</v>
      </c>
      <c r="B2791" s="20">
        <v>0.98958333333333337</v>
      </c>
      <c r="C2791" t="str">
        <f t="shared" si="301"/>
        <v>14</v>
      </c>
      <c r="D2791" t="str">
        <f t="shared" si="302"/>
        <v>03</v>
      </c>
      <c r="E2791" t="str">
        <f t="shared" si="303"/>
        <v>21</v>
      </c>
      <c r="F2791">
        <f t="shared" si="304"/>
        <v>2014</v>
      </c>
      <c r="G2791">
        <f t="shared" si="305"/>
        <v>3</v>
      </c>
      <c r="H2791">
        <f t="shared" si="306"/>
        <v>21</v>
      </c>
      <c r="I2791" t="str">
        <f t="shared" si="307"/>
        <v>14</v>
      </c>
    </row>
    <row r="2792" spans="1:9" x14ac:dyDescent="0.25">
      <c r="A2792" s="19">
        <v>41269</v>
      </c>
      <c r="B2792" s="20">
        <v>2.361111111111111E-2</v>
      </c>
      <c r="C2792" t="str">
        <f t="shared" si="301"/>
        <v>12</v>
      </c>
      <c r="D2792" t="str">
        <f t="shared" si="302"/>
        <v>12</v>
      </c>
      <c r="E2792" t="str">
        <f t="shared" si="303"/>
        <v>26</v>
      </c>
      <c r="F2792">
        <f t="shared" si="304"/>
        <v>2012</v>
      </c>
      <c r="G2792">
        <f t="shared" si="305"/>
        <v>12</v>
      </c>
      <c r="H2792">
        <f t="shared" si="306"/>
        <v>26</v>
      </c>
      <c r="I2792" t="str">
        <f t="shared" si="307"/>
        <v>12</v>
      </c>
    </row>
    <row r="2793" spans="1:9" x14ac:dyDescent="0.25">
      <c r="A2793" s="19">
        <v>42516</v>
      </c>
      <c r="B2793" s="20">
        <v>8.0555555555555561E-2</v>
      </c>
      <c r="C2793" t="str">
        <f t="shared" si="301"/>
        <v>16</v>
      </c>
      <c r="D2793" t="str">
        <f t="shared" si="302"/>
        <v>05</v>
      </c>
      <c r="E2793" t="str">
        <f t="shared" si="303"/>
        <v>26</v>
      </c>
      <c r="F2793">
        <f t="shared" si="304"/>
        <v>2016</v>
      </c>
      <c r="G2793">
        <f t="shared" si="305"/>
        <v>5</v>
      </c>
      <c r="H2793">
        <f t="shared" si="306"/>
        <v>26</v>
      </c>
      <c r="I2793" t="str">
        <f t="shared" si="307"/>
        <v>16</v>
      </c>
    </row>
    <row r="2794" spans="1:9" x14ac:dyDescent="0.25">
      <c r="A2794" s="19">
        <v>41547</v>
      </c>
      <c r="B2794" s="20">
        <v>7.8472222222222221E-2</v>
      </c>
      <c r="C2794" t="str">
        <f t="shared" si="301"/>
        <v>13</v>
      </c>
      <c r="D2794" t="str">
        <f t="shared" si="302"/>
        <v>09</v>
      </c>
      <c r="E2794" t="str">
        <f t="shared" si="303"/>
        <v>30</v>
      </c>
      <c r="F2794">
        <f t="shared" si="304"/>
        <v>2013</v>
      </c>
      <c r="G2794">
        <f t="shared" si="305"/>
        <v>9</v>
      </c>
      <c r="H2794">
        <f t="shared" si="306"/>
        <v>30</v>
      </c>
      <c r="I2794" t="str">
        <f t="shared" si="307"/>
        <v>13</v>
      </c>
    </row>
    <row r="2795" spans="1:9" x14ac:dyDescent="0.25">
      <c r="A2795" s="19">
        <v>42250</v>
      </c>
      <c r="B2795" s="20">
        <v>4.5138888888888888E-2</v>
      </c>
      <c r="C2795" t="str">
        <f t="shared" si="301"/>
        <v>15</v>
      </c>
      <c r="D2795" t="str">
        <f t="shared" si="302"/>
        <v>09</v>
      </c>
      <c r="E2795" t="str">
        <f t="shared" si="303"/>
        <v>03</v>
      </c>
      <c r="F2795">
        <f t="shared" si="304"/>
        <v>2015</v>
      </c>
      <c r="G2795">
        <f t="shared" si="305"/>
        <v>9</v>
      </c>
      <c r="H2795">
        <f t="shared" si="306"/>
        <v>3</v>
      </c>
      <c r="I2795" t="str">
        <f t="shared" si="307"/>
        <v>15</v>
      </c>
    </row>
    <row r="2796" spans="1:9" x14ac:dyDescent="0.25">
      <c r="A2796" s="19">
        <v>41897</v>
      </c>
      <c r="B2796" s="20">
        <v>4.7222222222222221E-2</v>
      </c>
      <c r="C2796" t="str">
        <f t="shared" si="301"/>
        <v>14</v>
      </c>
      <c r="D2796" t="str">
        <f t="shared" si="302"/>
        <v>09</v>
      </c>
      <c r="E2796" t="str">
        <f t="shared" si="303"/>
        <v>15</v>
      </c>
      <c r="F2796">
        <f t="shared" si="304"/>
        <v>2014</v>
      </c>
      <c r="G2796">
        <f t="shared" si="305"/>
        <v>9</v>
      </c>
      <c r="H2796">
        <f t="shared" si="306"/>
        <v>15</v>
      </c>
      <c r="I2796" t="str">
        <f t="shared" si="307"/>
        <v>14</v>
      </c>
    </row>
    <row r="2797" spans="1:9" x14ac:dyDescent="0.25">
      <c r="A2797" s="19">
        <v>41213</v>
      </c>
      <c r="B2797" s="20">
        <v>3.125E-2</v>
      </c>
      <c r="C2797" t="str">
        <f t="shared" si="301"/>
        <v>12</v>
      </c>
      <c r="D2797" t="str">
        <f t="shared" si="302"/>
        <v>10</v>
      </c>
      <c r="E2797" t="str">
        <f t="shared" si="303"/>
        <v>31</v>
      </c>
      <c r="F2797">
        <f t="shared" si="304"/>
        <v>2012</v>
      </c>
      <c r="G2797">
        <f t="shared" si="305"/>
        <v>10</v>
      </c>
      <c r="H2797">
        <f t="shared" si="306"/>
        <v>31</v>
      </c>
      <c r="I2797" t="str">
        <f t="shared" si="307"/>
        <v>12</v>
      </c>
    </row>
    <row r="2798" spans="1:9" x14ac:dyDescent="0.25">
      <c r="A2798" s="19">
        <v>42500</v>
      </c>
      <c r="B2798" s="20">
        <v>3.9583333333333331E-2</v>
      </c>
      <c r="C2798" t="str">
        <f t="shared" si="301"/>
        <v>16</v>
      </c>
      <c r="D2798" t="str">
        <f t="shared" si="302"/>
        <v>05</v>
      </c>
      <c r="E2798" t="str">
        <f t="shared" si="303"/>
        <v>10</v>
      </c>
      <c r="F2798">
        <f t="shared" si="304"/>
        <v>2016</v>
      </c>
      <c r="G2798">
        <f t="shared" si="305"/>
        <v>5</v>
      </c>
      <c r="H2798">
        <f t="shared" si="306"/>
        <v>10</v>
      </c>
      <c r="I2798" t="str">
        <f t="shared" si="307"/>
        <v>16</v>
      </c>
    </row>
    <row r="2799" spans="1:9" x14ac:dyDescent="0.25">
      <c r="A2799" s="19">
        <v>42197</v>
      </c>
      <c r="B2799" s="20">
        <v>4.3055555555555555E-2</v>
      </c>
      <c r="C2799" t="str">
        <f t="shared" si="301"/>
        <v>15</v>
      </c>
      <c r="D2799" t="str">
        <f t="shared" si="302"/>
        <v>07</v>
      </c>
      <c r="E2799" t="str">
        <f t="shared" si="303"/>
        <v>12</v>
      </c>
      <c r="F2799">
        <f t="shared" si="304"/>
        <v>2015</v>
      </c>
      <c r="G2799">
        <f t="shared" si="305"/>
        <v>7</v>
      </c>
      <c r="H2799">
        <f t="shared" si="306"/>
        <v>12</v>
      </c>
      <c r="I2799" t="str">
        <f t="shared" si="307"/>
        <v>15</v>
      </c>
    </row>
    <row r="2800" spans="1:9" x14ac:dyDescent="0.25">
      <c r="A2800" s="19">
        <v>42396</v>
      </c>
      <c r="B2800" s="20">
        <v>2.7777777777777779E-3</v>
      </c>
      <c r="C2800" t="str">
        <f t="shared" si="301"/>
        <v>16</v>
      </c>
      <c r="D2800" t="str">
        <f t="shared" si="302"/>
        <v>01</v>
      </c>
      <c r="E2800" t="str">
        <f t="shared" si="303"/>
        <v>27</v>
      </c>
      <c r="F2800">
        <f t="shared" si="304"/>
        <v>2016</v>
      </c>
      <c r="G2800">
        <f t="shared" si="305"/>
        <v>1</v>
      </c>
      <c r="H2800">
        <f t="shared" si="306"/>
        <v>27</v>
      </c>
      <c r="I2800" t="str">
        <f t="shared" si="307"/>
        <v>16</v>
      </c>
    </row>
    <row r="2801" spans="1:9" x14ac:dyDescent="0.25">
      <c r="A2801" s="19">
        <v>42869</v>
      </c>
      <c r="B2801" s="20">
        <v>5.2777777777777778E-2</v>
      </c>
      <c r="C2801" t="str">
        <f t="shared" si="301"/>
        <v>17</v>
      </c>
      <c r="D2801" t="str">
        <f t="shared" si="302"/>
        <v>05</v>
      </c>
      <c r="E2801" t="str">
        <f t="shared" si="303"/>
        <v>14</v>
      </c>
      <c r="F2801">
        <f t="shared" si="304"/>
        <v>2017</v>
      </c>
      <c r="G2801">
        <f t="shared" si="305"/>
        <v>5</v>
      </c>
      <c r="H2801">
        <f t="shared" si="306"/>
        <v>14</v>
      </c>
      <c r="I2801" t="str">
        <f t="shared" si="307"/>
        <v>17</v>
      </c>
    </row>
    <row r="2802" spans="1:9" x14ac:dyDescent="0.25">
      <c r="A2802" s="19">
        <v>41618</v>
      </c>
      <c r="B2802" s="20">
        <v>2.1527777777777778E-2</v>
      </c>
      <c r="C2802" t="str">
        <f t="shared" si="301"/>
        <v>13</v>
      </c>
      <c r="D2802" t="str">
        <f t="shared" si="302"/>
        <v>12</v>
      </c>
      <c r="E2802" t="str">
        <f t="shared" si="303"/>
        <v>10</v>
      </c>
      <c r="F2802">
        <f t="shared" si="304"/>
        <v>2013</v>
      </c>
      <c r="G2802">
        <f t="shared" si="305"/>
        <v>12</v>
      </c>
      <c r="H2802">
        <f t="shared" si="306"/>
        <v>10</v>
      </c>
      <c r="I2802" t="str">
        <f t="shared" si="307"/>
        <v>13</v>
      </c>
    </row>
    <row r="2803" spans="1:9" x14ac:dyDescent="0.25">
      <c r="A2803" s="19">
        <v>41741</v>
      </c>
      <c r="B2803" s="20">
        <v>0.99583333333333335</v>
      </c>
      <c r="C2803" t="str">
        <f t="shared" si="301"/>
        <v>14</v>
      </c>
      <c r="D2803" t="str">
        <f t="shared" si="302"/>
        <v>04</v>
      </c>
      <c r="E2803" t="str">
        <f t="shared" si="303"/>
        <v>12</v>
      </c>
      <c r="F2803">
        <f t="shared" si="304"/>
        <v>2014</v>
      </c>
      <c r="G2803">
        <f t="shared" si="305"/>
        <v>4</v>
      </c>
      <c r="H2803">
        <f t="shared" si="306"/>
        <v>12</v>
      </c>
      <c r="I2803" t="str">
        <f t="shared" si="307"/>
        <v>14</v>
      </c>
    </row>
    <row r="2804" spans="1:9" x14ac:dyDescent="0.25">
      <c r="A2804" s="19">
        <v>42247</v>
      </c>
      <c r="B2804" s="20">
        <v>0.98263888888888884</v>
      </c>
      <c r="C2804" t="str">
        <f t="shared" si="301"/>
        <v>15</v>
      </c>
      <c r="D2804" t="str">
        <f t="shared" si="302"/>
        <v>08</v>
      </c>
      <c r="E2804" t="str">
        <f t="shared" si="303"/>
        <v>31</v>
      </c>
      <c r="F2804">
        <f t="shared" si="304"/>
        <v>2015</v>
      </c>
      <c r="G2804">
        <f t="shared" si="305"/>
        <v>8</v>
      </c>
      <c r="H2804">
        <f t="shared" si="306"/>
        <v>31</v>
      </c>
      <c r="I2804" t="str">
        <f t="shared" si="307"/>
        <v>15</v>
      </c>
    </row>
    <row r="2805" spans="1:9" x14ac:dyDescent="0.25">
      <c r="A2805" s="19">
        <v>41478</v>
      </c>
      <c r="B2805" s="20">
        <v>2.4305555555555556E-2</v>
      </c>
      <c r="C2805" t="str">
        <f t="shared" si="301"/>
        <v>13</v>
      </c>
      <c r="D2805" t="str">
        <f t="shared" si="302"/>
        <v>07</v>
      </c>
      <c r="E2805" t="str">
        <f t="shared" si="303"/>
        <v>23</v>
      </c>
      <c r="F2805">
        <f t="shared" si="304"/>
        <v>2013</v>
      </c>
      <c r="G2805">
        <f t="shared" si="305"/>
        <v>7</v>
      </c>
      <c r="H2805">
        <f t="shared" si="306"/>
        <v>23</v>
      </c>
      <c r="I2805" t="str">
        <f t="shared" si="307"/>
        <v>13</v>
      </c>
    </row>
    <row r="2806" spans="1:9" x14ac:dyDescent="0.25">
      <c r="A2806" s="19">
        <v>42301</v>
      </c>
      <c r="B2806" s="20">
        <v>0.97361111111111109</v>
      </c>
      <c r="C2806" t="str">
        <f t="shared" si="301"/>
        <v>15</v>
      </c>
      <c r="D2806" t="str">
        <f t="shared" si="302"/>
        <v>10</v>
      </c>
      <c r="E2806" t="str">
        <f t="shared" si="303"/>
        <v>24</v>
      </c>
      <c r="F2806">
        <f t="shared" si="304"/>
        <v>2015</v>
      </c>
      <c r="G2806">
        <f t="shared" si="305"/>
        <v>10</v>
      </c>
      <c r="H2806">
        <f t="shared" si="306"/>
        <v>24</v>
      </c>
      <c r="I2806" t="str">
        <f t="shared" si="307"/>
        <v>15</v>
      </c>
    </row>
    <row r="2807" spans="1:9" x14ac:dyDescent="0.25">
      <c r="A2807" s="19">
        <v>42679</v>
      </c>
      <c r="B2807" s="20">
        <v>2.013888888888889E-2</v>
      </c>
      <c r="C2807" t="str">
        <f t="shared" si="301"/>
        <v>16</v>
      </c>
      <c r="D2807" t="str">
        <f t="shared" si="302"/>
        <v>11</v>
      </c>
      <c r="E2807" t="str">
        <f t="shared" si="303"/>
        <v>05</v>
      </c>
      <c r="F2807">
        <f t="shared" si="304"/>
        <v>2016</v>
      </c>
      <c r="G2807">
        <f t="shared" si="305"/>
        <v>11</v>
      </c>
      <c r="H2807">
        <f t="shared" si="306"/>
        <v>5</v>
      </c>
      <c r="I2807" t="str">
        <f t="shared" si="307"/>
        <v>16</v>
      </c>
    </row>
    <row r="2808" spans="1:9" x14ac:dyDescent="0.25">
      <c r="A2808" s="19">
        <v>41304</v>
      </c>
      <c r="B2808" s="20">
        <v>0.98124999999999996</v>
      </c>
      <c r="C2808" t="str">
        <f t="shared" si="301"/>
        <v>13</v>
      </c>
      <c r="D2808" t="str">
        <f t="shared" si="302"/>
        <v>01</v>
      </c>
      <c r="E2808" t="str">
        <f t="shared" si="303"/>
        <v>30</v>
      </c>
      <c r="F2808">
        <f t="shared" si="304"/>
        <v>2013</v>
      </c>
      <c r="G2808">
        <f t="shared" si="305"/>
        <v>1</v>
      </c>
      <c r="H2808">
        <f t="shared" si="306"/>
        <v>30</v>
      </c>
      <c r="I2808" t="str">
        <f t="shared" si="307"/>
        <v>13</v>
      </c>
    </row>
    <row r="2809" spans="1:9" x14ac:dyDescent="0.25">
      <c r="A2809" s="19">
        <v>42245</v>
      </c>
      <c r="B2809" s="20">
        <v>5.9722222222222225E-2</v>
      </c>
      <c r="C2809" t="str">
        <f t="shared" si="301"/>
        <v>15</v>
      </c>
      <c r="D2809" t="str">
        <f t="shared" si="302"/>
        <v>08</v>
      </c>
      <c r="E2809" t="str">
        <f t="shared" si="303"/>
        <v>29</v>
      </c>
      <c r="F2809">
        <f t="shared" si="304"/>
        <v>2015</v>
      </c>
      <c r="G2809">
        <f t="shared" si="305"/>
        <v>8</v>
      </c>
      <c r="H2809">
        <f t="shared" si="306"/>
        <v>29</v>
      </c>
      <c r="I2809" t="str">
        <f t="shared" si="307"/>
        <v>15</v>
      </c>
    </row>
    <row r="2810" spans="1:9" x14ac:dyDescent="0.25">
      <c r="A2810" s="19">
        <v>41519</v>
      </c>
      <c r="B2810" s="20">
        <v>2.0833333333333333E-3</v>
      </c>
      <c r="C2810" t="str">
        <f t="shared" si="301"/>
        <v>13</v>
      </c>
      <c r="D2810" t="str">
        <f t="shared" si="302"/>
        <v>09</v>
      </c>
      <c r="E2810" t="str">
        <f t="shared" si="303"/>
        <v>02</v>
      </c>
      <c r="F2810">
        <f t="shared" si="304"/>
        <v>2013</v>
      </c>
      <c r="G2810">
        <f t="shared" si="305"/>
        <v>9</v>
      </c>
      <c r="H2810">
        <f t="shared" si="306"/>
        <v>2</v>
      </c>
      <c r="I2810" t="str">
        <f t="shared" si="307"/>
        <v>13</v>
      </c>
    </row>
    <row r="2811" spans="1:9" x14ac:dyDescent="0.25">
      <c r="A2811" s="19">
        <v>42551</v>
      </c>
      <c r="B2811" s="20">
        <v>1.2500000000000001E-2</v>
      </c>
      <c r="C2811" t="str">
        <f t="shared" si="301"/>
        <v>16</v>
      </c>
      <c r="D2811" t="str">
        <f t="shared" si="302"/>
        <v>06</v>
      </c>
      <c r="E2811" t="str">
        <f t="shared" si="303"/>
        <v>30</v>
      </c>
      <c r="F2811">
        <f t="shared" si="304"/>
        <v>2016</v>
      </c>
      <c r="G2811">
        <f t="shared" si="305"/>
        <v>6</v>
      </c>
      <c r="H2811">
        <f t="shared" si="306"/>
        <v>30</v>
      </c>
      <c r="I2811" t="str">
        <f t="shared" si="307"/>
        <v>16</v>
      </c>
    </row>
    <row r="2812" spans="1:9" x14ac:dyDescent="0.25">
      <c r="A2812" s="19">
        <v>41770</v>
      </c>
      <c r="B2812" s="20">
        <v>1.5972222222222221E-2</v>
      </c>
      <c r="C2812" t="str">
        <f t="shared" si="301"/>
        <v>14</v>
      </c>
      <c r="D2812" t="str">
        <f t="shared" si="302"/>
        <v>05</v>
      </c>
      <c r="E2812" t="str">
        <f t="shared" si="303"/>
        <v>11</v>
      </c>
      <c r="F2812">
        <f t="shared" si="304"/>
        <v>2014</v>
      </c>
      <c r="G2812">
        <f t="shared" si="305"/>
        <v>5</v>
      </c>
      <c r="H2812">
        <f t="shared" si="306"/>
        <v>11</v>
      </c>
      <c r="I2812" t="str">
        <f t="shared" si="307"/>
        <v>14</v>
      </c>
    </row>
    <row r="2813" spans="1:9" x14ac:dyDescent="0.25">
      <c r="A2813" s="19">
        <v>41307</v>
      </c>
      <c r="B2813" s="20">
        <v>7.7083333333333337E-2</v>
      </c>
      <c r="C2813" t="str">
        <f t="shared" si="301"/>
        <v>13</v>
      </c>
      <c r="D2813" t="str">
        <f t="shared" si="302"/>
        <v>02</v>
      </c>
      <c r="E2813" t="str">
        <f t="shared" si="303"/>
        <v>02</v>
      </c>
      <c r="F2813">
        <f t="shared" si="304"/>
        <v>2013</v>
      </c>
      <c r="G2813">
        <f t="shared" si="305"/>
        <v>2</v>
      </c>
      <c r="H2813">
        <f t="shared" si="306"/>
        <v>2</v>
      </c>
      <c r="I2813" t="str">
        <f t="shared" si="307"/>
        <v>13</v>
      </c>
    </row>
    <row r="2814" spans="1:9" x14ac:dyDescent="0.25">
      <c r="A2814" s="19">
        <v>42727</v>
      </c>
      <c r="B2814" s="20">
        <v>2.4305555555555556E-2</v>
      </c>
      <c r="C2814" t="str">
        <f t="shared" si="301"/>
        <v>16</v>
      </c>
      <c r="D2814" t="str">
        <f t="shared" si="302"/>
        <v>12</v>
      </c>
      <c r="E2814" t="str">
        <f t="shared" si="303"/>
        <v>23</v>
      </c>
      <c r="F2814">
        <f t="shared" si="304"/>
        <v>2016</v>
      </c>
      <c r="G2814">
        <f t="shared" si="305"/>
        <v>12</v>
      </c>
      <c r="H2814">
        <f t="shared" si="306"/>
        <v>23</v>
      </c>
      <c r="I2814" t="str">
        <f t="shared" si="307"/>
        <v>16</v>
      </c>
    </row>
    <row r="2815" spans="1:9" x14ac:dyDescent="0.25">
      <c r="A2815" s="19">
        <v>41600</v>
      </c>
      <c r="B2815" s="20">
        <v>3.1944444444444442E-2</v>
      </c>
      <c r="C2815" t="str">
        <f t="shared" si="301"/>
        <v>13</v>
      </c>
      <c r="D2815" t="str">
        <f t="shared" si="302"/>
        <v>11</v>
      </c>
      <c r="E2815" t="str">
        <f t="shared" si="303"/>
        <v>22</v>
      </c>
      <c r="F2815">
        <f t="shared" si="304"/>
        <v>2013</v>
      </c>
      <c r="G2815">
        <f t="shared" si="305"/>
        <v>11</v>
      </c>
      <c r="H2815">
        <f t="shared" si="306"/>
        <v>22</v>
      </c>
      <c r="I2815" t="str">
        <f t="shared" si="307"/>
        <v>13</v>
      </c>
    </row>
    <row r="2816" spans="1:9" x14ac:dyDescent="0.25">
      <c r="A2816" s="19">
        <v>41714</v>
      </c>
      <c r="B2816" s="20">
        <v>0.97916666666666663</v>
      </c>
      <c r="C2816" t="str">
        <f t="shared" si="301"/>
        <v>14</v>
      </c>
      <c r="D2816" t="str">
        <f t="shared" si="302"/>
        <v>03</v>
      </c>
      <c r="E2816" t="str">
        <f t="shared" si="303"/>
        <v>16</v>
      </c>
      <c r="F2816">
        <f t="shared" si="304"/>
        <v>2014</v>
      </c>
      <c r="G2816">
        <f t="shared" si="305"/>
        <v>3</v>
      </c>
      <c r="H2816">
        <f t="shared" si="306"/>
        <v>16</v>
      </c>
      <c r="I2816" t="str">
        <f t="shared" si="307"/>
        <v>14</v>
      </c>
    </row>
    <row r="2817" spans="1:9" x14ac:dyDescent="0.25">
      <c r="A2817" s="19">
        <v>41676</v>
      </c>
      <c r="B2817" s="20">
        <v>4.4444444444444446E-2</v>
      </c>
      <c r="C2817" t="str">
        <f t="shared" si="301"/>
        <v>14</v>
      </c>
      <c r="D2817" t="str">
        <f t="shared" si="302"/>
        <v>02</v>
      </c>
      <c r="E2817" t="str">
        <f t="shared" si="303"/>
        <v>06</v>
      </c>
      <c r="F2817">
        <f t="shared" si="304"/>
        <v>2014</v>
      </c>
      <c r="G2817">
        <f t="shared" si="305"/>
        <v>2</v>
      </c>
      <c r="H2817">
        <f t="shared" si="306"/>
        <v>6</v>
      </c>
      <c r="I2817" t="str">
        <f t="shared" si="307"/>
        <v>14</v>
      </c>
    </row>
    <row r="2818" spans="1:9" x14ac:dyDescent="0.25">
      <c r="A2818" s="19">
        <v>42104</v>
      </c>
      <c r="B2818" s="20">
        <v>2.0833333333333333E-3</v>
      </c>
      <c r="C2818" t="str">
        <f t="shared" si="301"/>
        <v>15</v>
      </c>
      <c r="D2818" t="str">
        <f t="shared" si="302"/>
        <v>04</v>
      </c>
      <c r="E2818" t="str">
        <f t="shared" si="303"/>
        <v>10</v>
      </c>
      <c r="F2818">
        <f t="shared" si="304"/>
        <v>2015</v>
      </c>
      <c r="G2818">
        <f t="shared" si="305"/>
        <v>4</v>
      </c>
      <c r="H2818">
        <f t="shared" si="306"/>
        <v>10</v>
      </c>
      <c r="I2818" t="str">
        <f t="shared" si="307"/>
        <v>15</v>
      </c>
    </row>
    <row r="2819" spans="1:9" x14ac:dyDescent="0.25">
      <c r="A2819" s="19">
        <v>41711</v>
      </c>
      <c r="B2819" s="20">
        <v>5.5555555555555552E-2</v>
      </c>
      <c r="C2819" t="str">
        <f t="shared" ref="C2819:C2824" si="308">TEXT(A2819,"YY")</f>
        <v>14</v>
      </c>
      <c r="D2819" t="str">
        <f t="shared" ref="D2819:D2824" si="309">TEXT(A2819,"mm")</f>
        <v>03</v>
      </c>
      <c r="E2819" t="str">
        <f t="shared" ref="E2819:E2824" si="310">TEXT(A2819,"dd")</f>
        <v>13</v>
      </c>
      <c r="F2819">
        <f t="shared" ref="F2819:F2824" si="311">YEAR($A2819)</f>
        <v>2014</v>
      </c>
      <c r="G2819">
        <f t="shared" ref="G2819:G2824" si="312">MONTH($A2819)</f>
        <v>3</v>
      </c>
      <c r="H2819">
        <f t="shared" ref="H2819:H2824" si="313">DAY($A2819)</f>
        <v>13</v>
      </c>
      <c r="I2819" t="str">
        <f t="shared" ref="I2819:I2824" si="314">TEXT($A2819,"YY")</f>
        <v>14</v>
      </c>
    </row>
    <row r="2820" spans="1:9" x14ac:dyDescent="0.25">
      <c r="A2820" s="19">
        <v>42069</v>
      </c>
      <c r="B2820" s="20">
        <v>3.3333333333333333E-2</v>
      </c>
      <c r="C2820" t="str">
        <f t="shared" si="308"/>
        <v>15</v>
      </c>
      <c r="D2820" t="str">
        <f t="shared" si="309"/>
        <v>03</v>
      </c>
      <c r="E2820" t="str">
        <f t="shared" si="310"/>
        <v>06</v>
      </c>
      <c r="F2820">
        <f t="shared" si="311"/>
        <v>2015</v>
      </c>
      <c r="G2820">
        <f t="shared" si="312"/>
        <v>3</v>
      </c>
      <c r="H2820">
        <f t="shared" si="313"/>
        <v>6</v>
      </c>
      <c r="I2820" t="str">
        <f t="shared" si="314"/>
        <v>15</v>
      </c>
    </row>
    <row r="2821" spans="1:9" x14ac:dyDescent="0.25">
      <c r="A2821" s="19">
        <v>42063</v>
      </c>
      <c r="B2821" s="20">
        <v>5.2083333333333336E-2</v>
      </c>
      <c r="C2821" t="str">
        <f t="shared" si="308"/>
        <v>15</v>
      </c>
      <c r="D2821" t="str">
        <f t="shared" si="309"/>
        <v>02</v>
      </c>
      <c r="E2821" t="str">
        <f t="shared" si="310"/>
        <v>28</v>
      </c>
      <c r="F2821">
        <f t="shared" si="311"/>
        <v>2015</v>
      </c>
      <c r="G2821">
        <f t="shared" si="312"/>
        <v>2</v>
      </c>
      <c r="H2821">
        <f t="shared" si="313"/>
        <v>28</v>
      </c>
      <c r="I2821" t="str">
        <f t="shared" si="314"/>
        <v>15</v>
      </c>
    </row>
    <row r="2822" spans="1:9" x14ac:dyDescent="0.25">
      <c r="A2822" s="19">
        <v>42175</v>
      </c>
      <c r="B2822" s="20">
        <v>0.95972222222222225</v>
      </c>
      <c r="C2822" t="str">
        <f t="shared" si="308"/>
        <v>15</v>
      </c>
      <c r="D2822" t="str">
        <f t="shared" si="309"/>
        <v>06</v>
      </c>
      <c r="E2822" t="str">
        <f t="shared" si="310"/>
        <v>20</v>
      </c>
      <c r="F2822">
        <f t="shared" si="311"/>
        <v>2015</v>
      </c>
      <c r="G2822">
        <f t="shared" si="312"/>
        <v>6</v>
      </c>
      <c r="H2822">
        <f t="shared" si="313"/>
        <v>20</v>
      </c>
      <c r="I2822" t="str">
        <f t="shared" si="314"/>
        <v>15</v>
      </c>
    </row>
    <row r="2823" spans="1:9" x14ac:dyDescent="0.25">
      <c r="A2823" s="19">
        <v>41169</v>
      </c>
      <c r="B2823" s="20">
        <v>1.0416666666666666E-2</v>
      </c>
      <c r="C2823" t="str">
        <f t="shared" si="308"/>
        <v>12</v>
      </c>
      <c r="D2823" t="str">
        <f t="shared" si="309"/>
        <v>09</v>
      </c>
      <c r="E2823" t="str">
        <f t="shared" si="310"/>
        <v>17</v>
      </c>
      <c r="F2823">
        <f t="shared" si="311"/>
        <v>2012</v>
      </c>
      <c r="G2823">
        <f t="shared" si="312"/>
        <v>9</v>
      </c>
      <c r="H2823">
        <f t="shared" si="313"/>
        <v>17</v>
      </c>
      <c r="I2823" t="str">
        <f t="shared" si="314"/>
        <v>12</v>
      </c>
    </row>
    <row r="2824" spans="1:9" x14ac:dyDescent="0.25">
      <c r="A2824" s="19">
        <v>42247</v>
      </c>
      <c r="B2824" s="20">
        <v>1.3888888888888889E-3</v>
      </c>
      <c r="C2824" t="str">
        <f t="shared" si="308"/>
        <v>15</v>
      </c>
      <c r="D2824" t="str">
        <f t="shared" si="309"/>
        <v>08</v>
      </c>
      <c r="E2824" t="str">
        <f t="shared" si="310"/>
        <v>31</v>
      </c>
      <c r="F2824">
        <f t="shared" si="311"/>
        <v>2015</v>
      </c>
      <c r="G2824">
        <f t="shared" si="312"/>
        <v>8</v>
      </c>
      <c r="H2824">
        <f t="shared" si="313"/>
        <v>31</v>
      </c>
      <c r="I2824" t="str">
        <f t="shared" si="314"/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Text function</vt:lpstr>
      <vt:lpstr>if,and,or</vt:lpstr>
      <vt:lpstr>Index match</vt:lpstr>
      <vt:lpstr>Date,year,m,d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2026-09-17T18:08:53Z</dcterms:created>
  <dcterms:modified xsi:type="dcterms:W3CDTF">2026-09-19T05:03:06Z</dcterms:modified>
</cp:coreProperties>
</file>